
<file path=[Content_Types].xml><?xml version="1.0" encoding="utf-8"?>
<Types xmlns="http://schemas.openxmlformats.org/package/2006/content-types">
  <Default Extension="jpg" ContentType="image/jpeg"/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tadata.xml" ContentType="application/vnd.openxmlformats-officedocument.spreadsheetml.sheetMetadata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richData/rdrichvaluestructure.xml" ContentType="application/vnd.ms-excel.rdrichvaluestructure+xml"/>
  <Override PartName="/xl/styles.xml" ContentType="application/vnd.openxmlformats-officedocument.spreadsheetml.styles+xml"/>
  <Override PartName="/xl/richData/rdrichvalue.xml" ContentType="application/vnd.ms-excel.rdrichvalue+xml"/>
  <Override PartName="/xl/richData/rdRichValueTypes.xml" ContentType="application/vnd.ms-excel.rdrichvaluetyp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Cấp phê duyệt-01.04.2025" sheetId="1" state="hidden" r:id="rId5"/>
    <sheet name="Cấp phê duyệt-update-21.04.2025" sheetId="2" state="visible" r:id="rId6"/>
    <sheet name="Danh sách LDDVCM" sheetId="3" state="visible" r:id="rId7"/>
    <sheet name="Danh sách Trưởng nhóm" sheetId="4" state="visible" r:id="rId8"/>
    <sheet name="EmailReport" sheetId="5" state="visible" r:id="rId9"/>
    <sheet name="Template" sheetId="6" state="visible" r:id="rId10"/>
  </sheets>
  <calcPr/>
  <extLst>
    <ext xmlns:x15="http://schemas.microsoft.com/office/spreadsheetml/2010/11/main" uri="{D0CA8CA8-9F24-4464-BF8E-62219DCF47F9}"/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<sst xmlns="http://schemas.openxmlformats.org/spreadsheetml/2006/main" count="188" uniqueCount="188">
  <si>
    <t xml:space="preserve">PHỤ LỤC 03
THẨM QUYỀN PHÊ DUYỆT CÁC CHẾ ĐỘ NGHỈ </t>
  </si>
  <si>
    <t xml:space="preserve">Mã số: PLQLGC-03/TCHC</t>
  </si>
  <si>
    <t xml:space="preserve"> Thời gian áp dụng: Kể từ ngày TGĐ phê duyệt áp dụng</t>
  </si>
  <si>
    <t>Stt</t>
  </si>
  <si>
    <t xml:space="preserve">Đối tượng</t>
  </si>
  <si>
    <t xml:space="preserve">Thời gian nghỉ</t>
  </si>
  <si>
    <t xml:space="preserve">Cấp xem xét</t>
  </si>
  <si>
    <t xml:space="preserve">Cấp kiểm tra</t>
  </si>
  <si>
    <t xml:space="preserve">Cấp thông qua
(Đối chiếu theo quy định)</t>
  </si>
  <si>
    <t xml:space="preserve">Cấp phê duyệt</t>
  </si>
  <si>
    <t xml:space="preserve">Ghi chú</t>
  </si>
  <si>
    <t xml:space="preserve">Trưởng nhóm
(Nếu có)</t>
  </si>
  <si>
    <t xml:space="preserve">Lãnh đạo ĐVCM</t>
  </si>
  <si>
    <t xml:space="preserve">Người lao động và CTV chờ tuyển (Không áp dụng đối với Trưởng nhóm, Lãnh đạo đơn vị và tương đương, TDV, SVTT)</t>
  </si>
  <si>
    <t xml:space="preserve">Nghỉ phép hằng năm, nghỉ theo chế độ BHXH, nghỉ việc riêng có hưởng lương</t>
  </si>
  <si>
    <r>
      <t xml:space="preserve">TG nghỉ </t>
    </r>
    <r>
      <rPr>
        <sz val="12"/>
        <rFont val="Aptos Narrow"/>
      </rPr>
      <t>≤</t>
    </r>
    <r>
      <rPr>
        <sz val="12"/>
        <rFont val="Times New Roman"/>
      </rPr>
      <t xml:space="preserve"> 01 ngày</t>
    </r>
  </si>
  <si>
    <t>X</t>
  </si>
  <si>
    <t xml:space="preserve">Trần Thị Hà</t>
  </si>
  <si>
    <t xml:space="preserve">01 ngày &lt; TG nghỉ  ≤  03 ngày</t>
  </si>
  <si>
    <t xml:space="preserve">PTGĐ khối/TV BĐH phụ trách các khối/GDTT/PT.VPDD</t>
  </si>
  <si>
    <t xml:space="preserve">- Mr. Nguyễn Quốc Hùng: VPDDMN (CNTTMN, KDMN)
- Mr. Đào Việt Dũng: BU1, BU2, BU3, TVPTSP
- Mr. Bùi Tuấn Anh: SPDVHT-ANTT, SPDVPM, DVKH
- Mr. Trịnh Quốc Phong: TCKT, TCHC, ĐBCL, KHĐT
- Mr. Trần Ngọc Tuyến: TTXLDL</t>
  </si>
  <si>
    <t xml:space="preserve">03 ngày &lt; TG nghỉ &lt; 14 ngày</t>
  </si>
  <si>
    <t xml:space="preserve">Tổng Giám đốc</t>
  </si>
  <si>
    <t xml:space="preserve">Để mặc định người nhận thông báo là các lãnh đạo khối: 
- Mr. Nguyễn Quốc Hùng: VPDDMN (CNTTMN, KDMN)
- Mr. Đào Việt Dũng: BU1, BU2, BU3, TVPTSP
- Mr. Bùi Tuấn Anh: SPDVHT-ANTT, SPDVPM, DVKH
- Mr. Trịnh Quốc Phong: TCKT, TCHC, ĐBCL, KHĐT
- Mr. Trần Ngọc Tuyến: TTXLDL</t>
  </si>
  <si>
    <r>
      <t xml:space="preserve">TG nghỉ </t>
    </r>
    <r>
      <rPr>
        <sz val="12"/>
        <rFont val="Aptos Narrow"/>
      </rPr>
      <t>≥</t>
    </r>
    <r>
      <rPr>
        <sz val="12"/>
        <rFont val="Times New Roman"/>
      </rPr>
      <t xml:space="preserve"> 14 ngày</t>
    </r>
  </si>
  <si>
    <t xml:space="preserve">Nghỉ không hưởng lương </t>
  </si>
  <si>
    <t xml:space="preserve"> TG nghỉ: 0.5 ngày</t>
  </si>
  <si>
    <t xml:space="preserve"> 1 ngày ≤ TG nghỉ &lt; 03 ngày</t>
  </si>
  <si>
    <t xml:space="preserve">TG nghỉ ≥ 03 ngày </t>
  </si>
  <si>
    <t xml:space="preserve">Trưởng nhóm</t>
  </si>
  <si>
    <t xml:space="preserve">0.5 ngày</t>
  </si>
  <si>
    <t xml:space="preserve">01 ngày ≤ TG nghỉ  &lt;  03 ngày</t>
  </si>
  <si>
    <t xml:space="preserve">03 ngày ≤ TG nghỉ &lt; 14 ngày</t>
  </si>
  <si>
    <t xml:space="preserve">TG nghỉ: 0.5 ngày</t>
  </si>
  <si>
    <t xml:space="preserve"> 01 ngày ≤ TG nghỉ &lt; 03 ngày</t>
  </si>
  <si>
    <t xml:space="preserve">Lãnh đạo đơn vị và tương đương ( Không bao gồm Trưởng VPĐD, Giám đốc khối, Phụ trách quản trị Công ty kiêm Thư ký Công ty):
- Tương đương: Trưởng BU, Trợ lý/Thư ký.
- Cấp Trưởng ĐV thì cấp kiểm tra là Lãnh đạo phụ trách khối
- Cấp Phó ĐV thì cấp kiểm tra là Trưởng ĐV và Lãnh đạo phụ trách khối</t>
  </si>
  <si>
    <t xml:space="preserve">Ban Điều hành (Không bao gồm Tổng Giám đốc), Trưởng VPĐD, Giám đốc khối, Phụ trách quản trị Công ty kiêm Thư ký Công ty</t>
  </si>
  <si>
    <t xml:space="preserve">Nghỉ phép hằng năm, nghỉ theo chế độ BHXH, nghỉ việc riêng có hưởng lương và Nghỉ không hưởng lương</t>
  </si>
  <si>
    <t xml:space="preserve">TG nghỉ ≥ 0.5 ngày</t>
  </si>
  <si>
    <t xml:space="preserve">Thuê dịch vụ (TDV), SVTT</t>
  </si>
  <si>
    <t xml:space="preserve">Nghỉ không làm việc</t>
  </si>
  <si>
    <t xml:space="preserve">LĐP. TCHC</t>
  </si>
  <si>
    <t>STT</t>
  </si>
  <si>
    <t xml:space="preserve">Mã NV</t>
  </si>
  <si>
    <t xml:space="preserve">Họ và tên</t>
  </si>
  <si>
    <t xml:space="preserve">Mã chức danh công việc</t>
  </si>
  <si>
    <t xml:space="preserve">Chức danh công việc</t>
  </si>
  <si>
    <t xml:space="preserve">Phòng ban</t>
  </si>
  <si>
    <t xml:space="preserve">Nguyễn Tuấn Anh</t>
  </si>
  <si>
    <t>TGĐ</t>
  </si>
  <si>
    <t xml:space="preserve">Tổng giám đốc</t>
  </si>
  <si>
    <t xml:space="preserve">Ban Điều hành</t>
  </si>
  <si>
    <t xml:space="preserve">Bùi Tuấn Anh</t>
  </si>
  <si>
    <t>PTGĐ</t>
  </si>
  <si>
    <t xml:space="preserve">Phó Tổng giám đốc</t>
  </si>
  <si>
    <t xml:space="preserve">Đào Việt Dũng</t>
  </si>
  <si>
    <t xml:space="preserve">Trịnh Quốc Phong</t>
  </si>
  <si>
    <t>KTT</t>
  </si>
  <si>
    <t xml:space="preserve">Kế toán trưởng</t>
  </si>
  <si>
    <t xml:space="preserve">Nguyễn Công Hoàn</t>
  </si>
  <si>
    <t>TP_I</t>
  </si>
  <si>
    <t xml:space="preserve">Trưởng phòng các Đơn vị cấp I</t>
  </si>
  <si>
    <t>P.TCHC</t>
  </si>
  <si>
    <t xml:space="preserve">Hoàng Thế Quảng</t>
  </si>
  <si>
    <t>PTP_I</t>
  </si>
  <si>
    <t xml:space="preserve">Phó trưởng phòng các Đơn vị cấp I</t>
  </si>
  <si>
    <t xml:space="preserve">Vũ Quang Thắng</t>
  </si>
  <si>
    <t>P.SPDVHT-ANTT</t>
  </si>
  <si>
    <t xml:space="preserve">Nguyễn Hồng Giang</t>
  </si>
  <si>
    <t xml:space="preserve">Lê Kim Chung</t>
  </si>
  <si>
    <t xml:space="preserve">Nguyễn Trọng Điểm</t>
  </si>
  <si>
    <t xml:space="preserve">P. TVPTSP</t>
  </si>
  <si>
    <t xml:space="preserve">Nguyễn Việt Hà</t>
  </si>
  <si>
    <t>P.TVPTSP</t>
  </si>
  <si>
    <t xml:space="preserve">Nguyễn Đức Hảo</t>
  </si>
  <si>
    <t xml:space="preserve">Tạ Thị Liễu</t>
  </si>
  <si>
    <t xml:space="preserve">P. ĐBCL</t>
  </si>
  <si>
    <t xml:space="preserve">Nguyễn Viết Hùng</t>
  </si>
  <si>
    <t xml:space="preserve">Thư ký HĐQT kiêm Thư ký Công ty
PTP. ĐBCL</t>
  </si>
  <si>
    <t xml:space="preserve">Nguyễn Thế Hưng</t>
  </si>
  <si>
    <t>P.DVKH</t>
  </si>
  <si>
    <t xml:space="preserve">Hoàng Ngọc Chánh</t>
  </si>
  <si>
    <t xml:space="preserve">Nguyễn Thu Hà</t>
  </si>
  <si>
    <t xml:space="preserve">Vũ Văn Hà</t>
  </si>
  <si>
    <t xml:space="preserve">Đàm Minh Hạnh</t>
  </si>
  <si>
    <t>P.KHĐT</t>
  </si>
  <si>
    <t xml:space="preserve">Hoàng Thu Trang</t>
  </si>
  <si>
    <t>P.TCKT</t>
  </si>
  <si>
    <t xml:space="preserve">Lê Đức Nghĩa</t>
  </si>
  <si>
    <t>P.SPDVPM</t>
  </si>
  <si>
    <t xml:space="preserve">Lại Duy Hưng</t>
  </si>
  <si>
    <t xml:space="preserve">Nguyễn Quốc Hùng</t>
  </si>
  <si>
    <t>TVPĐD</t>
  </si>
  <si>
    <t xml:space="preserve">Trưởng Văn phòng đại diện</t>
  </si>
  <si>
    <t xml:space="preserve">PT. VPMN/TP.KDMN</t>
  </si>
  <si>
    <t xml:space="preserve">Đinh Phương Nga</t>
  </si>
  <si>
    <t>PTP_II</t>
  </si>
  <si>
    <t xml:space="preserve">Phó trưởng phòng các Đơn vị cấp II</t>
  </si>
  <si>
    <t>P.KDMN</t>
  </si>
  <si>
    <t xml:space="preserve">Võ Trung Hiệp</t>
  </si>
  <si>
    <t xml:space="preserve">PTP. KDMN</t>
  </si>
  <si>
    <t xml:space="preserve">Nguyễn Văn Điệp</t>
  </si>
  <si>
    <t xml:space="preserve">TP. KD/TBU2</t>
  </si>
  <si>
    <t xml:space="preserve">Vũ Đình Luận</t>
  </si>
  <si>
    <t xml:space="preserve">PTP. KD/TBU3</t>
  </si>
  <si>
    <t xml:space="preserve">Lê Quốc Việt</t>
  </si>
  <si>
    <t>TBU1</t>
  </si>
  <si>
    <t xml:space="preserve">Trần Ngọc Tuyến</t>
  </si>
  <si>
    <t>GĐ</t>
  </si>
  <si>
    <t xml:space="preserve">Giám đốc Trung tâm</t>
  </si>
  <si>
    <t xml:space="preserve">GĐ TTXLDL</t>
  </si>
  <si>
    <t xml:space="preserve">Nguyễn Thanh Tùng</t>
  </si>
  <si>
    <t>PGĐ</t>
  </si>
  <si>
    <t xml:space="preserve">Phó Giám đốc Trung tâm</t>
  </si>
  <si>
    <t xml:space="preserve">PGĐ TTXLDL</t>
  </si>
  <si>
    <t xml:space="preserve">Lê Mạnh Toàn</t>
  </si>
  <si>
    <t>TP_II</t>
  </si>
  <si>
    <t xml:space="preserve">Trưởng phòng các Đơn vị cấp II</t>
  </si>
  <si>
    <t>P.KSTB-HHBK</t>
  </si>
  <si>
    <t xml:space="preserve">Nguyễn Thị Thắm</t>
  </si>
  <si>
    <t>P.DLTB-DVGT</t>
  </si>
  <si>
    <t xml:space="preserve">Nguyễn Tất Tuấn</t>
  </si>
  <si>
    <t>P.DLVC-TTQT</t>
  </si>
  <si>
    <t>STT/QS</t>
  </si>
  <si>
    <t xml:space="preserve">MÃ NV</t>
  </si>
  <si>
    <t xml:space="preserve">Mã Đơn vị</t>
  </si>
  <si>
    <t>Khối</t>
  </si>
  <si>
    <t xml:space="preserve">CHỨC DANH CÔNG VIỆC</t>
  </si>
  <si>
    <t xml:space="preserve">Phân công nhiệm vụ</t>
  </si>
  <si>
    <t>I</t>
  </si>
  <si>
    <t xml:space="preserve">Danh sách trưởng nhóm </t>
  </si>
  <si>
    <t xml:space="preserve">Phòng TCHC</t>
  </si>
  <si>
    <t xml:space="preserve">Đinh Thu Hà</t>
  </si>
  <si>
    <t>TCHC</t>
  </si>
  <si>
    <t>VPHT</t>
  </si>
  <si>
    <t xml:space="preserve">Chuyên viên Hành chính</t>
  </si>
  <si>
    <t xml:space="preserve">Trưởng nhóm QTHC</t>
  </si>
  <si>
    <t>CNTTMN</t>
  </si>
  <si>
    <t xml:space="preserve">Nguyễn Lăng Thanh</t>
  </si>
  <si>
    <t>VHKT</t>
  </si>
  <si>
    <t xml:space="preserve">Chuyên viên ĐBHĐ phần mềm </t>
  </si>
  <si>
    <t xml:space="preserve"> Trưởng nhóm ĐBHĐ phần mềm</t>
  </si>
  <si>
    <t xml:space="preserve">Phòng DVKH</t>
  </si>
  <si>
    <t xml:space="preserve">Phòng TVPTSP</t>
  </si>
  <si>
    <t xml:space="preserve">Trần Huyền Trang</t>
  </si>
  <si>
    <t>TVPTSP</t>
  </si>
  <si>
    <t>KDPTSP</t>
  </si>
  <si>
    <t xml:space="preserve">Chuyên viên Quản trị Dự án</t>
  </si>
  <si>
    <t xml:space="preserve">Trưởng nhóm QTDA &amp; Hỗ trợ kinh doanh</t>
  </si>
  <si>
    <t xml:space="preserve">Phòng SPDVPM</t>
  </si>
  <si>
    <t xml:space="preserve">Dương Văn Tuyến</t>
  </si>
  <si>
    <t>SPDVPM</t>
  </si>
  <si>
    <t xml:space="preserve">Chuyên viên ĐBHĐ phần mềm</t>
  </si>
  <si>
    <t xml:space="preserve">Trưởng nhóm Nghiệp vụ phần mềm lĩnh vực Dịch vụ</t>
  </si>
  <si>
    <t xml:space="preserve">Đào Hữu Tùng</t>
  </si>
  <si>
    <t xml:space="preserve">Chuyên viên Phân tích nghiệp vụ</t>
  </si>
  <si>
    <t xml:space="preserve">Trưởng nhóm Phân tích nghiệp vụ</t>
  </si>
  <si>
    <t xml:space="preserve">Lê Thị Ngọc Ánh</t>
  </si>
  <si>
    <t xml:space="preserve">Trưởng nhóm Nghiệp vụ phần mềm lĩnh vực TCKT</t>
  </si>
  <si>
    <t xml:space="preserve">Lê Ngọc Huy</t>
  </si>
  <si>
    <t xml:space="preserve">Chuyên viên Lập trình</t>
  </si>
  <si>
    <t xml:space="preserve">Trưởng nhóm Kiến trúc Công nghệ, triển khai dự án</t>
  </si>
  <si>
    <t xml:space="preserve">Nguyễn Hồ Thành</t>
  </si>
  <si>
    <t xml:space="preserve">Chuyên viên ĐBHĐ Phần mềm</t>
  </si>
  <si>
    <t xml:space="preserve">Trường nhóm Nội bộ - LDLK-Ngoài khác</t>
  </si>
  <si>
    <t xml:space="preserve">Phòng KHĐT</t>
  </si>
  <si>
    <t xml:space="preserve">Tô Lan Phương</t>
  </si>
  <si>
    <t>CVHÐ</t>
  </si>
  <si>
    <t xml:space="preserve">Chuyên viên Quản lý hợp đồng </t>
  </si>
  <si>
    <t xml:space="preserve">Trưởng nhóm KH và HĐ</t>
  </si>
  <si>
    <t xml:space="preserve">Nội dung</t>
  </si>
  <si>
    <t xml:space="preserve">Mô tả</t>
  </si>
  <si>
    <t xml:space="preserve">Điều kiện</t>
  </si>
  <si>
    <t xml:space="preserve">Trạng thái</t>
  </si>
  <si>
    <t xml:space="preserve">Gửi email</t>
  </si>
  <si>
    <t xml:space="preserve">Gửi email thông báo từ chối phê duyệt nghỉ phép đến các cấp đã phê duyệt trước đó</t>
  </si>
  <si>
    <t xml:space="preserve">Đơn bị từ chối</t>
  </si>
  <si>
    <t xml:space="preserve">Đang test internal</t>
  </si>
  <si>
    <t xml:space="preserve">Gửi email cảnh báo cho NLĐ và LĐP trong trường hợp NLĐ tạo nhiều đơn có số ngày nghỉ liên tiếp nhau</t>
  </si>
  <si>
    <t xml:space="preserve">Đơn tạo liên tiếp và có số ngày nghỉ liên tiếp</t>
  </si>
  <si>
    <t xml:space="preserve">Gửi email cảnh báo cho cấp phê duyệt trong trường hợp: 
'+ Đơn sắp hết hạn, 
+ Đơn chưa được duyệt
+ Đơn hết hạn phê duyệt 
+ Đơn không phê duyệt</t>
  </si>
  <si>
    <t xml:space="preserve">Đơn có trạng thái chưa được phê duyệt
+ Đơn nghỉ sắp hết hạn phê duyệt sẽ được gửi cho cấp phê duyệt gần nhất trong khoảng 12h-16h trước ngày xin nghỉ, mỗi cấp chỉ gửi 1 lần.
+ Đơn nghỉ chưa được duyệt sẽ được gửi cho NLĐ trong khoảng thời gian từ 16h-18h, NLĐ có trách nhiệm liên hệ cấp phê duyệt để được phê duyệt đơn của mình, NLĐ theo dõi trạng thái đơn nghỉ đến trước thời gian xin phép nghỉ.
+ Đơn hết hạn phê duyệt gửi cho cấp phê duyệt gần nhất trong khoảng 17h-23h trước ngày xin nghỉ, mỗi cấp chỉ gửi 1 lần.
+ Đơn không được phê duyệt của NLĐ sẽ được gửi email thông báo cho LĐP/LĐK/TCHC, nếu đơn của LĐP/BĐH sẽ được gửi cho TGĐ vào lúc 8h sáng.</t>
  </si>
  <si>
    <t xml:space="preserve">Hoàn thành:
- Đơn sắp hết hạn gửi cấp phê duyệt gần nhất
- Đơn hết hạn phê duyệt cho cấp phê duyệt gần nhất
- Đơn không được phê duyệt gửi cho LĐP (NLĐ), LĐK (LĐP), TGĐ (LĐK)</t>
  </si>
  <si>
    <t xml:space="preserve">Thông báo</t>
  </si>
  <si>
    <t xml:space="preserve">Bổ sung nội dung thông báo, cảnh báo cho cấp phê duyệt đơn ở màn hình phê duyệt</t>
  </si>
  <si>
    <t xml:space="preserve">Hoàn thành, đang chạy trên test</t>
  </si>
  <si>
    <t>VD:</t>
  </si>
  <si>
    <t xml:space="preserve">Cảnh báo cho các đơn nghỉ  đăng ký hiều hơn 2 lần trong vòng 1 tuần.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</si>
</sst>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7">
    <font>
      <sz val="11.000000"/>
      <color theme="1"/>
      <name val="Aptos Narrow"/>
      <scheme val="minor"/>
    </font>
    <font>
      <u/>
      <sz val="11.000000"/>
      <color theme="10"/>
      <name val="Aptos Narrow"/>
      <scheme val="minor"/>
    </font>
    <font>
      <sz val="11.000000"/>
      <name val="Aptos Narrow"/>
      <scheme val="minor"/>
    </font>
    <font>
      <sz val="12.000000"/>
      <name val="Times New Roman"/>
    </font>
    <font>
      <b/>
      <sz val="14.000000"/>
      <name val="Times New Roman"/>
    </font>
    <font>
      <b/>
      <i/>
      <sz val="14.000000"/>
      <name val="Times New Roman"/>
    </font>
    <font>
      <b/>
      <sz val="12.000000"/>
      <name val="Times New Roman"/>
    </font>
    <font>
      <sz val="11.000000"/>
      <color indexed="2"/>
      <name val="Aptos Narrow"/>
      <scheme val="minor"/>
    </font>
    <font>
      <b/>
      <sz val="12.000000"/>
      <color indexed="2"/>
      <name val="Times New Roman"/>
    </font>
    <font>
      <sz val="11.000000"/>
      <color theme="1"/>
      <name val="Times New Roman"/>
    </font>
    <font>
      <b/>
      <sz val="11.000000"/>
      <color theme="1"/>
      <name val="Times New Roman"/>
    </font>
    <font>
      <b/>
      <sz val="13.000000"/>
      <color theme="1"/>
      <name val="Times New Roman"/>
    </font>
    <font>
      <sz val="11.000000"/>
      <name val="Times New Roman"/>
    </font>
    <font>
      <b/>
      <sz val="12.000000"/>
      <color indexed="64"/>
      <name val="Times New Roman"/>
    </font>
    <font>
      <sz val="12.000000"/>
      <color theme="1"/>
      <name val="Times New Roman"/>
    </font>
    <font>
      <u/>
      <sz val="12.000000"/>
      <color theme="10"/>
      <name val="Times New Roman"/>
    </font>
    <font>
      <sz val="12.000000"/>
      <color indexed="2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5" tint="0.79998168889431442"/>
      </patternFill>
    </fill>
    <fill>
      <patternFill patternType="solid">
        <fgColor indexed="5"/>
      </patternFill>
    </fill>
    <fill>
      <patternFill patternType="solid">
        <fgColor theme="5" tint="0.39997558519241921"/>
      </patternFill>
    </fill>
    <fill>
      <patternFill patternType="solid">
        <fgColor rgb="FFBFBFBF"/>
      </patternFill>
    </fill>
  </fills>
  <borders count="19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85">
    <xf fontId="0" fillId="0" borderId="0" numFmtId="0" xfId="0"/>
    <xf fontId="2" fillId="2" borderId="0" numFmtId="0" xfId="0" applyFont="1" applyFill="1"/>
    <xf fontId="3" fillId="2" borderId="0" numFmtId="0" xfId="0" applyFont="1" applyFill="1"/>
    <xf fontId="3" fillId="2" borderId="1" numFmtId="0" xfId="0" applyFont="1" applyFill="1" applyBorder="1"/>
    <xf fontId="4" fillId="2" borderId="2" numFmtId="0" xfId="0" applyFont="1" applyFill="1" applyBorder="1" applyAlignment="1">
      <alignment horizontal="center" vertical="center" wrapText="1"/>
    </xf>
    <xf fontId="4" fillId="2" borderId="3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>
      <alignment vertical="center" wrapText="1"/>
    </xf>
    <xf fontId="5" fillId="2" borderId="4" numFmtId="0" xfId="0" applyFont="1" applyFill="1" applyBorder="1" applyAlignment="1">
      <alignment horizontal="left" vertical="center" wrapText="1"/>
    </xf>
    <xf fontId="5" fillId="2" borderId="0" numFmtId="0" xfId="0" applyFont="1" applyFill="1" applyAlignment="1">
      <alignment horizontal="left" vertical="center" wrapText="1"/>
    </xf>
    <xf fontId="6" fillId="3" borderId="3" numFmtId="0" xfId="0" applyFont="1" applyFill="1" applyBorder="1" applyAlignment="1">
      <alignment horizontal="center" vertical="center" wrapText="1"/>
    </xf>
    <xf fontId="6" fillId="3" borderId="5" numFmtId="0" xfId="0" applyFont="1" applyFill="1" applyBorder="1" applyAlignment="1">
      <alignment horizontal="center" vertical="center" wrapText="1"/>
    </xf>
    <xf fontId="6" fillId="3" borderId="6" numFmtId="0" xfId="0" applyFont="1" applyFill="1" applyBorder="1" applyAlignment="1">
      <alignment horizontal="center" vertical="center" wrapText="1"/>
    </xf>
    <xf fontId="6" fillId="3" borderId="7" numFmtId="0" xfId="0" applyFont="1" applyFill="1" applyBorder="1" applyAlignment="1">
      <alignment horizontal="center" vertical="center" wrapText="1"/>
    </xf>
    <xf fontId="6" fillId="3" borderId="8" numFmtId="0" xfId="0" applyFont="1" applyFill="1" applyBorder="1" applyAlignment="1">
      <alignment horizontal="center" vertical="center" wrapText="1"/>
    </xf>
    <xf fontId="6" fillId="3" borderId="4" numFmtId="0" xfId="0" applyFont="1" applyFill="1" applyBorder="1" applyAlignment="1">
      <alignment horizontal="center" vertical="center" wrapText="1"/>
    </xf>
    <xf fontId="6" fillId="3" borderId="1" numFmtId="0" xfId="0" applyFont="1" applyFill="1" applyBorder="1" applyAlignment="1">
      <alignment horizontal="center" vertical="center" wrapText="1"/>
    </xf>
    <xf fontId="6" fillId="3" borderId="9" numFmtId="0" xfId="0" applyFont="1" applyFill="1" applyBorder="1" applyAlignment="1">
      <alignment horizontal="center" vertical="center" wrapText="1"/>
    </xf>
    <xf fontId="7" fillId="2" borderId="0" numFmtId="0" xfId="0" applyFont="1" applyFill="1"/>
    <xf fontId="8" fillId="2" borderId="3" numFmtId="0" xfId="0" applyFont="1" applyFill="1" applyBorder="1" applyAlignment="1">
      <alignment horizontal="center" vertical="center" wrapText="1"/>
    </xf>
    <xf fontId="8" fillId="2" borderId="3" numFmtId="0" xfId="0" applyFont="1" applyFill="1" applyBorder="1" applyAlignment="1">
      <alignment horizontal="left" vertical="center" wrapText="1"/>
    </xf>
    <xf fontId="6" fillId="2" borderId="7" numFmtId="0" xfId="0" applyFont="1" applyFill="1" applyBorder="1" applyAlignment="1">
      <alignment horizontal="center" vertical="center" wrapText="1"/>
    </xf>
    <xf fontId="6" fillId="2" borderId="10" numFmtId="0" xfId="0" applyFont="1" applyFill="1" applyBorder="1" applyAlignment="1">
      <alignment horizontal="left" vertical="center" wrapText="1"/>
    </xf>
    <xf fontId="6" fillId="2" borderId="11" numFmtId="0" xfId="0" applyFont="1" applyFill="1" applyBorder="1" applyAlignment="1">
      <alignment horizontal="left" vertical="center" wrapText="1"/>
    </xf>
    <xf fontId="3" fillId="2" borderId="9" numFmtId="0" xfId="0" applyFont="1" applyFill="1" applyBorder="1" applyAlignment="1">
      <alignment horizontal="left" vertical="center" wrapText="1"/>
    </xf>
    <xf fontId="3" fillId="2" borderId="12" numFmtId="0" xfId="0" applyFont="1" applyFill="1" applyBorder="1" applyAlignment="1">
      <alignment horizontal="center" vertical="center" wrapText="1"/>
    </xf>
    <xf fontId="3" fillId="2" borderId="9" numFmtId="0" xfId="0" applyFont="1" applyFill="1" applyBorder="1" applyAlignment="1" quotePrefix="1">
      <alignment horizontal="center" vertical="center" wrapText="1"/>
    </xf>
    <xf fontId="3" fillId="2" borderId="9" numFmtId="0" xfId="0" applyFont="1" applyFill="1" applyBorder="1" applyAlignment="1">
      <alignment horizontal="center" vertical="center" wrapText="1"/>
    </xf>
    <xf fontId="6" fillId="2" borderId="13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 quotePrefix="1">
      <alignment horizontal="center" vertical="center" wrapText="1"/>
    </xf>
    <xf fontId="3" fillId="2" borderId="9" numFmtId="0" xfId="0" applyFont="1" applyFill="1" applyBorder="1" applyAlignment="1" quotePrefix="1">
      <alignment horizontal="left" vertical="center" wrapText="1"/>
    </xf>
    <xf fontId="3" fillId="2" borderId="3" numFmtId="0" xfId="0" applyFont="1" applyFill="1" applyBorder="1" applyAlignment="1">
      <alignment horizontal="left" vertical="center" wrapText="1"/>
    </xf>
    <xf fontId="3" fillId="2" borderId="7" numFmtId="0" xfId="0" applyFont="1" applyFill="1" applyBorder="1" applyAlignment="1" quotePrefix="1">
      <alignment horizontal="left" vertical="center" wrapText="1"/>
    </xf>
    <xf fontId="6" fillId="2" borderId="12" numFmtId="0" xfId="0" applyFont="1" applyFill="1" applyBorder="1" applyAlignment="1">
      <alignment horizontal="left" vertical="center" wrapText="1"/>
    </xf>
    <xf fontId="6" fillId="2" borderId="14" numFmtId="0" xfId="0" applyFont="1" applyFill="1" applyBorder="1" applyAlignment="1">
      <alignment horizontal="left" vertical="center" wrapText="1"/>
    </xf>
    <xf fontId="3" fillId="2" borderId="13" numFmtId="0" xfId="0" applyFont="1" applyFill="1" applyBorder="1" applyAlignment="1" quotePrefix="1">
      <alignment horizontal="left" vertical="center" wrapText="1"/>
    </xf>
    <xf fontId="6" fillId="2" borderId="5" numFmtId="0" xfId="0" applyFont="1" applyFill="1" applyBorder="1" applyAlignment="1">
      <alignment horizontal="left" vertical="center" wrapText="1"/>
    </xf>
    <xf fontId="6" fillId="2" borderId="6" numFmtId="0" xfId="0" applyFont="1" applyFill="1" applyBorder="1" applyAlignment="1">
      <alignment horizontal="left" vertical="center" wrapText="1"/>
    </xf>
    <xf fontId="6" fillId="2" borderId="9" numFmtId="0" xfId="0" applyFont="1" applyFill="1" applyBorder="1" applyAlignment="1">
      <alignment horizontal="center" vertical="center" wrapText="1"/>
    </xf>
    <xf fontId="3" fillId="2" borderId="7" numFmtId="0" xfId="0" applyFont="1" applyFill="1" applyBorder="1" applyAlignment="1">
      <alignment vertical="center" wrapText="1"/>
    </xf>
    <xf fontId="8" fillId="2" borderId="1" numFmtId="0" xfId="0" applyFont="1" applyFill="1" applyBorder="1" applyAlignment="1">
      <alignment horizontal="left" vertical="center" wrapText="1"/>
    </xf>
    <xf fontId="8" fillId="2" borderId="8" numFmtId="0" xfId="0" applyFont="1" applyFill="1" applyBorder="1" applyAlignment="1">
      <alignment horizontal="left" vertical="center" wrapText="1"/>
    </xf>
    <xf fontId="8" fillId="2" borderId="2" numFmtId="0" xfId="0" applyFont="1" applyFill="1" applyBorder="1" applyAlignment="1">
      <alignment horizontal="left" vertical="center" wrapText="1"/>
    </xf>
    <xf fontId="7" fillId="2" borderId="3" numFmtId="0" xfId="0" applyFont="1" applyFill="1" applyBorder="1"/>
    <xf fontId="6" fillId="2" borderId="3" numFmtId="0" xfId="0" applyFont="1" applyFill="1" applyBorder="1" applyAlignment="1">
      <alignment horizontal="center" vertical="center" wrapText="1"/>
    </xf>
    <xf fontId="6" fillId="2" borderId="3" numFmtId="0" xfId="0" applyFont="1" applyFill="1" applyBorder="1" applyAlignment="1">
      <alignment horizontal="left" vertical="center" wrapText="1"/>
    </xf>
    <xf fontId="3" fillId="2" borderId="3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 quotePrefix="1">
      <alignment horizontal="left" vertical="center" wrapText="1"/>
    </xf>
    <xf fontId="6" fillId="3" borderId="3" numFmtId="0" xfId="0" applyFont="1" applyFill="1" applyBorder="1" applyAlignment="1" quotePrefix="1">
      <alignment horizontal="center" vertical="center" wrapText="1"/>
    </xf>
    <xf fontId="9" fillId="0" borderId="0" numFmtId="0" xfId="0" applyFont="1"/>
    <xf fontId="9" fillId="0" borderId="0" numFmtId="0" xfId="0" applyFont="1" applyAlignment="1">
      <alignment horizontal="center"/>
    </xf>
    <xf fontId="9" fillId="0" borderId="0" numFmtId="0" xfId="0" applyFont="1" applyAlignment="1">
      <alignment vertical="center"/>
    </xf>
    <xf fontId="10" fillId="4" borderId="3" numFmtId="0" xfId="0" applyFont="1" applyFill="1" applyBorder="1" applyAlignment="1">
      <alignment horizontal="center" vertical="center"/>
    </xf>
    <xf fontId="10" fillId="4" borderId="3" numFmtId="0" xfId="0" applyFont="1" applyFill="1" applyBorder="1" applyAlignment="1">
      <alignment horizontal="center" vertical="center" wrapText="1"/>
    </xf>
    <xf fontId="9" fillId="0" borderId="3" numFmtId="0" xfId="0" applyFont="1" applyBorder="1" applyAlignment="1">
      <alignment horizontal="center"/>
    </xf>
    <xf fontId="9" fillId="0" borderId="3" numFmtId="0" xfId="0" applyFont="1" applyBorder="1"/>
    <xf fontId="9" fillId="0" borderId="3" numFmtId="0" xfId="0" applyFont="1" applyBorder="1" applyAlignment="1">
      <alignment vertical="center"/>
    </xf>
    <xf fontId="9" fillId="0" borderId="3" numFmtId="0" xfId="0" applyFont="1" applyBorder="1" applyAlignment="1">
      <alignment vertical="center" wrapText="1"/>
    </xf>
    <xf fontId="10" fillId="5" borderId="3" numFmtId="0" xfId="0" applyFont="1" applyFill="1" applyBorder="1" applyAlignment="1">
      <alignment horizontal="center" vertical="center" wrapText="1"/>
    </xf>
    <xf fontId="11" fillId="3" borderId="3" numFmtId="0" xfId="0" applyFont="1" applyFill="1" applyBorder="1" applyAlignment="1">
      <alignment horizontal="center" vertical="center" wrapText="1"/>
    </xf>
    <xf fontId="11" fillId="3" borderId="1" numFmtId="0" xfId="0" applyFont="1" applyFill="1" applyBorder="1" applyAlignment="1">
      <alignment horizontal="left" vertical="center" wrapText="1"/>
    </xf>
    <xf fontId="11" fillId="3" borderId="2" numFmtId="0" xfId="0" applyFont="1" applyFill="1" applyBorder="1" applyAlignment="1">
      <alignment horizontal="left" vertical="center" wrapText="1"/>
    </xf>
    <xf fontId="11" fillId="3" borderId="3" numFmtId="0" xfId="0" applyFont="1" applyFill="1" applyBorder="1" applyAlignment="1">
      <alignment vertical="center" wrapText="1"/>
    </xf>
    <xf fontId="10" fillId="0" borderId="3" numFmtId="0" xfId="0" applyFont="1" applyBorder="1" applyAlignment="1">
      <alignment horizontal="center" vertical="center" wrapText="1"/>
    </xf>
    <xf fontId="10" fillId="0" borderId="3" numFmtId="0" xfId="0" applyFont="1" applyBorder="1" applyAlignment="1">
      <alignment vertical="center" wrapText="1"/>
    </xf>
    <xf fontId="9" fillId="0" borderId="3" numFmtId="0" xfId="0" applyFont="1" applyBorder="1" applyAlignment="1">
      <alignment horizontal="right" vertical="center" wrapText="1"/>
    </xf>
    <xf fontId="9" fillId="0" borderId="3" numFmtId="0" xfId="0" applyFont="1" applyBorder="1" applyAlignment="1">
      <alignment horizontal="center" vertical="center" wrapText="1"/>
    </xf>
    <xf fontId="12" fillId="0" borderId="3" numFmtId="0" xfId="0" applyFont="1" applyBorder="1" applyAlignment="1">
      <alignment horizontal="right" vertical="center" wrapText="1"/>
    </xf>
    <xf fontId="12" fillId="0" borderId="3" numFmtId="0" xfId="0" applyFont="1" applyBorder="1" applyAlignment="1">
      <alignment horizontal="center" vertical="center" wrapText="1"/>
    </xf>
    <xf fontId="12" fillId="0" borderId="3" numFmtId="0" xfId="0" applyFont="1" applyBorder="1" applyAlignment="1">
      <alignment vertical="center" wrapText="1"/>
    </xf>
    <xf fontId="13" fillId="6" borderId="15" numFmtId="0" xfId="0" applyFont="1" applyFill="1" applyBorder="1" applyAlignment="1">
      <alignment horizontal="center" vertical="center" wrapText="1"/>
    </xf>
    <xf fontId="13" fillId="6" borderId="3" numFmtId="0" xfId="0" applyFont="1" applyFill="1" applyBorder="1" applyAlignment="1">
      <alignment horizontal="center" vertical="center" wrapText="1"/>
    </xf>
    <xf fontId="13" fillId="0" borderId="16" numFmtId="0" xfId="0" applyFont="1" applyBorder="1" applyAlignment="1">
      <alignment horizontal="center" vertical="center" wrapText="1"/>
    </xf>
    <xf fontId="14" fillId="0" borderId="3" numFmtId="0" xfId="0" applyFont="1" applyBorder="1" applyAlignment="1">
      <alignment vertical="center" wrapText="1"/>
    </xf>
    <xf fontId="14" fillId="0" borderId="3" numFmtId="0" xfId="0" applyFont="1" applyBorder="1" applyAlignment="1">
      <alignment vertical="top"/>
    </xf>
    <xf fontId="13" fillId="0" borderId="17" numFmtId="0" xfId="0" applyFont="1" applyBorder="1" applyAlignment="1">
      <alignment horizontal="center" vertical="center" wrapText="1"/>
    </xf>
    <xf fontId="14" fillId="0" borderId="3" numFmtId="0" xfId="0" applyFont="1" applyBorder="1"/>
    <xf fontId="14" fillId="0" borderId="3" numFmtId="0" xfId="0" applyFont="1" applyBorder="1" applyAlignment="1" quotePrefix="1">
      <alignment horizontal="left" vertical="center" wrapText="1"/>
    </xf>
    <xf fontId="14" fillId="0" borderId="3" numFmtId="0" xfId="0" applyFont="1" applyBorder="1" applyAlignment="1">
      <alignment horizontal="left" vertical="center" wrapText="1"/>
    </xf>
    <xf fontId="15" fillId="0" borderId="3" numFmtId="0" xfId="1" applyFont="1" applyBorder="1" applyAlignment="1">
      <alignment horizontal="left" vertical="center" wrapText="1"/>
    </xf>
    <xf fontId="15" fillId="0" borderId="3" numFmtId="0" xfId="1" applyFont="1" applyBorder="1" applyAlignment="1">
      <alignment horizontal="left" vertical="center"/>
    </xf>
    <xf fontId="13" fillId="0" borderId="18" numFmtId="0" xfId="0" applyFont="1" applyBorder="1" applyAlignment="1">
      <alignment horizontal="center" vertical="center" wrapText="1"/>
    </xf>
    <xf fontId="16" fillId="0" borderId="3" numFmtId="0" xfId="0" applyFont="1" applyBorder="1" applyAlignment="1">
      <alignment vertical="center" wrapText="1"/>
    </xf>
    <xf fontId="15" fillId="0" borderId="7" numFmtId="0" xfId="1" applyFont="1" applyBorder="1" applyAlignment="1">
      <alignment horizontal="left" vertical="center"/>
    </xf>
    <xf fontId="15" fillId="0" borderId="13" numFmtId="0" xfId="1" applyFont="1" applyBorder="1" applyAlignment="1">
      <alignment horizontal="left" vertical="center"/>
    </xf>
    <xf fontId="15" fillId="0" borderId="9" numFmtId="0" xfId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sheetMetadata" Target="metadata.xml"/><Relationship  Id="rId10" Type="http://schemas.openxmlformats.org/officeDocument/2006/relationships/worksheet" Target="worksheets/sheet6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microsoft.com/office/2017/06/relationships/rdRichValue" Target="richData/rdrichvalue.xml"/><Relationship  Id="rId3" Type="http://schemas.microsoft.com/office/2017/06/relationships/rdRichValueStructure" Target="richData/rdrichvaluestructure.xml"/><Relationship  Id="rId4" Type="http://schemas.microsoft.com/office/2017/06/relationships/rdRichValueTypes" Target="richData/rdRichValueTypes.xml"/><Relationship  Id="rId5" Type="http://schemas.openxmlformats.org/officeDocument/2006/relationships/worksheet" Target="worksheets/sheet1.xml"/><Relationship  Id="rId6" Type="http://schemas.openxmlformats.org/officeDocument/2006/relationships/worksheet" Target="worksheets/sheet2.xml"/><Relationship  Id="rId7" Type="http://schemas.openxmlformats.org/officeDocument/2006/relationships/worksheet" Target="worksheets/sheet3.xml"/><Relationship  Id="rId8" Type="http://schemas.openxmlformats.org/officeDocument/2006/relationships/worksheet" Target="worksheets/sheet4.xml"/><Relationship  Id="rId9" Type="http://schemas.openxmlformats.org/officeDocument/2006/relationships/worksheet" Target="worksheets/sheet5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5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114895</xdr:colOff>
      <xdr:row>0</xdr:row>
      <xdr:rowOff>134143</xdr:rowOff>
    </xdr:from>
    <xdr:to>
      <xdr:col>0</xdr:col>
      <xdr:colOff>562769</xdr:colOff>
      <xdr:row>0</xdr:row>
      <xdr:rowOff>535780</xdr:rowOff>
    </xdr:to>
    <xdr:pic>
      <xdr:nvPicPr>
        <xdr:cNvPr id="2" name="Picture 1" descr="02 - Logo AITS (Gốc) - 1"/>
        <xdr:cNvPicPr>
          <a:picLocks noChangeAspect="1" noChangeArrowheads="1"/>
        </xdr:cNvPicPr>
      </xdr:nvPicPr>
      <xdr:blipFill rotWithShape="1">
        <a:blip r:embed="rId1"/>
        <a:stretch/>
      </xdr:blipFill>
      <xdr:spPr bwMode="auto">
        <a:xfrm>
          <a:off x="114896" y="134143"/>
          <a:ext cx="447873" cy="40163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114895</xdr:colOff>
      <xdr:row>0</xdr:row>
      <xdr:rowOff>134143</xdr:rowOff>
    </xdr:from>
    <xdr:to>
      <xdr:col>0</xdr:col>
      <xdr:colOff>562769</xdr:colOff>
      <xdr:row>0</xdr:row>
      <xdr:rowOff>535780</xdr:rowOff>
    </xdr:to>
    <xdr:pic>
      <xdr:nvPicPr>
        <xdr:cNvPr id="2" name="Picture 1" descr="02 - Logo AITS (Gốc) - 1"/>
        <xdr:cNvPicPr>
          <a:picLocks noChangeAspect="1" noChangeArrowheads="1"/>
        </xdr:cNvPicPr>
      </xdr:nvPicPr>
      <xdr:blipFill rotWithShape="1">
        <a:blip r:embed="rId1"/>
        <a:stretch/>
      </xdr:blipFill>
      <xdr:spPr bwMode="auto">
        <a:xfrm>
          <a:off x="114896" y="134143"/>
          <a:ext cx="447873" cy="40163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0</xdr:rowOff>
    </xdr:from>
    <xdr:to>
      <xdr:col>12</xdr:col>
      <xdr:colOff>65536</xdr:colOff>
      <xdr:row>22</xdr:row>
      <xdr:rowOff>47625</xdr:rowOff>
    </xdr:to>
    <xdr:pic>
      <xdr:nvPicPr>
        <xdr:cNvPr id="2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7380736" cy="423862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0</xdr:row>
      <xdr:rowOff>0</xdr:rowOff>
    </xdr:from>
    <xdr:to>
      <xdr:col>23</xdr:col>
      <xdr:colOff>48482</xdr:colOff>
      <xdr:row>24</xdr:row>
      <xdr:rowOff>181638</xdr:rowOff>
    </xdr:to>
    <xdr:pic>
      <xdr:nvPicPr>
        <xdr:cNvPr id="3" name="Picture 2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7924800" y="0"/>
          <a:ext cx="6144482" cy="47536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171450</xdr:rowOff>
    </xdr:from>
    <xdr:to>
      <xdr:col>8</xdr:col>
      <xdr:colOff>162628</xdr:colOff>
      <xdr:row>42</xdr:row>
      <xdr:rowOff>10008</xdr:rowOff>
    </xdr:to>
    <xdr:pic>
      <xdr:nvPicPr>
        <xdr:cNvPr id="5" name="Picture 4"/>
        <xdr:cNvPicPr>
          <a:picLocks noChangeAspect="1"/>
        </xdr:cNvPicPr>
      </xdr:nvPicPr>
      <xdr:blipFill rotWithShape="1">
        <a:blip r:embed="rId3"/>
        <a:stretch/>
      </xdr:blipFill>
      <xdr:spPr bwMode="auto">
        <a:xfrm>
          <a:off x="0" y="4552950"/>
          <a:ext cx="5039428" cy="345805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22</xdr:col>
      <xdr:colOff>410397</xdr:colOff>
      <xdr:row>55</xdr:row>
      <xdr:rowOff>153166</xdr:rowOff>
    </xdr:to>
    <xdr:pic>
      <xdr:nvPicPr>
        <xdr:cNvPr id="7" name="Picture 6"/>
        <xdr:cNvPicPr>
          <a:picLocks noChangeAspect="1"/>
        </xdr:cNvPicPr>
      </xdr:nvPicPr>
      <xdr:blipFill rotWithShape="1">
        <a:blip r:embed="rId4"/>
        <a:stretch/>
      </xdr:blipFill>
      <xdr:spPr bwMode="auto">
        <a:xfrm>
          <a:off x="7866529" y="5143500"/>
          <a:ext cx="5856456" cy="54871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9</xdr:col>
      <xdr:colOff>155423</xdr:colOff>
      <xdr:row>72</xdr:row>
      <xdr:rowOff>19716</xdr:rowOff>
    </xdr:to>
    <xdr:pic>
      <xdr:nvPicPr>
        <xdr:cNvPr id="8" name="Picture 7"/>
        <xdr:cNvPicPr>
          <a:picLocks noChangeAspect="1"/>
        </xdr:cNvPicPr>
      </xdr:nvPicPr>
      <xdr:blipFill rotWithShape="1">
        <a:blip r:embed="rId5"/>
        <a:stretch/>
      </xdr:blipFill>
      <xdr:spPr bwMode="auto">
        <a:xfrm>
          <a:off x="0" y="8953500"/>
          <a:ext cx="5601482" cy="4782217"/>
        </a:xfrm>
        <a:prstGeom prst="rect">
          <a:avLst/>
        </a:prstGeom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5" workbookViewId="0">
      <selection activeCell="G3" activeCellId="0" sqref="G3:G4"/>
    </sheetView>
  </sheetViews>
  <sheetFormatPr defaultColWidth="9.140625" defaultRowHeight="15" outlineLevelRow="1"/>
  <cols>
    <col customWidth="1" min="1" max="1" style="1" width="8.85546875"/>
    <col customWidth="1" min="2" max="2" style="1" width="21.7109375"/>
    <col customWidth="1" min="3" max="3" style="1" width="21.42578125"/>
    <col customWidth="1" min="4" max="4" style="1" width="31.28515625"/>
    <col customWidth="1" min="5" max="5" style="1" width="17.7109375"/>
    <col customWidth="1" min="6" max="6" style="1" width="22.140625"/>
    <col customWidth="1" min="7" max="7" style="1" width="21.7109375"/>
    <col customWidth="1" min="8" max="8" style="1" width="29.28515625"/>
    <col customWidth="1" min="9" max="9" style="1" width="64.7109375"/>
    <col min="10" max="16384" style="1" width="9.140625"/>
  </cols>
  <sheetData>
    <row r="1" s="2" customFormat="1" ht="45.75" customHeight="1">
      <c r="A1" s="3"/>
      <c r="B1" s="4" t="s">
        <v>0</v>
      </c>
      <c r="C1" s="5"/>
      <c r="D1" s="5"/>
      <c r="E1" s="5"/>
      <c r="F1" s="5"/>
      <c r="G1" s="5"/>
      <c r="H1" s="5"/>
      <c r="I1" s="6" t="s">
        <v>1</v>
      </c>
    </row>
    <row r="2" ht="35.25" customHeight="1">
      <c r="A2" s="7" t="s">
        <v>2</v>
      </c>
      <c r="B2" s="8"/>
      <c r="C2" s="8"/>
      <c r="D2" s="8"/>
      <c r="E2" s="8"/>
      <c r="F2" s="8"/>
      <c r="G2" s="8"/>
    </row>
    <row r="3" ht="45.75" customHeight="1">
      <c r="A3" s="9" t="s">
        <v>3</v>
      </c>
      <c r="B3" s="10" t="s">
        <v>4</v>
      </c>
      <c r="C3" s="11"/>
      <c r="D3" s="12" t="s">
        <v>5</v>
      </c>
      <c r="E3" s="9" t="s">
        <v>6</v>
      </c>
      <c r="F3" s="13" t="s">
        <v>7</v>
      </c>
      <c r="G3" s="12" t="s">
        <v>8</v>
      </c>
      <c r="H3" s="12" t="s">
        <v>9</v>
      </c>
      <c r="I3" s="9" t="s">
        <v>10</v>
      </c>
    </row>
    <row r="4" ht="55.5" customHeight="1">
      <c r="A4" s="9"/>
      <c r="B4" s="10"/>
      <c r="C4" s="14"/>
      <c r="D4" s="14"/>
      <c r="E4" s="15" t="s">
        <v>11</v>
      </c>
      <c r="F4" s="9" t="s">
        <v>12</v>
      </c>
      <c r="G4" s="16"/>
      <c r="H4" s="16"/>
      <c r="I4" s="9"/>
    </row>
    <row r="5" s="17" customFormat="1" ht="35.25" customHeight="1">
      <c r="A5" s="18">
        <v>1</v>
      </c>
      <c r="B5" s="19" t="s">
        <v>13</v>
      </c>
      <c r="C5" s="19"/>
      <c r="D5" s="19"/>
      <c r="E5" s="19"/>
      <c r="F5" s="19"/>
      <c r="G5" s="19"/>
      <c r="H5" s="19"/>
      <c r="I5" s="19"/>
    </row>
    <row r="6" ht="43.5" customHeight="1" outlineLevel="1">
      <c r="A6" s="20"/>
      <c r="B6" s="21" t="s">
        <v>14</v>
      </c>
      <c r="C6" s="22"/>
      <c r="D6" s="23" t="s">
        <v>15</v>
      </c>
      <c r="E6" s="24" t="s">
        <v>16</v>
      </c>
      <c r="F6" s="24" t="s">
        <v>16</v>
      </c>
      <c r="G6" s="25" t="s">
        <v>17</v>
      </c>
      <c r="H6" s="25" t="s">
        <v>17</v>
      </c>
      <c r="I6" s="26"/>
    </row>
    <row r="7" ht="84.75" customHeight="1" outlineLevel="1">
      <c r="A7" s="27"/>
      <c r="B7" s="21"/>
      <c r="C7" s="22"/>
      <c r="D7" s="23" t="s">
        <v>18</v>
      </c>
      <c r="E7" s="24" t="s">
        <v>16</v>
      </c>
      <c r="F7" s="24" t="s">
        <v>16</v>
      </c>
      <c r="G7" s="25" t="s">
        <v>17</v>
      </c>
      <c r="H7" s="28" t="s">
        <v>19</v>
      </c>
      <c r="I7" s="29" t="s">
        <v>20</v>
      </c>
    </row>
    <row r="8" ht="24.75" customHeight="1" outlineLevel="1">
      <c r="A8" s="27"/>
      <c r="B8" s="21"/>
      <c r="C8" s="22"/>
      <c r="D8" s="30" t="s">
        <v>21</v>
      </c>
      <c r="E8" s="24" t="s">
        <v>16</v>
      </c>
      <c r="F8" s="24" t="s">
        <v>16</v>
      </c>
      <c r="G8" s="25" t="s">
        <v>17</v>
      </c>
      <c r="H8" s="28" t="s">
        <v>22</v>
      </c>
      <c r="I8" s="31" t="s">
        <v>23</v>
      </c>
    </row>
    <row r="9" ht="24.75" customHeight="1" outlineLevel="1">
      <c r="A9" s="27"/>
      <c r="B9" s="32"/>
      <c r="C9" s="33"/>
      <c r="D9" s="30" t="s">
        <v>24</v>
      </c>
      <c r="E9" s="24" t="s">
        <v>16</v>
      </c>
      <c r="F9" s="24" t="s">
        <v>16</v>
      </c>
      <c r="G9" s="25" t="s">
        <v>17</v>
      </c>
      <c r="H9" s="28" t="s">
        <v>22</v>
      </c>
      <c r="I9" s="34"/>
    </row>
    <row r="10" ht="24.75" customHeight="1" outlineLevel="1">
      <c r="A10" s="27"/>
      <c r="B10" s="35" t="s">
        <v>25</v>
      </c>
      <c r="C10" s="36"/>
      <c r="D10" s="6" t="s">
        <v>26</v>
      </c>
      <c r="E10" s="24" t="s">
        <v>16</v>
      </c>
      <c r="F10" s="24" t="s">
        <v>16</v>
      </c>
      <c r="G10" s="25" t="s">
        <v>17</v>
      </c>
      <c r="H10" s="28" t="s">
        <v>22</v>
      </c>
      <c r="I10" s="34"/>
    </row>
    <row r="11" ht="24.75" customHeight="1" outlineLevel="1">
      <c r="A11" s="27"/>
      <c r="B11" s="21"/>
      <c r="C11" s="22"/>
      <c r="D11" s="23" t="s">
        <v>27</v>
      </c>
      <c r="E11" s="24" t="s">
        <v>16</v>
      </c>
      <c r="F11" s="24" t="s">
        <v>16</v>
      </c>
      <c r="G11" s="25" t="s">
        <v>17</v>
      </c>
      <c r="H11" s="28" t="s">
        <v>22</v>
      </c>
      <c r="I11" s="34"/>
    </row>
    <row r="12" ht="24.75" customHeight="1" outlineLevel="1">
      <c r="A12" s="37"/>
      <c r="B12" s="21"/>
      <c r="C12" s="22"/>
      <c r="D12" s="38" t="s">
        <v>28</v>
      </c>
      <c r="E12" s="24" t="s">
        <v>16</v>
      </c>
      <c r="F12" s="24" t="s">
        <v>16</v>
      </c>
      <c r="G12" s="25" t="s">
        <v>17</v>
      </c>
      <c r="H12" s="28" t="s">
        <v>22</v>
      </c>
      <c r="I12" s="29"/>
    </row>
    <row r="13" s="17" customFormat="1" ht="44.25" customHeight="1">
      <c r="A13" s="18">
        <v>2</v>
      </c>
      <c r="B13" s="39" t="s">
        <v>29</v>
      </c>
      <c r="C13" s="40"/>
      <c r="D13" s="40"/>
      <c r="E13" s="40"/>
      <c r="F13" s="40"/>
      <c r="G13" s="40"/>
      <c r="H13" s="41"/>
      <c r="I13" s="42"/>
    </row>
    <row r="14" ht="31.5" customHeight="1" outlineLevel="1">
      <c r="A14" s="20"/>
      <c r="B14" s="21" t="s">
        <v>14</v>
      </c>
      <c r="C14" s="22"/>
      <c r="D14" s="23" t="s">
        <v>30</v>
      </c>
      <c r="E14" s="24"/>
      <c r="F14" s="24" t="s">
        <v>16</v>
      </c>
      <c r="G14" s="25" t="s">
        <v>17</v>
      </c>
      <c r="H14" s="25" t="s">
        <v>17</v>
      </c>
      <c r="I14" s="26"/>
    </row>
    <row r="15" ht="31.5" customHeight="1" outlineLevel="1">
      <c r="A15" s="27"/>
      <c r="B15" s="21"/>
      <c r="C15" s="22"/>
      <c r="D15" s="23" t="s">
        <v>31</v>
      </c>
      <c r="E15" s="24"/>
      <c r="F15" s="24" t="s">
        <v>16</v>
      </c>
      <c r="G15" s="25" t="s">
        <v>17</v>
      </c>
      <c r="H15" s="28" t="s">
        <v>22</v>
      </c>
      <c r="I15" s="31" t="s">
        <v>23</v>
      </c>
    </row>
    <row r="16" ht="31.5" customHeight="1" outlineLevel="1">
      <c r="A16" s="27"/>
      <c r="B16" s="21"/>
      <c r="C16" s="22"/>
      <c r="D16" s="30" t="s">
        <v>32</v>
      </c>
      <c r="E16" s="24"/>
      <c r="F16" s="24" t="s">
        <v>16</v>
      </c>
      <c r="G16" s="25" t="s">
        <v>17</v>
      </c>
      <c r="H16" s="28" t="s">
        <v>22</v>
      </c>
      <c r="I16" s="34"/>
    </row>
    <row r="17" ht="31.5" customHeight="1" outlineLevel="1">
      <c r="A17" s="27"/>
      <c r="B17" s="32"/>
      <c r="C17" s="33"/>
      <c r="D17" s="30" t="s">
        <v>24</v>
      </c>
      <c r="E17" s="24"/>
      <c r="F17" s="24" t="s">
        <v>16</v>
      </c>
      <c r="G17" s="25" t="s">
        <v>17</v>
      </c>
      <c r="H17" s="28" t="s">
        <v>22</v>
      </c>
      <c r="I17" s="34"/>
    </row>
    <row r="18" ht="31.5" customHeight="1" outlineLevel="1">
      <c r="A18" s="27"/>
      <c r="B18" s="35" t="s">
        <v>25</v>
      </c>
      <c r="C18" s="36"/>
      <c r="D18" s="6" t="s">
        <v>33</v>
      </c>
      <c r="E18" s="24"/>
      <c r="F18" s="24" t="s">
        <v>16</v>
      </c>
      <c r="G18" s="25" t="s">
        <v>17</v>
      </c>
      <c r="H18" s="28" t="s">
        <v>22</v>
      </c>
      <c r="I18" s="34"/>
    </row>
    <row r="19" ht="31.5" customHeight="1" outlineLevel="1">
      <c r="A19" s="27"/>
      <c r="B19" s="21"/>
      <c r="C19" s="22"/>
      <c r="D19" s="23" t="s">
        <v>34</v>
      </c>
      <c r="E19" s="24"/>
      <c r="F19" s="24" t="s">
        <v>16</v>
      </c>
      <c r="G19" s="25" t="s">
        <v>17</v>
      </c>
      <c r="H19" s="28" t="s">
        <v>22</v>
      </c>
      <c r="I19" s="34"/>
    </row>
    <row r="20" ht="31.5" customHeight="1" outlineLevel="1">
      <c r="A20" s="37"/>
      <c r="B20" s="21"/>
      <c r="C20" s="22"/>
      <c r="D20" s="38" t="s">
        <v>28</v>
      </c>
      <c r="E20" s="24"/>
      <c r="F20" s="24" t="s">
        <v>16</v>
      </c>
      <c r="G20" s="25" t="s">
        <v>17</v>
      </c>
      <c r="H20" s="28" t="s">
        <v>22</v>
      </c>
      <c r="I20" s="29"/>
    </row>
    <row r="21" s="17" customFormat="1" ht="75" customHeight="1">
      <c r="A21" s="18">
        <v>3</v>
      </c>
      <c r="B21" s="19" t="s">
        <v>35</v>
      </c>
      <c r="C21" s="19"/>
      <c r="D21" s="19"/>
      <c r="E21" s="19"/>
      <c r="F21" s="19"/>
      <c r="G21" s="19"/>
      <c r="H21" s="19"/>
      <c r="I21" s="42"/>
    </row>
    <row r="22" ht="30" customHeight="1" outlineLevel="1">
      <c r="A22" s="43"/>
      <c r="B22" s="44" t="s">
        <v>14</v>
      </c>
      <c r="C22" s="44"/>
      <c r="D22" s="23" t="s">
        <v>30</v>
      </c>
      <c r="E22" s="24"/>
      <c r="F22" s="24" t="s">
        <v>16</v>
      </c>
      <c r="G22" s="25" t="s">
        <v>17</v>
      </c>
      <c r="H22" s="28" t="s">
        <v>22</v>
      </c>
      <c r="I22" s="31" t="s">
        <v>23</v>
      </c>
    </row>
    <row r="23" ht="30" customHeight="1" outlineLevel="1">
      <c r="A23" s="43"/>
      <c r="B23" s="44"/>
      <c r="C23" s="44"/>
      <c r="D23" s="23" t="s">
        <v>31</v>
      </c>
      <c r="E23" s="24"/>
      <c r="F23" s="24" t="s">
        <v>16</v>
      </c>
      <c r="G23" s="25" t="s">
        <v>17</v>
      </c>
      <c r="H23" s="28" t="s">
        <v>22</v>
      </c>
      <c r="I23" s="34"/>
    </row>
    <row r="24" ht="30" customHeight="1" outlineLevel="1">
      <c r="A24" s="43"/>
      <c r="B24" s="44"/>
      <c r="C24" s="44"/>
      <c r="D24" s="30" t="s">
        <v>21</v>
      </c>
      <c r="E24" s="24"/>
      <c r="F24" s="24" t="s">
        <v>16</v>
      </c>
      <c r="G24" s="25" t="s">
        <v>17</v>
      </c>
      <c r="H24" s="28" t="s">
        <v>22</v>
      </c>
      <c r="I24" s="34"/>
    </row>
    <row r="25" ht="30" customHeight="1" outlineLevel="1">
      <c r="A25" s="43"/>
      <c r="B25" s="44"/>
      <c r="C25" s="44"/>
      <c r="D25" s="30" t="s">
        <v>24</v>
      </c>
      <c r="E25" s="24"/>
      <c r="F25" s="24" t="s">
        <v>16</v>
      </c>
      <c r="G25" s="25" t="s">
        <v>17</v>
      </c>
      <c r="H25" s="28" t="s">
        <v>22</v>
      </c>
      <c r="I25" s="34"/>
    </row>
    <row r="26" ht="30" customHeight="1" outlineLevel="1">
      <c r="A26" s="43"/>
      <c r="B26" s="44" t="s">
        <v>25</v>
      </c>
      <c r="C26" s="44"/>
      <c r="D26" s="6" t="s">
        <v>33</v>
      </c>
      <c r="E26" s="24"/>
      <c r="F26" s="24" t="s">
        <v>16</v>
      </c>
      <c r="G26" s="25" t="s">
        <v>17</v>
      </c>
      <c r="H26" s="28" t="s">
        <v>22</v>
      </c>
      <c r="I26" s="34"/>
    </row>
    <row r="27" ht="30" customHeight="1" outlineLevel="1">
      <c r="A27" s="43"/>
      <c r="B27" s="44"/>
      <c r="C27" s="44"/>
      <c r="D27" s="30" t="s">
        <v>27</v>
      </c>
      <c r="E27" s="24"/>
      <c r="F27" s="24" t="s">
        <v>16</v>
      </c>
      <c r="G27" s="25" t="s">
        <v>17</v>
      </c>
      <c r="H27" s="28" t="s">
        <v>22</v>
      </c>
      <c r="I27" s="34"/>
    </row>
    <row r="28" ht="30" customHeight="1" outlineLevel="1">
      <c r="A28" s="43"/>
      <c r="B28" s="44"/>
      <c r="C28" s="44"/>
      <c r="D28" s="6" t="s">
        <v>28</v>
      </c>
      <c r="E28" s="24"/>
      <c r="F28" s="24" t="s">
        <v>16</v>
      </c>
      <c r="G28" s="25" t="s">
        <v>17</v>
      </c>
      <c r="H28" s="28" t="s">
        <v>22</v>
      </c>
      <c r="I28" s="29"/>
    </row>
    <row r="29" s="17" customFormat="1" ht="36.75" customHeight="1">
      <c r="A29" s="18">
        <v>4</v>
      </c>
      <c r="B29" s="39" t="s">
        <v>36</v>
      </c>
      <c r="C29" s="40"/>
      <c r="D29" s="40"/>
      <c r="E29" s="40"/>
      <c r="F29" s="40"/>
      <c r="G29" s="40"/>
      <c r="H29" s="40"/>
      <c r="I29" s="41"/>
    </row>
    <row r="30" ht="101.25" customHeight="1" outlineLevel="1">
      <c r="A30" s="45"/>
      <c r="B30" s="44" t="s">
        <v>37</v>
      </c>
      <c r="C30" s="44"/>
      <c r="D30" s="6" t="s">
        <v>38</v>
      </c>
      <c r="E30" s="24"/>
      <c r="F30" s="24"/>
      <c r="G30" s="25" t="s">
        <v>17</v>
      </c>
      <c r="H30" s="28" t="s">
        <v>22</v>
      </c>
      <c r="I30" s="46" t="s">
        <v>23</v>
      </c>
    </row>
    <row r="31" s="17" customFormat="1" ht="33" customHeight="1">
      <c r="A31" s="18">
        <v>5</v>
      </c>
      <c r="B31" s="19" t="s">
        <v>39</v>
      </c>
      <c r="C31" s="19"/>
      <c r="D31" s="19"/>
      <c r="E31" s="19"/>
      <c r="F31" s="19"/>
      <c r="G31" s="19"/>
      <c r="H31" s="19"/>
      <c r="I31" s="19"/>
    </row>
    <row r="32" ht="34.5" customHeight="1" outlineLevel="1">
      <c r="A32" s="45"/>
      <c r="B32" s="35" t="s">
        <v>40</v>
      </c>
      <c r="C32" s="36"/>
      <c r="D32" s="6" t="s">
        <v>33</v>
      </c>
      <c r="E32" s="24" t="s">
        <v>16</v>
      </c>
      <c r="F32" s="24" t="s">
        <v>16</v>
      </c>
      <c r="G32" s="25" t="s">
        <v>17</v>
      </c>
      <c r="H32" s="25" t="s">
        <v>17</v>
      </c>
      <c r="I32" s="45"/>
    </row>
    <row r="33" ht="114" customHeight="1" outlineLevel="1">
      <c r="A33" s="45"/>
      <c r="B33" s="21"/>
      <c r="C33" s="22"/>
      <c r="D33" s="23" t="s">
        <v>27</v>
      </c>
      <c r="E33" s="24" t="s">
        <v>16</v>
      </c>
      <c r="F33" s="24" t="s">
        <v>16</v>
      </c>
      <c r="G33" s="25" t="s">
        <v>17</v>
      </c>
      <c r="H33" s="28" t="s">
        <v>19</v>
      </c>
      <c r="I33" s="46" t="s">
        <v>20</v>
      </c>
    </row>
    <row r="34" ht="114.75" customHeight="1" outlineLevel="1">
      <c r="A34" s="45"/>
      <c r="B34" s="32"/>
      <c r="C34" s="33"/>
      <c r="D34" s="6" t="s">
        <v>28</v>
      </c>
      <c r="E34" s="24" t="s">
        <v>16</v>
      </c>
      <c r="F34" s="24" t="s">
        <v>16</v>
      </c>
      <c r="G34" s="25" t="s">
        <v>17</v>
      </c>
      <c r="H34" s="28" t="s">
        <v>22</v>
      </c>
      <c r="I34" s="46" t="s">
        <v>23</v>
      </c>
    </row>
  </sheetData>
  <mergeCells count="26">
    <mergeCell ref="B29:I29"/>
    <mergeCell ref="B30:C30"/>
    <mergeCell ref="B31:I31"/>
    <mergeCell ref="A32:A34"/>
    <mergeCell ref="B32:C34"/>
    <mergeCell ref="B18:C20"/>
    <mergeCell ref="B21:H21"/>
    <mergeCell ref="A22:A28"/>
    <mergeCell ref="B22:C25"/>
    <mergeCell ref="B26:C28"/>
    <mergeCell ref="I8:I12"/>
    <mergeCell ref="I15:I20"/>
    <mergeCell ref="I22:I28"/>
    <mergeCell ref="B13:H13"/>
    <mergeCell ref="B1:H1"/>
    <mergeCell ref="A2:G2"/>
    <mergeCell ref="B3:C3"/>
    <mergeCell ref="G3:G4"/>
    <mergeCell ref="H3:H4"/>
    <mergeCell ref="I3:I4"/>
    <mergeCell ref="B5:I5"/>
    <mergeCell ref="A6:A12"/>
    <mergeCell ref="B6:C9"/>
    <mergeCell ref="B10:C12"/>
    <mergeCell ref="A14:A20"/>
    <mergeCell ref="B14:C1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0" workbookViewId="0">
      <selection activeCell="F22" activeCellId="0" sqref="F22"/>
    </sheetView>
  </sheetViews>
  <sheetFormatPr defaultColWidth="9.140625" defaultRowHeight="14.25" outlineLevelRow="1"/>
  <cols>
    <col customWidth="1" min="1" max="1" style="1" width="8.85546875"/>
    <col customWidth="1" min="2" max="2" style="1" width="21.7109375"/>
    <col customWidth="1" min="3" max="3" style="1" width="21.42578125"/>
    <col customWidth="1" min="4" max="4" style="1" width="31.28515625"/>
    <col customWidth="1" min="5" max="5" style="1" width="21.85546875"/>
    <col customWidth="1" min="6" max="6" style="1" width="22.140625"/>
    <col customWidth="1" min="7" max="7" style="1" width="16.5703125"/>
    <col customWidth="1" min="8" max="8" style="1" width="28"/>
    <col customWidth="1" min="9" max="9" style="1" width="31.5703125"/>
    <col customWidth="1" min="10" max="10" style="1" width="64.7109375"/>
    <col min="11" max="16384" style="1" width="9.140625"/>
  </cols>
  <sheetData>
    <row r="1" s="2" customFormat="1" ht="45.75" customHeight="1">
      <c r="A1" s="3"/>
      <c r="B1" s="4" t="s">
        <v>0</v>
      </c>
      <c r="C1" s="5"/>
      <c r="D1" s="5"/>
      <c r="E1" s="5"/>
      <c r="F1" s="5"/>
      <c r="G1" s="5"/>
      <c r="H1" s="5"/>
      <c r="I1" s="5"/>
      <c r="J1" s="6" t="s">
        <v>1</v>
      </c>
    </row>
    <row r="2" ht="35.25" customHeight="1">
      <c r="A2" s="7" t="s">
        <v>2</v>
      </c>
      <c r="B2" s="8"/>
      <c r="C2" s="8"/>
      <c r="D2" s="8"/>
      <c r="E2" s="8"/>
      <c r="F2" s="8"/>
      <c r="G2" s="8"/>
      <c r="H2" s="8"/>
    </row>
    <row r="3" ht="45.75" customHeight="1">
      <c r="A3" s="9" t="s">
        <v>3</v>
      </c>
      <c r="B3" s="9" t="s">
        <v>4</v>
      </c>
      <c r="C3" s="9"/>
      <c r="D3" s="9" t="s">
        <v>5</v>
      </c>
      <c r="E3" s="9" t="s">
        <v>6</v>
      </c>
      <c r="F3" s="9"/>
      <c r="G3" s="9" t="s">
        <v>7</v>
      </c>
      <c r="H3" s="9" t="s">
        <v>8</v>
      </c>
      <c r="I3" s="9" t="s">
        <v>9</v>
      </c>
      <c r="J3" s="9" t="s">
        <v>10</v>
      </c>
    </row>
    <row r="4" ht="55.5" customHeight="1">
      <c r="A4" s="9"/>
      <c r="B4" s="9"/>
      <c r="C4" s="9"/>
      <c r="D4" s="9"/>
      <c r="E4" s="9" t="s">
        <v>11</v>
      </c>
      <c r="F4" s="9" t="s">
        <v>12</v>
      </c>
      <c r="G4" s="9" t="s">
        <v>41</v>
      </c>
      <c r="H4" s="47" t="s">
        <v>19</v>
      </c>
      <c r="I4" s="9"/>
      <c r="J4" s="9"/>
    </row>
    <row r="5" s="17" customFormat="1" ht="35.25" customHeight="1">
      <c r="A5" s="18">
        <v>1</v>
      </c>
      <c r="B5" s="19" t="s">
        <v>13</v>
      </c>
      <c r="C5" s="19"/>
      <c r="D5" s="19"/>
      <c r="E5" s="19"/>
      <c r="F5" s="19"/>
      <c r="G5" s="19"/>
      <c r="H5" s="19"/>
      <c r="I5" s="19"/>
      <c r="J5" s="19"/>
    </row>
    <row r="6" ht="39" customHeight="1" outlineLevel="1">
      <c r="A6" s="20"/>
      <c r="B6" s="21" t="s">
        <v>14</v>
      </c>
      <c r="C6" s="22"/>
      <c r="D6" s="23" t="s">
        <v>15</v>
      </c>
      <c r="E6" s="24" t="s">
        <v>16</v>
      </c>
      <c r="F6" s="24" t="s">
        <v>16</v>
      </c>
      <c r="G6" s="31" t="s">
        <v>17</v>
      </c>
      <c r="H6" s="31" t="s">
        <v>19</v>
      </c>
      <c r="I6" s="25" t="s">
        <v>17</v>
      </c>
      <c r="J6" s="31" t="s">
        <v>20</v>
      </c>
    </row>
    <row r="7" ht="39" customHeight="1" outlineLevel="1">
      <c r="A7" s="27"/>
      <c r="B7" s="21"/>
      <c r="C7" s="22"/>
      <c r="D7" s="23" t="s">
        <v>18</v>
      </c>
      <c r="E7" s="24" t="s">
        <v>16</v>
      </c>
      <c r="F7" s="24" t="s">
        <v>16</v>
      </c>
      <c r="G7" s="34"/>
      <c r="H7" s="34"/>
      <c r="I7" s="28" t="s">
        <v>19</v>
      </c>
      <c r="J7" s="34"/>
    </row>
    <row r="8" ht="39" customHeight="1" outlineLevel="1">
      <c r="A8" s="27"/>
      <c r="B8" s="21"/>
      <c r="C8" s="22"/>
      <c r="D8" s="30" t="s">
        <v>21</v>
      </c>
      <c r="E8" s="24" t="s">
        <v>16</v>
      </c>
      <c r="F8" s="24" t="s">
        <v>16</v>
      </c>
      <c r="G8" s="34"/>
      <c r="H8" s="34"/>
      <c r="I8" s="28" t="s">
        <v>22</v>
      </c>
      <c r="J8" s="34"/>
    </row>
    <row r="9" ht="39" customHeight="1" outlineLevel="1">
      <c r="A9" s="27"/>
      <c r="B9" s="32"/>
      <c r="C9" s="33"/>
      <c r="D9" s="30" t="s">
        <v>24</v>
      </c>
      <c r="E9" s="24" t="s">
        <v>16</v>
      </c>
      <c r="F9" s="24" t="s">
        <v>16</v>
      </c>
      <c r="G9" s="34"/>
      <c r="H9" s="34"/>
      <c r="I9" s="28" t="s">
        <v>22</v>
      </c>
      <c r="J9" s="34"/>
    </row>
    <row r="10" ht="39" customHeight="1" outlineLevel="1">
      <c r="A10" s="27"/>
      <c r="B10" s="35" t="s">
        <v>25</v>
      </c>
      <c r="C10" s="36"/>
      <c r="D10" s="6" t="s">
        <v>26</v>
      </c>
      <c r="E10" s="24" t="s">
        <v>16</v>
      </c>
      <c r="F10" s="24" t="s">
        <v>16</v>
      </c>
      <c r="G10" s="34"/>
      <c r="H10" s="34"/>
      <c r="I10" s="28" t="s">
        <v>22</v>
      </c>
      <c r="J10" s="34"/>
    </row>
    <row r="11" ht="39" customHeight="1" outlineLevel="1">
      <c r="A11" s="27"/>
      <c r="B11" s="21"/>
      <c r="C11" s="22"/>
      <c r="D11" s="23" t="s">
        <v>27</v>
      </c>
      <c r="E11" s="24" t="s">
        <v>16</v>
      </c>
      <c r="F11" s="24" t="s">
        <v>16</v>
      </c>
      <c r="G11" s="34"/>
      <c r="H11" s="34"/>
      <c r="I11" s="28" t="s">
        <v>22</v>
      </c>
      <c r="J11" s="34"/>
    </row>
    <row r="12" ht="39" customHeight="1" outlineLevel="1">
      <c r="A12" s="37"/>
      <c r="B12" s="21"/>
      <c r="C12" s="22"/>
      <c r="D12" s="38" t="s">
        <v>28</v>
      </c>
      <c r="E12" s="24" t="s">
        <v>16</v>
      </c>
      <c r="F12" s="24" t="s">
        <v>16</v>
      </c>
      <c r="G12" s="29"/>
      <c r="H12" s="29"/>
      <c r="I12" s="28" t="s">
        <v>22</v>
      </c>
      <c r="J12" s="29"/>
    </row>
    <row r="13" s="17" customFormat="1" ht="44.25" customHeight="1">
      <c r="A13" s="18">
        <v>2</v>
      </c>
      <c r="B13" s="39" t="s">
        <v>29</v>
      </c>
      <c r="C13" s="40"/>
      <c r="D13" s="40"/>
      <c r="E13" s="40"/>
      <c r="F13" s="40"/>
      <c r="G13" s="40"/>
      <c r="H13" s="40"/>
      <c r="I13" s="41"/>
      <c r="J13" s="42"/>
    </row>
    <row r="14" ht="31.5" customHeight="1" outlineLevel="1">
      <c r="A14" s="20"/>
      <c r="B14" s="21" t="s">
        <v>14</v>
      </c>
      <c r="C14" s="22"/>
      <c r="D14" s="23" t="s">
        <v>30</v>
      </c>
      <c r="E14" s="24"/>
      <c r="F14" s="24" t="s">
        <v>16</v>
      </c>
      <c r="G14" s="31" t="s">
        <v>17</v>
      </c>
      <c r="H14" s="31" t="s">
        <v>19</v>
      </c>
      <c r="I14" s="25" t="s">
        <v>17</v>
      </c>
      <c r="J14" s="31" t="str">
        <f>J6</f>
        <v xml:space="preserve">- Mr. Nguyễn Quốc Hùng: VPDDMN (CNTTMN, KDMN)
- Mr. Đào Việt Dũng: BU1, BU2, BU3, TVPTSP
- Mr. Bùi Tuấn Anh: SPDVHT-ANTT, SPDVPM, DVKH
- Mr. Trịnh Quốc Phong: TCKT, TCHC, ĐBCL, KHĐT
- Mr. Trần Ngọc Tuyến: TTXLDL</v>
      </c>
    </row>
    <row r="15" ht="31.5" customHeight="1" outlineLevel="1">
      <c r="A15" s="27"/>
      <c r="B15" s="21"/>
      <c r="C15" s="22"/>
      <c r="D15" s="23" t="s">
        <v>31</v>
      </c>
      <c r="E15" s="24"/>
      <c r="F15" s="24" t="s">
        <v>16</v>
      </c>
      <c r="G15" s="34"/>
      <c r="H15" s="34"/>
      <c r="I15" s="28" t="s">
        <v>22</v>
      </c>
      <c r="J15" s="34"/>
    </row>
    <row r="16" ht="31.5" customHeight="1" outlineLevel="1">
      <c r="A16" s="27"/>
      <c r="B16" s="21"/>
      <c r="C16" s="22"/>
      <c r="D16" s="30" t="s">
        <v>32</v>
      </c>
      <c r="E16" s="24"/>
      <c r="F16" s="24" t="s">
        <v>16</v>
      </c>
      <c r="G16" s="34"/>
      <c r="H16" s="34"/>
      <c r="I16" s="28" t="s">
        <v>22</v>
      </c>
      <c r="J16" s="34"/>
    </row>
    <row r="17" ht="31.5" customHeight="1" outlineLevel="1">
      <c r="A17" s="27"/>
      <c r="B17" s="32"/>
      <c r="C17" s="33"/>
      <c r="D17" s="30" t="s">
        <v>24</v>
      </c>
      <c r="E17" s="24"/>
      <c r="F17" s="24" t="s">
        <v>16</v>
      </c>
      <c r="G17" s="34"/>
      <c r="H17" s="34"/>
      <c r="I17" s="28" t="s">
        <v>22</v>
      </c>
      <c r="J17" s="34"/>
    </row>
    <row r="18" ht="31.5" customHeight="1" outlineLevel="1">
      <c r="A18" s="27"/>
      <c r="B18" s="35" t="s">
        <v>25</v>
      </c>
      <c r="C18" s="36"/>
      <c r="D18" s="6" t="s">
        <v>33</v>
      </c>
      <c r="E18" s="24"/>
      <c r="F18" s="24" t="s">
        <v>16</v>
      </c>
      <c r="G18" s="34"/>
      <c r="H18" s="34"/>
      <c r="I18" s="28" t="s">
        <v>22</v>
      </c>
      <c r="J18" s="34"/>
    </row>
    <row r="19" ht="31.5" customHeight="1" outlineLevel="1">
      <c r="A19" s="27"/>
      <c r="B19" s="21"/>
      <c r="C19" s="22"/>
      <c r="D19" s="23" t="s">
        <v>34</v>
      </c>
      <c r="E19" s="24"/>
      <c r="F19" s="24" t="s">
        <v>16</v>
      </c>
      <c r="G19" s="34"/>
      <c r="H19" s="34"/>
      <c r="I19" s="28" t="s">
        <v>22</v>
      </c>
      <c r="J19" s="34"/>
    </row>
    <row r="20" ht="31.5" customHeight="1" outlineLevel="1">
      <c r="A20" s="37"/>
      <c r="B20" s="21"/>
      <c r="C20" s="22"/>
      <c r="D20" s="38" t="s">
        <v>28</v>
      </c>
      <c r="E20" s="24"/>
      <c r="F20" s="24" t="s">
        <v>16</v>
      </c>
      <c r="G20" s="29"/>
      <c r="H20" s="29"/>
      <c r="I20" s="28" t="s">
        <v>22</v>
      </c>
      <c r="J20" s="29"/>
    </row>
    <row r="21" s="17" customFormat="1" ht="72" customHeight="1">
      <c r="A21" s="18">
        <v>3</v>
      </c>
      <c r="B21" s="19" t="s">
        <v>35</v>
      </c>
      <c r="C21" s="19"/>
      <c r="D21" s="19"/>
      <c r="E21" s="19"/>
      <c r="F21" s="19"/>
      <c r="G21" s="19"/>
      <c r="H21" s="19"/>
      <c r="I21" s="19"/>
      <c r="J21" s="42"/>
    </row>
    <row r="22" ht="30" customHeight="1" outlineLevel="1">
      <c r="A22" s="43"/>
      <c r="B22" s="44" t="s">
        <v>14</v>
      </c>
      <c r="C22" s="44"/>
      <c r="D22" s="23" t="s">
        <v>30</v>
      </c>
      <c r="E22" s="24"/>
      <c r="F22" s="24" t="s">
        <v>16</v>
      </c>
      <c r="G22" s="31" t="s">
        <v>17</v>
      </c>
      <c r="H22" s="31" t="s">
        <v>19</v>
      </c>
      <c r="I22" s="28" t="s">
        <v>22</v>
      </c>
      <c r="J22" s="31" t="s">
        <v>20</v>
      </c>
    </row>
    <row r="23" ht="30" customHeight="1" outlineLevel="1">
      <c r="A23" s="43"/>
      <c r="B23" s="44"/>
      <c r="C23" s="44"/>
      <c r="D23" s="23" t="s">
        <v>31</v>
      </c>
      <c r="E23" s="24"/>
      <c r="F23" s="24" t="s">
        <v>16</v>
      </c>
      <c r="G23" s="34"/>
      <c r="H23" s="34"/>
      <c r="I23" s="28" t="s">
        <v>22</v>
      </c>
      <c r="J23" s="34"/>
    </row>
    <row r="24" ht="30" customHeight="1" outlineLevel="1">
      <c r="A24" s="43"/>
      <c r="B24" s="44"/>
      <c r="C24" s="44"/>
      <c r="D24" s="30" t="s">
        <v>21</v>
      </c>
      <c r="E24" s="24"/>
      <c r="F24" s="24" t="s">
        <v>16</v>
      </c>
      <c r="G24" s="34"/>
      <c r="H24" s="34"/>
      <c r="I24" s="28" t="s">
        <v>22</v>
      </c>
      <c r="J24" s="34"/>
    </row>
    <row r="25" ht="30" customHeight="1" outlineLevel="1">
      <c r="A25" s="43"/>
      <c r="B25" s="44"/>
      <c r="C25" s="44"/>
      <c r="D25" s="30" t="s">
        <v>24</v>
      </c>
      <c r="E25" s="24"/>
      <c r="F25" s="24" t="s">
        <v>16</v>
      </c>
      <c r="G25" s="34"/>
      <c r="H25" s="34"/>
      <c r="I25" s="28" t="s">
        <v>22</v>
      </c>
      <c r="J25" s="34"/>
    </row>
    <row r="26" ht="30" customHeight="1" outlineLevel="1">
      <c r="A26" s="43"/>
      <c r="B26" s="44" t="s">
        <v>25</v>
      </c>
      <c r="C26" s="44"/>
      <c r="D26" s="6" t="s">
        <v>33</v>
      </c>
      <c r="E26" s="24"/>
      <c r="F26" s="24" t="s">
        <v>16</v>
      </c>
      <c r="G26" s="34"/>
      <c r="H26" s="34"/>
      <c r="I26" s="28" t="s">
        <v>22</v>
      </c>
      <c r="J26" s="34"/>
    </row>
    <row r="27" ht="30" customHeight="1" outlineLevel="1">
      <c r="A27" s="43"/>
      <c r="B27" s="44"/>
      <c r="C27" s="44"/>
      <c r="D27" s="30" t="s">
        <v>27</v>
      </c>
      <c r="E27" s="24"/>
      <c r="F27" s="24" t="s">
        <v>16</v>
      </c>
      <c r="G27" s="34"/>
      <c r="H27" s="34"/>
      <c r="I27" s="28" t="s">
        <v>22</v>
      </c>
      <c r="J27" s="34"/>
    </row>
    <row r="28" ht="30" customHeight="1" outlineLevel="1">
      <c r="A28" s="43"/>
      <c r="B28" s="44"/>
      <c r="C28" s="44"/>
      <c r="D28" s="6" t="s">
        <v>28</v>
      </c>
      <c r="E28" s="24"/>
      <c r="F28" s="24" t="s">
        <v>16</v>
      </c>
      <c r="G28" s="29"/>
      <c r="H28" s="29"/>
      <c r="I28" s="28" t="s">
        <v>22</v>
      </c>
      <c r="J28" s="29"/>
    </row>
    <row r="29" s="17" customFormat="1" ht="36.75" customHeight="1">
      <c r="A29" s="18">
        <v>4</v>
      </c>
      <c r="B29" s="39" t="s">
        <v>36</v>
      </c>
      <c r="C29" s="40"/>
      <c r="D29" s="40"/>
      <c r="E29" s="40"/>
      <c r="F29" s="40"/>
      <c r="G29" s="40"/>
      <c r="H29" s="40"/>
      <c r="I29" s="40"/>
      <c r="J29" s="41"/>
    </row>
    <row r="30" ht="101.25" customHeight="1" outlineLevel="1">
      <c r="A30" s="45"/>
      <c r="B30" s="44" t="s">
        <v>37</v>
      </c>
      <c r="C30" s="44"/>
      <c r="D30" s="6" t="s">
        <v>38</v>
      </c>
      <c r="E30" s="24"/>
      <c r="F30" s="24"/>
      <c r="G30" s="29" t="s">
        <v>17</v>
      </c>
      <c r="H30" s="29" t="str">
        <f>H22</f>
        <v xml:space="preserve">PTGĐ khối/TV BĐH phụ trách các khối/GDTT/PT.VPDD</v>
      </c>
      <c r="I30" s="28" t="s">
        <v>22</v>
      </c>
      <c r="J30" s="46" t="s">
        <v>20</v>
      </c>
    </row>
    <row r="31" s="17" customFormat="1" ht="33" customHeight="1">
      <c r="A31" s="18">
        <v>5</v>
      </c>
      <c r="B31" s="19" t="s">
        <v>39</v>
      </c>
      <c r="C31" s="19"/>
      <c r="D31" s="19"/>
      <c r="E31" s="19"/>
      <c r="F31" s="19"/>
      <c r="G31" s="19"/>
      <c r="H31" s="19"/>
      <c r="I31" s="19"/>
      <c r="J31" s="19"/>
    </row>
    <row r="32" ht="34.5" customHeight="1" outlineLevel="1">
      <c r="A32" s="45"/>
      <c r="B32" s="35" t="s">
        <v>40</v>
      </c>
      <c r="C32" s="36"/>
      <c r="D32" s="6" t="s">
        <v>33</v>
      </c>
      <c r="E32" s="24" t="s">
        <v>16</v>
      </c>
      <c r="F32" s="24" t="s">
        <v>16</v>
      </c>
      <c r="G32" s="31" t="str">
        <f>G30</f>
        <v xml:space="preserve">Trần Thị Hà</v>
      </c>
      <c r="H32" s="31" t="str">
        <f>H30</f>
        <v xml:space="preserve">PTGĐ khối/TV BĐH phụ trách các khối/GDTT/PT.VPDD</v>
      </c>
      <c r="I32" s="25" t="s">
        <v>17</v>
      </c>
      <c r="J32" s="45"/>
    </row>
    <row r="33" ht="75" outlineLevel="1">
      <c r="A33" s="45"/>
      <c r="B33" s="21"/>
      <c r="C33" s="22"/>
      <c r="D33" s="23" t="s">
        <v>27</v>
      </c>
      <c r="E33" s="24" t="s">
        <v>16</v>
      </c>
      <c r="F33" s="24" t="s">
        <v>16</v>
      </c>
      <c r="G33" s="34"/>
      <c r="H33" s="34"/>
      <c r="I33" s="28" t="s">
        <v>19</v>
      </c>
      <c r="J33" s="46" t="s">
        <v>20</v>
      </c>
    </row>
    <row r="34" ht="114.75" customHeight="1" outlineLevel="1">
      <c r="A34" s="45"/>
      <c r="B34" s="32"/>
      <c r="C34" s="33"/>
      <c r="D34" s="6" t="s">
        <v>28</v>
      </c>
      <c r="E34" s="24" t="s">
        <v>16</v>
      </c>
      <c r="F34" s="24" t="s">
        <v>16</v>
      </c>
      <c r="G34" s="29"/>
      <c r="H34" s="29"/>
      <c r="I34" s="28" t="s">
        <v>22</v>
      </c>
      <c r="J34" s="46" t="s">
        <v>20</v>
      </c>
    </row>
  </sheetData>
  <mergeCells count="36">
    <mergeCell ref="B1:I1"/>
    <mergeCell ref="A2:G2"/>
    <mergeCell ref="A3:A4"/>
    <mergeCell ref="B3:C4"/>
    <mergeCell ref="D3:D4"/>
    <mergeCell ref="E3:F3"/>
    <mergeCell ref="I3:I4"/>
    <mergeCell ref="J3:J4"/>
    <mergeCell ref="B5:J5"/>
    <mergeCell ref="A6:A12"/>
    <mergeCell ref="B6:C9"/>
    <mergeCell ref="G6:G12"/>
    <mergeCell ref="H6:H12"/>
    <mergeCell ref="J6:J12"/>
    <mergeCell ref="B10:C12"/>
    <mergeCell ref="B13:I13"/>
    <mergeCell ref="A14:A20"/>
    <mergeCell ref="B14:C17"/>
    <mergeCell ref="G14:G20"/>
    <mergeCell ref="H14:H20"/>
    <mergeCell ref="J14:J20"/>
    <mergeCell ref="B18:C20"/>
    <mergeCell ref="B21:I21"/>
    <mergeCell ref="A22:A28"/>
    <mergeCell ref="B22:C25"/>
    <mergeCell ref="G22:G28"/>
    <mergeCell ref="H22:H28"/>
    <mergeCell ref="J22:J28"/>
    <mergeCell ref="B26:C28"/>
    <mergeCell ref="B29:J29"/>
    <mergeCell ref="B30:C30"/>
    <mergeCell ref="B31:J31"/>
    <mergeCell ref="A32:A34"/>
    <mergeCell ref="B32:C34"/>
    <mergeCell ref="G32:G34"/>
    <mergeCell ref="H32:H3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A28" activeCellId="0" sqref="28:28"/>
    </sheetView>
  </sheetViews>
  <sheetFormatPr defaultColWidth="9.140625" defaultRowHeight="15"/>
  <cols>
    <col min="1" max="1" style="49" width="9.140625"/>
    <col min="2" max="2" style="48" width="9.140625"/>
    <col bestFit="1" customWidth="1" min="3" max="3" style="48" width="18.5703125"/>
    <col customWidth="1" min="4" max="4" style="48" width="15.5703125"/>
    <col bestFit="1" customWidth="1" min="5" max="5" style="48" width="31.42578125"/>
    <col bestFit="1" customWidth="1" min="6" max="6" style="48" width="30.140625"/>
    <col min="7" max="16384" style="48" width="9.140625"/>
  </cols>
  <sheetData>
    <row r="1" s="50" customFormat="1" ht="28.5">
      <c r="A1" s="51" t="s">
        <v>42</v>
      </c>
      <c r="B1" s="51" t="s">
        <v>43</v>
      </c>
      <c r="C1" s="51" t="s">
        <v>44</v>
      </c>
      <c r="D1" s="52" t="s">
        <v>45</v>
      </c>
      <c r="E1" s="51" t="s">
        <v>46</v>
      </c>
      <c r="F1" s="51" t="s">
        <v>47</v>
      </c>
    </row>
    <row r="2">
      <c r="A2" s="53">
        <v>1</v>
      </c>
      <c r="B2" s="54">
        <v>1700</v>
      </c>
      <c r="C2" s="54" t="s">
        <v>48</v>
      </c>
      <c r="D2" s="54" t="s">
        <v>49</v>
      </c>
      <c r="E2" s="54" t="s">
        <v>50</v>
      </c>
      <c r="F2" s="54" t="s">
        <v>51</v>
      </c>
    </row>
    <row r="3">
      <c r="A3" s="53">
        <v>2</v>
      </c>
      <c r="B3" s="54">
        <v>1270</v>
      </c>
      <c r="C3" s="54" t="s">
        <v>52</v>
      </c>
      <c r="D3" s="54" t="s">
        <v>53</v>
      </c>
      <c r="E3" s="54" t="s">
        <v>54</v>
      </c>
      <c r="F3" s="54" t="s">
        <v>51</v>
      </c>
    </row>
    <row r="4">
      <c r="A4" s="53">
        <v>3</v>
      </c>
      <c r="B4" s="54">
        <v>1374</v>
      </c>
      <c r="C4" s="54" t="s">
        <v>55</v>
      </c>
      <c r="D4" s="54" t="s">
        <v>53</v>
      </c>
      <c r="E4" s="54" t="s">
        <v>54</v>
      </c>
      <c r="F4" s="54" t="s">
        <v>51</v>
      </c>
    </row>
    <row r="5">
      <c r="A5" s="53">
        <v>4</v>
      </c>
      <c r="B5" s="54">
        <v>1392</v>
      </c>
      <c r="C5" s="54" t="s">
        <v>56</v>
      </c>
      <c r="D5" s="54" t="s">
        <v>57</v>
      </c>
      <c r="E5" s="54" t="s">
        <v>58</v>
      </c>
      <c r="F5" s="54" t="s">
        <v>51</v>
      </c>
    </row>
    <row r="6">
      <c r="A6" s="53">
        <v>5</v>
      </c>
      <c r="B6" s="54">
        <v>1448</v>
      </c>
      <c r="C6" s="54" t="s">
        <v>59</v>
      </c>
      <c r="D6" s="54" t="s">
        <v>60</v>
      </c>
      <c r="E6" s="54" t="s">
        <v>61</v>
      </c>
      <c r="F6" s="54" t="s">
        <v>62</v>
      </c>
    </row>
    <row r="7">
      <c r="A7" s="53">
        <v>6</v>
      </c>
      <c r="B7" s="54">
        <v>1243</v>
      </c>
      <c r="C7" s="54" t="s">
        <v>63</v>
      </c>
      <c r="D7" s="54" t="s">
        <v>64</v>
      </c>
      <c r="E7" s="54" t="s">
        <v>65</v>
      </c>
      <c r="F7" s="54" t="s">
        <v>62</v>
      </c>
    </row>
    <row r="8">
      <c r="A8" s="53">
        <v>7</v>
      </c>
      <c r="B8" s="54">
        <v>1711</v>
      </c>
      <c r="C8" s="54" t="s">
        <v>17</v>
      </c>
      <c r="D8" s="54" t="s">
        <v>64</v>
      </c>
      <c r="E8" s="54" t="s">
        <v>65</v>
      </c>
      <c r="F8" s="54" t="s">
        <v>62</v>
      </c>
    </row>
    <row r="9">
      <c r="A9" s="53">
        <v>8</v>
      </c>
      <c r="B9" s="54">
        <v>1246</v>
      </c>
      <c r="C9" s="54" t="s">
        <v>66</v>
      </c>
      <c r="D9" s="54" t="s">
        <v>60</v>
      </c>
      <c r="E9" s="54" t="s">
        <v>61</v>
      </c>
      <c r="F9" s="54" t="s">
        <v>67</v>
      </c>
    </row>
    <row r="10">
      <c r="A10" s="53">
        <v>9</v>
      </c>
      <c r="B10" s="54">
        <v>1353</v>
      </c>
      <c r="C10" s="54" t="s">
        <v>68</v>
      </c>
      <c r="D10" s="54" t="s">
        <v>64</v>
      </c>
      <c r="E10" s="54" t="s">
        <v>65</v>
      </c>
      <c r="F10" s="54" t="s">
        <v>67</v>
      </c>
    </row>
    <row r="11">
      <c r="A11" s="53">
        <v>10</v>
      </c>
      <c r="B11" s="54">
        <v>1481</v>
      </c>
      <c r="C11" s="54" t="s">
        <v>69</v>
      </c>
      <c r="D11" s="54" t="s">
        <v>60</v>
      </c>
      <c r="E11" s="54" t="s">
        <v>61</v>
      </c>
      <c r="F11" s="54" t="s">
        <v>67</v>
      </c>
    </row>
    <row r="12">
      <c r="A12" s="53">
        <v>11</v>
      </c>
      <c r="B12" s="54">
        <v>1352</v>
      </c>
      <c r="C12" s="54" t="s">
        <v>70</v>
      </c>
      <c r="D12" s="54" t="s">
        <v>60</v>
      </c>
      <c r="E12" s="54" t="s">
        <v>61</v>
      </c>
      <c r="F12" s="54" t="s">
        <v>71</v>
      </c>
    </row>
    <row r="13">
      <c r="A13" s="53">
        <v>12</v>
      </c>
      <c r="B13" s="54">
        <v>1301</v>
      </c>
      <c r="C13" s="54" t="s">
        <v>72</v>
      </c>
      <c r="D13" s="54" t="s">
        <v>64</v>
      </c>
      <c r="E13" s="54" t="s">
        <v>65</v>
      </c>
      <c r="F13" s="54" t="s">
        <v>73</v>
      </c>
    </row>
    <row r="14">
      <c r="A14" s="53">
        <v>13</v>
      </c>
      <c r="B14" s="54">
        <v>1373</v>
      </c>
      <c r="C14" s="54" t="s">
        <v>74</v>
      </c>
      <c r="D14" s="54" t="s">
        <v>64</v>
      </c>
      <c r="E14" s="54" t="s">
        <v>65</v>
      </c>
      <c r="F14" s="54" t="s">
        <v>73</v>
      </c>
    </row>
    <row r="15">
      <c r="A15" s="53">
        <v>14</v>
      </c>
      <c r="B15" s="54">
        <v>1338</v>
      </c>
      <c r="C15" s="54" t="s">
        <v>75</v>
      </c>
      <c r="D15" s="54" t="s">
        <v>60</v>
      </c>
      <c r="E15" s="54" t="s">
        <v>61</v>
      </c>
      <c r="F15" s="54" t="s">
        <v>76</v>
      </c>
    </row>
    <row r="16" s="50" customFormat="1" ht="45">
      <c r="A16" s="53">
        <v>15</v>
      </c>
      <c r="B16" s="55">
        <v>1388</v>
      </c>
      <c r="C16" s="55" t="s">
        <v>77</v>
      </c>
      <c r="D16" s="55" t="s">
        <v>60</v>
      </c>
      <c r="E16" s="55" t="s">
        <v>61</v>
      </c>
      <c r="F16" s="56" t="s">
        <v>78</v>
      </c>
    </row>
    <row r="17">
      <c r="A17" s="53">
        <v>16</v>
      </c>
      <c r="B17" s="54">
        <v>1713</v>
      </c>
      <c r="C17" s="54" t="s">
        <v>79</v>
      </c>
      <c r="D17" s="54" t="s">
        <v>60</v>
      </c>
      <c r="E17" s="54" t="s">
        <v>61</v>
      </c>
      <c r="F17" s="54" t="s">
        <v>80</v>
      </c>
    </row>
    <row r="18">
      <c r="A18" s="53">
        <v>17</v>
      </c>
      <c r="B18" s="54">
        <v>1376</v>
      </c>
      <c r="C18" s="54" t="s">
        <v>81</v>
      </c>
      <c r="D18" s="54" t="s">
        <v>64</v>
      </c>
      <c r="E18" s="54" t="s">
        <v>65</v>
      </c>
      <c r="F18" s="54" t="s">
        <v>80</v>
      </c>
    </row>
    <row r="19">
      <c r="A19" s="53">
        <v>18</v>
      </c>
      <c r="B19" s="54">
        <v>1391</v>
      </c>
      <c r="C19" s="54" t="s">
        <v>82</v>
      </c>
      <c r="D19" s="54" t="s">
        <v>64</v>
      </c>
      <c r="E19" s="54" t="s">
        <v>65</v>
      </c>
      <c r="F19" s="54" t="s">
        <v>80</v>
      </c>
    </row>
    <row r="20">
      <c r="A20" s="53">
        <v>19</v>
      </c>
      <c r="B20" s="54">
        <v>1386</v>
      </c>
      <c r="C20" s="54" t="s">
        <v>83</v>
      </c>
      <c r="D20" s="54" t="s">
        <v>64</v>
      </c>
      <c r="E20" s="54" t="s">
        <v>65</v>
      </c>
      <c r="F20" s="54" t="s">
        <v>80</v>
      </c>
    </row>
    <row r="21">
      <c r="A21" s="53">
        <v>20</v>
      </c>
      <c r="B21" s="54">
        <v>1845</v>
      </c>
      <c r="C21" s="54" t="s">
        <v>84</v>
      </c>
      <c r="D21" s="54" t="s">
        <v>60</v>
      </c>
      <c r="E21" s="54" t="s">
        <v>61</v>
      </c>
      <c r="F21" s="54" t="s">
        <v>85</v>
      </c>
    </row>
    <row r="22">
      <c r="A22" s="53">
        <v>21</v>
      </c>
      <c r="B22" s="54">
        <v>1721</v>
      </c>
      <c r="C22" s="54" t="s">
        <v>86</v>
      </c>
      <c r="D22" s="54" t="s">
        <v>60</v>
      </c>
      <c r="E22" s="54" t="s">
        <v>61</v>
      </c>
      <c r="F22" s="54" t="s">
        <v>87</v>
      </c>
    </row>
    <row r="23">
      <c r="A23" s="53">
        <v>22</v>
      </c>
      <c r="B23" s="54">
        <v>1841</v>
      </c>
      <c r="C23" s="54" t="s">
        <v>88</v>
      </c>
      <c r="D23" s="54" t="s">
        <v>60</v>
      </c>
      <c r="E23" s="54" t="s">
        <v>61</v>
      </c>
      <c r="F23" s="54" t="s">
        <v>89</v>
      </c>
    </row>
    <row r="24">
      <c r="A24" s="53">
        <v>23</v>
      </c>
      <c r="B24" s="54">
        <v>1745</v>
      </c>
      <c r="C24" s="54" t="s">
        <v>90</v>
      </c>
      <c r="D24" s="54" t="s">
        <v>64</v>
      </c>
      <c r="E24" s="54" t="s">
        <v>65</v>
      </c>
      <c r="F24" s="54" t="s">
        <v>89</v>
      </c>
    </row>
    <row r="25">
      <c r="A25" s="53">
        <v>24</v>
      </c>
      <c r="B25" s="54">
        <v>1848</v>
      </c>
      <c r="C25" s="54" t="s">
        <v>91</v>
      </c>
      <c r="D25" s="54" t="s">
        <v>92</v>
      </c>
      <c r="E25" s="54" t="s">
        <v>93</v>
      </c>
      <c r="F25" s="54" t="s">
        <v>94</v>
      </c>
    </row>
    <row r="26">
      <c r="A26" s="53">
        <v>25</v>
      </c>
      <c r="B26" s="54">
        <v>1415</v>
      </c>
      <c r="C26" s="54" t="s">
        <v>95</v>
      </c>
      <c r="D26" s="54" t="s">
        <v>96</v>
      </c>
      <c r="E26" s="54" t="s">
        <v>97</v>
      </c>
      <c r="F26" s="54" t="s">
        <v>98</v>
      </c>
    </row>
    <row r="27">
      <c r="A27" s="53">
        <v>26</v>
      </c>
      <c r="B27" s="54">
        <v>2108</v>
      </c>
      <c r="C27" s="54" t="s">
        <v>99</v>
      </c>
      <c r="D27" s="54" t="s">
        <v>96</v>
      </c>
      <c r="E27" s="54" t="s">
        <v>97</v>
      </c>
      <c r="F27" s="54" t="s">
        <v>100</v>
      </c>
    </row>
    <row r="28">
      <c r="A28" s="53"/>
      <c r="B28" s="54"/>
      <c r="C28" s="54"/>
      <c r="D28" s="54"/>
      <c r="E28" s="54"/>
      <c r="F28" s="54"/>
    </row>
    <row r="29">
      <c r="A29" s="53">
        <v>28</v>
      </c>
      <c r="B29" s="54">
        <v>1426</v>
      </c>
      <c r="C29" s="54" t="s">
        <v>101</v>
      </c>
      <c r="D29" s="54" t="s">
        <v>60</v>
      </c>
      <c r="E29" s="54" t="s">
        <v>61</v>
      </c>
      <c r="F29" s="54" t="s">
        <v>102</v>
      </c>
    </row>
    <row r="30">
      <c r="A30" s="53">
        <v>29</v>
      </c>
      <c r="B30" s="54">
        <v>2127</v>
      </c>
      <c r="C30" s="54" t="s">
        <v>103</v>
      </c>
      <c r="D30" s="54" t="s">
        <v>64</v>
      </c>
      <c r="E30" s="54" t="s">
        <v>65</v>
      </c>
      <c r="F30" s="54" t="s">
        <v>104</v>
      </c>
    </row>
    <row r="31">
      <c r="A31" s="53">
        <v>30</v>
      </c>
      <c r="B31" s="54"/>
      <c r="C31" s="54" t="s">
        <v>105</v>
      </c>
      <c r="D31" s="54"/>
      <c r="E31" s="54"/>
      <c r="F31" s="54" t="s">
        <v>106</v>
      </c>
    </row>
    <row r="32">
      <c r="A32" s="53">
        <v>31</v>
      </c>
      <c r="B32" s="54">
        <v>1370</v>
      </c>
      <c r="C32" s="54" t="s">
        <v>107</v>
      </c>
      <c r="D32" s="54" t="s">
        <v>108</v>
      </c>
      <c r="E32" s="54" t="s">
        <v>109</v>
      </c>
      <c r="F32" s="54" t="s">
        <v>110</v>
      </c>
    </row>
    <row r="33">
      <c r="A33" s="53">
        <v>32</v>
      </c>
      <c r="B33" s="54">
        <v>1269</v>
      </c>
      <c r="C33" s="54" t="s">
        <v>111</v>
      </c>
      <c r="D33" s="54" t="s">
        <v>112</v>
      </c>
      <c r="E33" s="54" t="s">
        <v>113</v>
      </c>
      <c r="F33" s="54" t="s">
        <v>114</v>
      </c>
    </row>
    <row r="34">
      <c r="A34" s="53">
        <v>33</v>
      </c>
      <c r="B34" s="54">
        <v>1620</v>
      </c>
      <c r="C34" s="54" t="s">
        <v>115</v>
      </c>
      <c r="D34" s="54" t="s">
        <v>116</v>
      </c>
      <c r="E34" s="54" t="s">
        <v>117</v>
      </c>
      <c r="F34" s="54" t="s">
        <v>118</v>
      </c>
    </row>
    <row r="35">
      <c r="A35" s="53">
        <v>34</v>
      </c>
      <c r="B35" s="54">
        <v>1629</v>
      </c>
      <c r="C35" s="54" t="s">
        <v>119</v>
      </c>
      <c r="D35" s="54" t="s">
        <v>116</v>
      </c>
      <c r="E35" s="54" t="s">
        <v>117</v>
      </c>
      <c r="F35" s="54" t="s">
        <v>120</v>
      </c>
    </row>
    <row r="36">
      <c r="A36" s="53">
        <v>35</v>
      </c>
      <c r="B36" s="54">
        <v>1643</v>
      </c>
      <c r="C36" s="54" t="s">
        <v>121</v>
      </c>
      <c r="D36" s="54" t="s">
        <v>116</v>
      </c>
      <c r="E36" s="54" t="s">
        <v>117</v>
      </c>
      <c r="F36" s="54" t="s">
        <v>122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L15" activeCellId="0" sqref="L15"/>
    </sheetView>
  </sheetViews>
  <sheetFormatPr defaultRowHeight="15"/>
  <cols>
    <col bestFit="1" customWidth="1" min="1" max="1" width="8.42578125"/>
    <col bestFit="1" customWidth="1" min="2" max="2" width="8.28515625"/>
    <col customWidth="1" min="3" max="7" width="23.28515625"/>
  </cols>
  <sheetData>
    <row r="1" ht="28.5">
      <c r="A1" s="57" t="s">
        <v>123</v>
      </c>
      <c r="B1" s="57" t="s">
        <v>124</v>
      </c>
      <c r="C1" s="57" t="s">
        <v>44</v>
      </c>
      <c r="D1" s="57" t="s">
        <v>125</v>
      </c>
      <c r="E1" s="57" t="s">
        <v>126</v>
      </c>
      <c r="F1" s="57" t="s">
        <v>127</v>
      </c>
      <c r="G1" s="57" t="s">
        <v>128</v>
      </c>
    </row>
    <row r="2" ht="16.5">
      <c r="A2" s="58">
        <f>A3+A5+A7+A8+A10+A16</f>
        <v>8</v>
      </c>
      <c r="B2" s="58" t="s">
        <v>129</v>
      </c>
      <c r="C2" s="59" t="s">
        <v>130</v>
      </c>
      <c r="D2" s="60"/>
      <c r="E2" s="60"/>
      <c r="F2" s="61"/>
      <c r="G2" s="61"/>
    </row>
    <row r="3" ht="25.5" customHeight="1">
      <c r="A3" s="62">
        <f>COUNTA(B4:B4)</f>
        <v>1</v>
      </c>
      <c r="B3" s="62"/>
      <c r="C3" s="63" t="s">
        <v>131</v>
      </c>
      <c r="D3" s="63"/>
      <c r="E3" s="63"/>
      <c r="F3" s="63"/>
      <c r="G3" s="63"/>
    </row>
    <row r="4" ht="25.5" customHeight="1">
      <c r="A4" s="64"/>
      <c r="B4" s="65">
        <v>1480</v>
      </c>
      <c r="C4" s="56" t="s">
        <v>132</v>
      </c>
      <c r="D4" s="56" t="s">
        <v>133</v>
      </c>
      <c r="E4" s="56" t="s">
        <v>134</v>
      </c>
      <c r="F4" s="56" t="s">
        <v>135</v>
      </c>
      <c r="G4" s="56" t="s">
        <v>136</v>
      </c>
    </row>
    <row r="5" ht="25.5" customHeight="1">
      <c r="A5" s="62">
        <f>COUNTA(B6:B6)</f>
        <v>1</v>
      </c>
      <c r="B5" s="62"/>
      <c r="C5" s="63" t="s">
        <v>137</v>
      </c>
      <c r="D5" s="63"/>
      <c r="E5" s="63"/>
      <c r="F5" s="63"/>
      <c r="G5" s="63"/>
    </row>
    <row r="6" ht="25.5" customHeight="1">
      <c r="A6" s="64"/>
      <c r="B6" s="65">
        <v>1764</v>
      </c>
      <c r="C6" s="56" t="s">
        <v>138</v>
      </c>
      <c r="D6" s="56" t="s">
        <v>137</v>
      </c>
      <c r="E6" s="56" t="s">
        <v>139</v>
      </c>
      <c r="F6" s="56" t="s">
        <v>140</v>
      </c>
      <c r="G6" s="56" t="s">
        <v>141</v>
      </c>
    </row>
    <row r="7" ht="25.5" customHeight="1">
      <c r="A7" s="62"/>
      <c r="B7" s="62"/>
      <c r="C7" s="63" t="s">
        <v>142</v>
      </c>
      <c r="D7" s="63"/>
      <c r="E7" s="63"/>
      <c r="F7" s="56"/>
      <c r="G7" s="63"/>
    </row>
    <row r="8" ht="25.5" customHeight="1">
      <c r="A8" s="62"/>
      <c r="B8" s="62"/>
      <c r="C8" s="63" t="s">
        <v>143</v>
      </c>
      <c r="D8" s="63"/>
      <c r="E8" s="63"/>
      <c r="F8" s="56"/>
      <c r="G8" s="63"/>
    </row>
    <row r="9" ht="25.5" customHeight="1">
      <c r="A9" s="65"/>
      <c r="B9" s="65">
        <v>1346</v>
      </c>
      <c r="C9" s="56" t="s">
        <v>144</v>
      </c>
      <c r="D9" s="56" t="s">
        <v>145</v>
      </c>
      <c r="E9" s="56" t="s">
        <v>146</v>
      </c>
      <c r="F9" s="56" t="s">
        <v>147</v>
      </c>
      <c r="G9" s="56" t="s">
        <v>148</v>
      </c>
    </row>
    <row r="10" ht="25.5" customHeight="1">
      <c r="A10" s="62">
        <f>COUNTA(B11:B15)</f>
        <v>5</v>
      </c>
      <c r="B10" s="62"/>
      <c r="C10" s="63" t="s">
        <v>149</v>
      </c>
      <c r="D10" s="63"/>
      <c r="E10" s="63"/>
      <c r="F10" s="56"/>
      <c r="G10" s="63"/>
    </row>
    <row r="11" ht="25.5" customHeight="1">
      <c r="A11" s="64"/>
      <c r="B11" s="65">
        <v>1483</v>
      </c>
      <c r="C11" s="56" t="s">
        <v>150</v>
      </c>
      <c r="D11" s="56" t="s">
        <v>151</v>
      </c>
      <c r="E11" s="56" t="s">
        <v>139</v>
      </c>
      <c r="F11" s="56" t="s">
        <v>152</v>
      </c>
      <c r="G11" s="56" t="s">
        <v>153</v>
      </c>
    </row>
    <row r="12" ht="25.5" customHeight="1">
      <c r="A12" s="64"/>
      <c r="B12" s="65">
        <v>1418</v>
      </c>
      <c r="C12" s="56" t="s">
        <v>154</v>
      </c>
      <c r="D12" s="56" t="s">
        <v>151</v>
      </c>
      <c r="E12" s="56" t="s">
        <v>139</v>
      </c>
      <c r="F12" s="56" t="s">
        <v>155</v>
      </c>
      <c r="G12" s="56" t="s">
        <v>156</v>
      </c>
    </row>
    <row r="13" ht="25.5" customHeight="1">
      <c r="A13" s="64"/>
      <c r="B13" s="65">
        <v>1284</v>
      </c>
      <c r="C13" s="56" t="s">
        <v>157</v>
      </c>
      <c r="D13" s="56" t="s">
        <v>151</v>
      </c>
      <c r="E13" s="56" t="s">
        <v>139</v>
      </c>
      <c r="F13" s="56" t="s">
        <v>152</v>
      </c>
      <c r="G13" s="56" t="s">
        <v>158</v>
      </c>
    </row>
    <row r="14" ht="25.5" customHeight="1">
      <c r="A14" s="66"/>
      <c r="B14" s="67">
        <v>1878</v>
      </c>
      <c r="C14" s="68" t="s">
        <v>159</v>
      </c>
      <c r="D14" s="68" t="s">
        <v>151</v>
      </c>
      <c r="E14" s="68" t="s">
        <v>139</v>
      </c>
      <c r="F14" s="68" t="s">
        <v>160</v>
      </c>
      <c r="G14" s="68" t="s">
        <v>161</v>
      </c>
    </row>
    <row r="15" ht="25.5" customHeight="1">
      <c r="A15" s="66"/>
      <c r="B15" s="67">
        <v>1853</v>
      </c>
      <c r="C15" s="68" t="s">
        <v>162</v>
      </c>
      <c r="D15" s="68" t="s">
        <v>151</v>
      </c>
      <c r="E15" s="68" t="s">
        <v>139</v>
      </c>
      <c r="F15" s="68" t="s">
        <v>163</v>
      </c>
      <c r="G15" s="68" t="s">
        <v>164</v>
      </c>
    </row>
    <row r="16" ht="25.5" customHeight="1">
      <c r="A16" s="62">
        <f>COUNTA(B17)</f>
        <v>1</v>
      </c>
      <c r="B16" s="62"/>
      <c r="C16" s="63" t="s">
        <v>165</v>
      </c>
      <c r="D16" s="63"/>
      <c r="E16" s="63"/>
      <c r="F16" s="56"/>
      <c r="G16" s="63"/>
    </row>
    <row r="17" ht="25.5" customHeight="1">
      <c r="A17" s="64"/>
      <c r="B17" s="65">
        <v>1779</v>
      </c>
      <c r="C17" s="56" t="s">
        <v>166</v>
      </c>
      <c r="D17" s="56" t="s">
        <v>167</v>
      </c>
      <c r="E17" s="56" t="s">
        <v>134</v>
      </c>
      <c r="F17" s="56" t="s">
        <v>168</v>
      </c>
      <c r="G17" s="56" t="s">
        <v>169</v>
      </c>
    </row>
  </sheetData>
  <mergeCells count="1">
    <mergeCell ref="C2:D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" zoomScale="100" workbookViewId="0">
      <selection activeCell="C18" activeCellId="0" sqref="C18"/>
    </sheetView>
  </sheetViews>
  <sheetFormatPr defaultRowHeight="15"/>
  <cols>
    <col customWidth="1" min="2" max="2" width="63.7109375"/>
    <col customWidth="1" min="3" max="3" width="50.140625"/>
    <col bestFit="1" customWidth="1" min="4" max="4" width="44.5703125"/>
    <col customWidth="1" min="5" max="5" width="56"/>
  </cols>
  <sheetData>
    <row r="1" ht="32.25">
      <c r="A1" s="69" t="s">
        <v>170</v>
      </c>
      <c r="B1" s="70" t="s">
        <v>171</v>
      </c>
      <c r="C1" s="70" t="s">
        <v>172</v>
      </c>
      <c r="D1" s="70" t="s">
        <v>173</v>
      </c>
    </row>
    <row r="2" ht="31.5">
      <c r="A2" s="71" t="s">
        <v>174</v>
      </c>
      <c r="B2" s="72" t="s">
        <v>175</v>
      </c>
      <c r="C2" s="72" t="s">
        <v>176</v>
      </c>
      <c r="D2" s="73" t="s">
        <v>177</v>
      </c>
    </row>
    <row r="3" ht="31.5">
      <c r="A3" s="74"/>
      <c r="B3" s="72" t="s">
        <v>178</v>
      </c>
      <c r="C3" s="72" t="s">
        <v>179</v>
      </c>
      <c r="D3" s="75"/>
    </row>
    <row r="4" ht="63" customHeight="1">
      <c r="A4" s="74"/>
      <c r="B4" s="76" t="s">
        <v>180</v>
      </c>
      <c r="C4" s="77" t="s">
        <v>181</v>
      </c>
      <c r="D4" s="78" t="s">
        <v>182</v>
      </c>
    </row>
    <row r="5" ht="63" customHeight="1">
      <c r="A5" s="74"/>
      <c r="B5" s="76"/>
      <c r="C5" s="77"/>
      <c r="D5" s="79"/>
    </row>
    <row r="6" ht="15" customHeight="1">
      <c r="A6" s="74"/>
      <c r="B6" s="76"/>
      <c r="C6" s="77"/>
      <c r="D6" s="79"/>
    </row>
    <row r="7" ht="42" customHeight="1">
      <c r="A7" s="74"/>
      <c r="B7" s="76"/>
      <c r="C7" s="77"/>
      <c r="D7" s="79"/>
    </row>
    <row r="8" ht="15" hidden="1" customHeight="1">
      <c r="A8" s="74"/>
      <c r="B8" s="76"/>
      <c r="C8" s="77"/>
      <c r="D8" s="79"/>
    </row>
    <row r="9" ht="15" hidden="1" customHeight="1">
      <c r="A9" s="74"/>
      <c r="B9" s="76"/>
      <c r="C9" s="77"/>
      <c r="D9" s="79"/>
    </row>
    <row r="10" ht="15" hidden="1" customHeight="1">
      <c r="A10" s="74"/>
      <c r="B10" s="76"/>
      <c r="C10" s="77"/>
      <c r="D10" s="79"/>
    </row>
    <row r="11" ht="15" hidden="1" customHeight="1">
      <c r="A11" s="74"/>
      <c r="B11" s="76"/>
      <c r="C11" s="77"/>
      <c r="D11" s="79"/>
    </row>
    <row r="12" ht="15.75" hidden="1" customHeight="1">
      <c r="A12" s="80"/>
      <c r="B12" s="76"/>
      <c r="C12" s="77"/>
      <c r="D12" s="79"/>
    </row>
    <row r="13" ht="31.5">
      <c r="A13" s="71" t="s">
        <v>183</v>
      </c>
      <c r="B13" s="72" t="e">
        <v>#VALUE!</v>
      </c>
      <c r="C13" s="81" t="s">
        <v>184</v>
      </c>
      <c r="D13" s="82" t="s">
        <v>185</v>
      </c>
    </row>
    <row r="14" ht="15.75">
      <c r="A14" s="74"/>
      <c r="B14" s="72"/>
      <c r="C14" s="81"/>
      <c r="D14" s="83"/>
    </row>
    <row r="15" ht="15.75">
      <c r="A15" s="74"/>
      <c r="B15" s="72"/>
      <c r="C15" s="72" t="s">
        <v>186</v>
      </c>
      <c r="D15" s="83"/>
    </row>
    <row r="16" ht="31.5">
      <c r="A16" s="74"/>
      <c r="B16" s="72"/>
      <c r="C16" s="72" t="s">
        <v>187</v>
      </c>
      <c r="D16" s="83"/>
    </row>
    <row r="17" ht="15.75">
      <c r="A17" s="74"/>
      <c r="B17" s="72"/>
      <c r="C17" s="72"/>
      <c r="D17" s="83"/>
    </row>
    <row r="18" ht="15.75">
      <c r="A18" s="74"/>
      <c r="B18" s="72"/>
      <c r="C18" s="72"/>
      <c r="D18" s="83"/>
    </row>
    <row r="19" ht="16.5">
      <c r="A19" s="80"/>
      <c r="B19" s="72"/>
      <c r="C19" s="72"/>
      <c r="D19" s="84"/>
    </row>
  </sheetData>
  <mergeCells count="7">
    <mergeCell ref="D4:D12"/>
    <mergeCell ref="A2:A12"/>
    <mergeCell ref="A13:A19"/>
    <mergeCell ref="B13:B19"/>
    <mergeCell ref="C4:C12"/>
    <mergeCell ref="B4:B12"/>
    <mergeCell ref="D13:D19"/>
  </mergeCells>
  <hyperlinks>
    <hyperlink location="Template!N1" ref="D4:D12"/>
    <hyperlink location="Template!A25" ref="D13:D19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1" zoomScale="85" workbookViewId="0">
      <selection activeCell="K54" activeCellId="0" sqref="K54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Huyen Trang</dc:creator>
  <cp:revision>1</cp:revision>
  <dcterms:created xsi:type="dcterms:W3CDTF">2025-03-25T07:56:50Z</dcterms:created>
  <dcterms:modified xsi:type="dcterms:W3CDTF">2026-04-02T07:07:14Z</dcterms:modified>
</cp:coreProperties>
</file>