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Huyen GV-CNTT&amp;TT\CÁC LỚP ĐH LT\ĐH CNTT K28B\"/>
    </mc:Choice>
  </mc:AlternateContent>
  <xr:revisionPtr revIDLastSave="0" documentId="13_ncr:1_{C16BFEA4-6578-465E-B50F-56728124D515}" xr6:coauthVersionLast="47" xr6:coauthVersionMax="47" xr10:uidLastSave="{00000000-0000-0000-0000-000000000000}"/>
  <bookViews>
    <workbookView xWindow="-120" yWindow="-120" windowWidth="29040" windowHeight="15840" firstSheet="1" activeTab="1" xr2:uid="{00000000-000D-0000-FFFF-FFFF00000000}"/>
  </bookViews>
  <sheets>
    <sheet name="foxz" sheetId="2" state="veryHidden" r:id="rId1"/>
    <sheet name="K28B - CNTT (@)" sheetId="5" r:id="rId2"/>
    <sheet name="K28B - CNTT" sheetId="3" r:id="rId3"/>
  </sheets>
  <definedNames>
    <definedName name="_xlnm.Print_Titles" localSheetId="2">'K28B - CNTT'!$A:$F,'K28B - CNTT'!$6:$10</definedName>
    <definedName name="_xlnm.Print_Titles" localSheetId="1">'K28B - CNTT (@)'!$A:$F,'K28B - CNTT (@)'!$6:$10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R32" i="3" l="1"/>
  <c r="BS32" i="3" s="1"/>
  <c r="BO33" i="3"/>
  <c r="H33" i="3"/>
  <c r="I33" i="3"/>
  <c r="J33" i="3"/>
  <c r="K33" i="3"/>
  <c r="L33" i="3"/>
  <c r="M33" i="3"/>
  <c r="N33" i="3"/>
  <c r="O33" i="3"/>
  <c r="P33" i="3"/>
  <c r="Q33" i="3"/>
  <c r="R33" i="3"/>
  <c r="S33" i="3"/>
  <c r="T33" i="3"/>
  <c r="U33" i="3"/>
  <c r="V33" i="3"/>
  <c r="W33" i="3"/>
  <c r="X33" i="3"/>
  <c r="Y33" i="3"/>
  <c r="Z33" i="3"/>
  <c r="AA33" i="3"/>
  <c r="AB33" i="3"/>
  <c r="AC33" i="3"/>
  <c r="AD33" i="3"/>
  <c r="AE33" i="3"/>
  <c r="AF33" i="3"/>
  <c r="AG33" i="3"/>
  <c r="AH33" i="3"/>
  <c r="AI33" i="3"/>
  <c r="AJ33" i="3"/>
  <c r="AK33" i="3"/>
  <c r="AL33" i="3"/>
  <c r="AM33" i="3"/>
  <c r="AN33" i="3"/>
  <c r="AO33" i="3"/>
  <c r="AP33" i="3"/>
  <c r="AQ33" i="3"/>
  <c r="AR33" i="3"/>
  <c r="AS33" i="3"/>
  <c r="AT33" i="3"/>
  <c r="AU33" i="3"/>
  <c r="AV33" i="3"/>
  <c r="AW33" i="3"/>
  <c r="AX33" i="3"/>
  <c r="AY33" i="3"/>
  <c r="AZ33" i="3"/>
  <c r="BA33" i="3"/>
  <c r="BB33" i="3"/>
  <c r="BC33" i="3"/>
  <c r="BD33" i="3"/>
  <c r="BE33" i="3"/>
  <c r="BF33" i="3"/>
  <c r="BG33" i="3"/>
  <c r="BH33" i="3"/>
  <c r="BI33" i="3"/>
  <c r="BJ33" i="3"/>
  <c r="BK33" i="3"/>
  <c r="BL33" i="3"/>
  <c r="BM33" i="3"/>
  <c r="BN33" i="3"/>
  <c r="G33" i="3"/>
  <c r="BT32" i="3" l="1"/>
  <c r="BQ33" i="5"/>
  <c r="BP33" i="5"/>
  <c r="BO33" i="5"/>
  <c r="BN33" i="5"/>
  <c r="BM33" i="5"/>
  <c r="BL33" i="5"/>
  <c r="BK33" i="5"/>
  <c r="BJ33" i="5"/>
  <c r="BI33" i="5"/>
  <c r="BH33" i="5"/>
  <c r="BG33" i="5"/>
  <c r="BF33" i="5"/>
  <c r="BE33" i="5"/>
  <c r="BD33" i="5"/>
  <c r="BC33" i="5"/>
  <c r="BB33" i="5"/>
  <c r="BA33" i="5"/>
  <c r="AZ33" i="5"/>
  <c r="AY33" i="5"/>
  <c r="AX33" i="5"/>
  <c r="AW33" i="5"/>
  <c r="AV33" i="5"/>
  <c r="AU33" i="5"/>
  <c r="AT33" i="5"/>
  <c r="AS33" i="5"/>
  <c r="AR33" i="5"/>
  <c r="AQ33" i="5"/>
  <c r="AP33" i="5"/>
  <c r="AO33" i="5"/>
  <c r="AN33" i="5"/>
  <c r="AM33" i="5"/>
  <c r="AL33" i="5"/>
  <c r="AK33" i="5"/>
  <c r="AJ33" i="5"/>
  <c r="AI33" i="5"/>
  <c r="AH33" i="5"/>
  <c r="AG33" i="5"/>
  <c r="AF33" i="5"/>
  <c r="AE33" i="5"/>
  <c r="AD33" i="5"/>
  <c r="AC33" i="5"/>
  <c r="AB33" i="5"/>
  <c r="AA33" i="5"/>
  <c r="Z33" i="5"/>
  <c r="Y33" i="5"/>
  <c r="X33" i="5"/>
  <c r="W33" i="5"/>
  <c r="V33" i="5"/>
  <c r="U33" i="5"/>
  <c r="T33" i="5"/>
  <c r="S33" i="5"/>
  <c r="R33" i="5"/>
  <c r="Q33" i="5"/>
  <c r="P33" i="5"/>
  <c r="O33" i="5"/>
  <c r="N33" i="5"/>
  <c r="M33" i="5"/>
  <c r="L33" i="5"/>
  <c r="K33" i="5"/>
  <c r="J33" i="5"/>
  <c r="I33" i="5"/>
  <c r="H33" i="5"/>
  <c r="G33" i="5"/>
  <c r="BR9" i="5"/>
  <c r="BS11" i="5" s="1"/>
  <c r="BR31" i="3"/>
  <c r="BT33" i="5" l="1"/>
  <c r="BS33" i="5"/>
  <c r="BR33" i="5"/>
  <c r="BT31" i="3"/>
  <c r="BR27" i="3" l="1"/>
  <c r="BR28" i="3"/>
  <c r="BR29" i="3"/>
  <c r="BT29" i="3" s="1"/>
  <c r="BR16" i="3"/>
  <c r="BR17" i="3"/>
  <c r="BT17" i="3" s="1"/>
  <c r="BR18" i="3"/>
  <c r="BT18" i="3" s="1"/>
  <c r="BR19" i="3"/>
  <c r="BR20" i="3"/>
  <c r="BR21" i="3"/>
  <c r="BT21" i="3" s="1"/>
  <c r="BR22" i="3"/>
  <c r="BT22" i="3" s="1"/>
  <c r="BR23" i="3"/>
  <c r="BR24" i="3"/>
  <c r="BR25" i="3"/>
  <c r="BT25" i="3" s="1"/>
  <c r="BR12" i="3"/>
  <c r="BT12" i="3" s="1"/>
  <c r="BR13" i="3"/>
  <c r="BP33" i="3"/>
  <c r="BQ33" i="3"/>
  <c r="BR26" i="3"/>
  <c r="BT26" i="3" s="1"/>
  <c r="BR30" i="3"/>
  <c r="BT30" i="3" s="1"/>
  <c r="BR9" i="3"/>
  <c r="BS11" i="3" l="1"/>
  <c r="BS31" i="3"/>
  <c r="BS16" i="3"/>
  <c r="BS25" i="3"/>
  <c r="BS18" i="3"/>
  <c r="BS23" i="3"/>
  <c r="BS20" i="3"/>
  <c r="BS22" i="3"/>
  <c r="BS19" i="3"/>
  <c r="BS17" i="3"/>
  <c r="BS28" i="3"/>
  <c r="BS24" i="3"/>
  <c r="BS21" i="3"/>
  <c r="BS27" i="3"/>
  <c r="BS29" i="3"/>
  <c r="BT27" i="3"/>
  <c r="BT28" i="3"/>
  <c r="BT23" i="3"/>
  <c r="BT19" i="3"/>
  <c r="BT24" i="3"/>
  <c r="BT20" i="3"/>
  <c r="BT16" i="3"/>
  <c r="BS12" i="3"/>
  <c r="BS26" i="3"/>
  <c r="BS30" i="3"/>
  <c r="BS13" i="3" l="1"/>
  <c r="BT13" i="3"/>
  <c r="BR14" i="3" l="1"/>
  <c r="BR33" i="3" s="1"/>
  <c r="BS14" i="3" l="1"/>
  <c r="BS33" i="3" s="1"/>
  <c r="BT14" i="3"/>
  <c r="BT33" i="3" s="1"/>
</calcChain>
</file>

<file path=xl/sharedStrings.xml><?xml version="1.0" encoding="utf-8"?>
<sst xmlns="http://schemas.openxmlformats.org/spreadsheetml/2006/main" count="722" uniqueCount="328">
  <si>
    <t>CỘNG HÒA XÃ HỘI CHỦ NGHĨA VIỆT NAM</t>
  </si>
  <si>
    <t>Độc lập - Tự do - Hạnh phúc</t>
  </si>
  <si>
    <t>TT</t>
  </si>
  <si>
    <t>Mã  SV</t>
  </si>
  <si>
    <t>Chủ nghĩa xã hội khoa học</t>
  </si>
  <si>
    <t>Pháp luật đại cương</t>
  </si>
  <si>
    <t>Công nghệ số</t>
  </si>
  <si>
    <t>Ngày sinh</t>
  </si>
  <si>
    <t>Tổng số sinh viên phải học theo từng môn</t>
  </si>
  <si>
    <t>Tỉ lệ miễm (%)</t>
  </si>
  <si>
    <t>Tư tưởng Hồ Chí Minh</t>
  </si>
  <si>
    <t>Khởi nghiệp đổi mới sáng tạo</t>
  </si>
  <si>
    <t>Giáo dục thể chất 1</t>
  </si>
  <si>
    <t>Giáo dục thể chất 2</t>
  </si>
  <si>
    <t>Tổng số TC được miễn</t>
  </si>
  <si>
    <t>Tổng số tín chỉ phải tích lũy</t>
  </si>
  <si>
    <t>M</t>
  </si>
  <si>
    <t>BẢNG ĐIỂM CƠ SỞ</t>
  </si>
  <si>
    <t>II</t>
  </si>
  <si>
    <t>Triết học Mác - Lênin</t>
  </si>
  <si>
    <t>Kinh tế chính trị mác - Lênin</t>
  </si>
  <si>
    <t>Lịch sử đảng cộng sản Việt Nam</t>
  </si>
  <si>
    <t>Cơ sở văn hoá Việt Nam</t>
  </si>
  <si>
    <t>Phương pháp NCKH chuyên ngành</t>
  </si>
  <si>
    <t xml:space="preserve">Toán cao cấp </t>
  </si>
  <si>
    <t xml:space="preserve">Vật lý kỹ thuật </t>
  </si>
  <si>
    <t>Toán rời rạc</t>
  </si>
  <si>
    <t xml:space="preserve">Tiếng Anh 1
</t>
  </si>
  <si>
    <t xml:space="preserve">Tiếng Anh 2
</t>
  </si>
  <si>
    <t xml:space="preserve">Tiếng Anh 3
</t>
  </si>
  <si>
    <t>Lập trình cơ bản</t>
  </si>
  <si>
    <t>Cơ sở dữ liệu</t>
  </si>
  <si>
    <t>Lập trình nâng cao</t>
  </si>
  <si>
    <t>Cấu trúc dữ diệu &amp; giải thuật</t>
  </si>
  <si>
    <t>Kiến trúc máy tính</t>
  </si>
  <si>
    <t>Hệ điều hành</t>
  </si>
  <si>
    <t>Mạng máy tính</t>
  </si>
  <si>
    <t>Công nghệ phần mềm</t>
  </si>
  <si>
    <t>Th. kế và XD Cơ sở DL</t>
  </si>
  <si>
    <t>Thiết kế Web</t>
  </si>
  <si>
    <t>Hệ quản trị CSDL</t>
  </si>
  <si>
    <t>Lập trình Web</t>
  </si>
  <si>
    <t>Phát triển ƯD Web mã nguồn mở</t>
  </si>
  <si>
    <t>Xử lý ảnh</t>
  </si>
  <si>
    <t>Trí tuệ nhân tạo</t>
  </si>
  <si>
    <t>Học máy</t>
  </si>
  <si>
    <t>Phân tích thiết kế HTTT</t>
  </si>
  <si>
    <t>Lập trình trực quan</t>
  </si>
  <si>
    <t>Công nghệ lập trình DotNet</t>
  </si>
  <si>
    <t>T.kế &amp;Quản trị mạng</t>
  </si>
  <si>
    <t xml:space="preserve">Công nghệ Java </t>
  </si>
  <si>
    <t>Lý thuyết mật mã</t>
  </si>
  <si>
    <t>Quản lý dự án HTTT</t>
  </si>
  <si>
    <t>Thiết kế phần mềm</t>
  </si>
  <si>
    <t>PT ƯD trên thiết bị di động</t>
  </si>
  <si>
    <t>Thiết kế PT game</t>
  </si>
  <si>
    <t>Xử lý // và hệ thống phân tán</t>
  </si>
  <si>
    <t>Lập trình mạng</t>
  </si>
  <si>
    <t>Hệ điều hành LINUX</t>
  </si>
  <si>
    <t>An toàn bảo mật  thông tin</t>
  </si>
  <si>
    <t>Tính toán an toàn</t>
  </si>
  <si>
    <t>An toàn mạng máy tính</t>
  </si>
  <si>
    <t>Đánh giá hiệu năng mạng</t>
  </si>
  <si>
    <t>Công nghệ và thiết bị mạng</t>
  </si>
  <si>
    <t>Thực hành an ninh mạng</t>
  </si>
  <si>
    <t>Công nghệ điện toán đám mây</t>
  </si>
  <si>
    <t>Thực tập tốt nghiệp</t>
  </si>
  <si>
    <t>Khóa luận TN/ HPTT</t>
  </si>
  <si>
    <t>Phân tích thiết  kế hướng đối tượng</t>
  </si>
  <si>
    <t>Quản trị mạng nâng cao</t>
  </si>
  <si>
    <t>Chọn 1/3</t>
  </si>
  <si>
    <t>chọn 1/2</t>
  </si>
  <si>
    <t>I</t>
  </si>
  <si>
    <t>GIÁO VỤ KHOA</t>
  </si>
  <si>
    <t>Mai Ngọc Huyền</t>
  </si>
  <si>
    <t>Nguyễn Thị</t>
  </si>
  <si>
    <t>Thắng</t>
  </si>
  <si>
    <t xml:space="preserve">                     TRƯỜNG ĐẠI HỌC HỒNG ĐỨC</t>
  </si>
  <si>
    <t>Quyền con người và bình đẳng giới</t>
  </si>
  <si>
    <t>Đại cương về biến đổi khí hậu</t>
  </si>
  <si>
    <t>Lập trình hướng đối tượng với Java</t>
  </si>
  <si>
    <t>Nhung</t>
  </si>
  <si>
    <t>28.02.1991</t>
  </si>
  <si>
    <t>CĐ Công nghệ thông tin (CQ) Trường Đại học Chu Văn An</t>
  </si>
  <si>
    <t>Trịnh Thị</t>
  </si>
  <si>
    <t>Loan</t>
  </si>
  <si>
    <t>27.04.1992</t>
  </si>
  <si>
    <t>CĐ Tin học ứng dụng (CQ)   Trường ĐH Công nghiệp Hà Nội</t>
  </si>
  <si>
    <t>Lường Viết</t>
  </si>
  <si>
    <t>01.11.1990</t>
  </si>
  <si>
    <t xml:space="preserve">     ĐH Tài chính - Ngân hàng (LT CQ)                                                    Trường ĐH Kinh tế quốc dân</t>
  </si>
  <si>
    <t>Hoàng Ngọc</t>
  </si>
  <si>
    <t>Quý</t>
  </si>
  <si>
    <t>11.04.2001</t>
  </si>
  <si>
    <t>Trường Đại học Hồng Đức. Chuyên ngành: Giáo dục tiểu học. Hệ LTCQ</t>
  </si>
  <si>
    <t>P. TRƯỞNG ĐƠN VỊ</t>
  </si>
  <si>
    <t>Nguyễn Thế Cường</t>
  </si>
  <si>
    <t>Lê Thị</t>
  </si>
  <si>
    <t>Yến</t>
  </si>
  <si>
    <t xml:space="preserve">Học viện Hành chính Quốc gia   Chuyên ngành: Quản lý nhà nước (CQ)   </t>
  </si>
  <si>
    <t xml:space="preserve">                   KHOA KTCN&amp;TT</t>
  </si>
  <si>
    <t>Họ và lót</t>
  </si>
  <si>
    <t>Tên</t>
  </si>
  <si>
    <t>Đối tượng (Bằng tốt nghiệp, hình thức đào tạo, trường cấp bằng)</t>
  </si>
  <si>
    <t xml:space="preserve">           Khung chương trình đào tạo theo QĐ số 3085/QĐ-ĐHHĐ ngày 13/09/2024</t>
  </si>
  <si>
    <t>Lập trình hướng đối tượng với Python</t>
  </si>
  <si>
    <t>Công nghệ mã nguồn mở</t>
  </si>
  <si>
    <t>9@FPT</t>
  </si>
  <si>
    <t>9,2@FPT</t>
  </si>
  <si>
    <t>8,3@FPT</t>
  </si>
  <si>
    <t>7@FPT</t>
  </si>
  <si>
    <t>8,5@FPT</t>
  </si>
  <si>
    <t>7,8@HDT</t>
  </si>
  <si>
    <t>6,6@HDT</t>
  </si>
  <si>
    <t>6,8@HDT</t>
  </si>
  <si>
    <t>6,2@HDT</t>
  </si>
  <si>
    <t>9@HDT</t>
  </si>
  <si>
    <t>7,4@HDT</t>
  </si>
  <si>
    <t>8,2@HDT</t>
  </si>
  <si>
    <t>7,9@HDT</t>
  </si>
  <si>
    <t>7,6@HDT</t>
  </si>
  <si>
    <t>7,5@HDT</t>
  </si>
  <si>
    <t>6,5@DCN</t>
  </si>
  <si>
    <t>6,3@DCN</t>
  </si>
  <si>
    <t>6@DCN</t>
  </si>
  <si>
    <t>8@DCN</t>
  </si>
  <si>
    <t>7,1@DCN</t>
  </si>
  <si>
    <t>6,8@DCN</t>
  </si>
  <si>
    <t>7@DCN</t>
  </si>
  <si>
    <t>7,2@DCN</t>
  </si>
  <si>
    <t>6,2@DCN</t>
  </si>
  <si>
    <t>7,3@DCN</t>
  </si>
  <si>
    <t>9,2@DCN</t>
  </si>
  <si>
    <t>5,8@DCN</t>
  </si>
  <si>
    <t>8,5@DCN</t>
  </si>
  <si>
    <t>7,5@DCN</t>
  </si>
  <si>
    <t>5,7@DCN</t>
  </si>
  <si>
    <t>7@DCA</t>
  </si>
  <si>
    <t>6@DCA</t>
  </si>
  <si>
    <t>8@DCA</t>
  </si>
  <si>
    <t>9@DCA</t>
  </si>
  <si>
    <t>7@HCH</t>
  </si>
  <si>
    <t>6@HCH</t>
  </si>
  <si>
    <t>6,4@KHA</t>
  </si>
  <si>
    <t>6@KHA</t>
  </si>
  <si>
    <t>7@KHA</t>
  </si>
  <si>
    <t>6,5@KHA</t>
  </si>
  <si>
    <t>5,5@KHA</t>
  </si>
  <si>
    <t>9@HCH</t>
  </si>
  <si>
    <t>5@HCH</t>
  </si>
  <si>
    <t>8@HCH</t>
  </si>
  <si>
    <t>7@HVN</t>
  </si>
  <si>
    <t>257103C301</t>
  </si>
  <si>
    <t>257103C302</t>
  </si>
  <si>
    <t>257103C300</t>
  </si>
  <si>
    <t xml:space="preserve">Trịnh Minh </t>
  </si>
  <si>
    <t>Hiếu</t>
  </si>
  <si>
    <t>05/03/2003</t>
  </si>
  <si>
    <t>K28A ĐH CNTT (CQ) ( Liên thông từ CĐ)</t>
  </si>
  <si>
    <t>K28A ĐH CNTT (CQ) ( Liên thông từ ĐH)</t>
  </si>
  <si>
    <t>257103D300</t>
  </si>
  <si>
    <t>Mai Văn</t>
  </si>
  <si>
    <t>Công</t>
  </si>
  <si>
    <t>01/02/2002</t>
  </si>
  <si>
    <t>257103D301</t>
  </si>
  <si>
    <t>Phạm Thị</t>
  </si>
  <si>
    <t>Hằng</t>
  </si>
  <si>
    <t>05/09/1987</t>
  </si>
  <si>
    <t>257103D302</t>
  </si>
  <si>
    <t>Lý Văn</t>
  </si>
  <si>
    <t>Hiệp</t>
  </si>
  <si>
    <t>19/08/1989</t>
  </si>
  <si>
    <t>257103D303</t>
  </si>
  <si>
    <t>Nguyễn Danh</t>
  </si>
  <si>
    <t>Hiệu</t>
  </si>
  <si>
    <t>16/10/1986</t>
  </si>
  <si>
    <t>257103D304</t>
  </si>
  <si>
    <t>Huệ</t>
  </si>
  <si>
    <t>10/02/1989</t>
  </si>
  <si>
    <t>257103D305</t>
  </si>
  <si>
    <t>Phạm Văn</t>
  </si>
  <si>
    <t>Lâm</t>
  </si>
  <si>
    <t>01/03/1979</t>
  </si>
  <si>
    <t>257103D306</t>
  </si>
  <si>
    <t>Lê Thị Việt</t>
  </si>
  <si>
    <t>Linh</t>
  </si>
  <si>
    <t>25/07/1999</t>
  </si>
  <si>
    <t>257103D307</t>
  </si>
  <si>
    <t>Hoàng Văn</t>
  </si>
  <si>
    <t>Long</t>
  </si>
  <si>
    <t>22/04/1992</t>
  </si>
  <si>
    <t>257103D308</t>
  </si>
  <si>
    <t>Nguyễn Đình</t>
  </si>
  <si>
    <t>Nghĩa</t>
  </si>
  <si>
    <t>20/05/1994</t>
  </si>
  <si>
    <t>257103D309</t>
  </si>
  <si>
    <t>Nguyễn Đăng</t>
  </si>
  <si>
    <t>Quy</t>
  </si>
  <si>
    <t>02/10/1988</t>
  </si>
  <si>
    <t>257103D310</t>
  </si>
  <si>
    <t>11/04/2001</t>
  </si>
  <si>
    <t>257103D311</t>
  </si>
  <si>
    <t xml:space="preserve">Nguyễn Mạnh </t>
  </si>
  <si>
    <t>Tùng</t>
  </si>
  <si>
    <t>13/01/1991</t>
  </si>
  <si>
    <t>257103D312</t>
  </si>
  <si>
    <t>Phạm Quang</t>
  </si>
  <si>
    <t>Thành</t>
  </si>
  <si>
    <t>06/10/1995</t>
  </si>
  <si>
    <t>257103D313</t>
  </si>
  <si>
    <t>Thảo</t>
  </si>
  <si>
    <t>06/02/1990</t>
  </si>
  <si>
    <t>257103D314</t>
  </si>
  <si>
    <t xml:space="preserve">Lường Viết </t>
  </si>
  <si>
    <t>01/11/1990</t>
  </si>
  <si>
    <t xml:space="preserve">ĐH Giáo dục tiểu học (CQ)Trường Đại học Hồng Đức. </t>
  </si>
  <si>
    <t xml:space="preserve">     ĐH Tài chính - Ngân hàng (CQ)                                                    Trường ĐH Kinh tế quốc dân</t>
  </si>
  <si>
    <t xml:space="preserve"> ĐH SP Tiếng Anh (CQ) Đại học Hồng Đức</t>
  </si>
  <si>
    <t>ĐH Môi trường (CQ) Đại học Nông nghiệp Hà Nội</t>
  </si>
  <si>
    <t>ĐH Điều tra trinh sát (CQ) Học viện Cảnh sát nhân dân</t>
  </si>
  <si>
    <t>ĐH Luật (CQ) Đại học Luật Hà Nội</t>
  </si>
  <si>
    <t>ĐH Kế toán (CQ) Đại học Hồng Đức</t>
  </si>
  <si>
    <t xml:space="preserve"> ĐH Luật (VLVH) Đại học Vinh</t>
  </si>
  <si>
    <t xml:space="preserve"> ĐH Báo chí (CQ) Học viện Báo chí và tuyên truyền</t>
  </si>
  <si>
    <t xml:space="preserve"> ĐH Ngôn ngữ Anh ĐH Kinh doanh và Công nghệ Hà Nội</t>
  </si>
  <si>
    <t xml:space="preserve"> ĐH Tài chính - Ngân hàng (CQ)  Đại học Kinh doanh và công nghệ Hà Nội</t>
  </si>
  <si>
    <t>ĐH Lâm học (CQ)                   Đại học Hồng Đức</t>
  </si>
  <si>
    <t xml:space="preserve"> ĐH Công nghệ Kỹ thuật xây dựng (CQ)                                   Đại học Thuỷ lợi</t>
  </si>
  <si>
    <t xml:space="preserve"> ĐH Kế toán (CQ)                                     Đại học Hồng Đức</t>
  </si>
  <si>
    <t>ĐH Kế toán (CQ)                        Đại học Công nghệ Đông Á</t>
  </si>
  <si>
    <t>(Ấn định danh sách gồm 18 sinh viên)</t>
  </si>
  <si>
    <t xml:space="preserve">       Thanh Hóa, ngày       tháng 08 năm 2025 </t>
  </si>
  <si>
    <t>Xét công nhận kết quả và chuyển đổi tín chỉ học phần cho sinh viên lớp K28B  Đại học CNTT (liên thông từ TC,CĐ lên ĐH, THPT), Hình thức đào tạo: Chính quy</t>
  </si>
  <si>
    <t xml:space="preserve"> ĐH Ứng dụng phần mềm (CQ)               Đại học FPT</t>
  </si>
  <si>
    <t>6,4@FPT</t>
  </si>
  <si>
    <t>7,4@FPT</t>
  </si>
  <si>
    <t>6,9@FPT</t>
  </si>
  <si>
    <t>6,8@FPT</t>
  </si>
  <si>
    <t>6,1@FPT</t>
  </si>
  <si>
    <t>7,6@FPT</t>
  </si>
  <si>
    <t>8,25@FPT</t>
  </si>
  <si>
    <t>7,5@FPT</t>
  </si>
  <si>
    <t>7,9@FPT</t>
  </si>
  <si>
    <t>6,7@FPT</t>
  </si>
  <si>
    <t>8,2@FPT</t>
  </si>
  <si>
    <t>5,9@HDT</t>
  </si>
  <si>
    <t>5,6@HDT</t>
  </si>
  <si>
    <t>6,7@HDT</t>
  </si>
  <si>
    <t>8@HDT</t>
  </si>
  <si>
    <t>6,3@HDT</t>
  </si>
  <si>
    <t>5,1@HDT</t>
  </si>
  <si>
    <t>6,75@HDT</t>
  </si>
  <si>
    <t>6@HDT</t>
  </si>
  <si>
    <t>7@HDT</t>
  </si>
  <si>
    <t>6,5@HDT</t>
  </si>
  <si>
    <t>5,4@HDT</t>
  </si>
  <si>
    <t>5@HDT</t>
  </si>
  <si>
    <t>6,1@HDT</t>
  </si>
  <si>
    <t>8,1@HDT</t>
  </si>
  <si>
    <t>8,3@HDT</t>
  </si>
  <si>
    <t>9,1@HDT</t>
  </si>
  <si>
    <t>7,3@HDT</t>
  </si>
  <si>
    <t>7@DDA</t>
  </si>
  <si>
    <t>8@DDA</t>
  </si>
  <si>
    <t>5,5@TLA</t>
  </si>
  <si>
    <t>7@TLA</t>
  </si>
  <si>
    <t>6@TLA</t>
  </si>
  <si>
    <t>6,1@TLA</t>
  </si>
  <si>
    <t>5,7@TLA</t>
  </si>
  <si>
    <t>5,2@TLA</t>
  </si>
  <si>
    <t>6,6@TLA</t>
  </si>
  <si>
    <t>4,7@TLA</t>
  </si>
  <si>
    <t>6,5@TLA</t>
  </si>
  <si>
    <t>6,86@DQK</t>
  </si>
  <si>
    <t>6,5@DQK</t>
  </si>
  <si>
    <t>7,42@DQK</t>
  </si>
  <si>
    <t>6,78@DQK</t>
  </si>
  <si>
    <t>6@DQK</t>
  </si>
  <si>
    <t>7,24@DQK</t>
  </si>
  <si>
    <t>6,7@DQK</t>
  </si>
  <si>
    <t>5@DQK</t>
  </si>
  <si>
    <t>5,7@DQK</t>
  </si>
  <si>
    <t>8,18@DQK</t>
  </si>
  <si>
    <t>6,4@DQK</t>
  </si>
  <si>
    <t>7,1@DQK</t>
  </si>
  <si>
    <t>5,8@KHA</t>
  </si>
  <si>
    <t>6@TDV</t>
  </si>
  <si>
    <t>8@TDV</t>
  </si>
  <si>
    <t>7@TDV</t>
  </si>
  <si>
    <t>5,5@LPH</t>
  </si>
  <si>
    <t>8@LPH</t>
  </si>
  <si>
    <t>7@LPH</t>
  </si>
  <si>
    <t>5@LPH</t>
  </si>
  <si>
    <t>6,4@LPH</t>
  </si>
  <si>
    <t>9@LPH</t>
  </si>
  <si>
    <t>7,2@HBT</t>
  </si>
  <si>
    <t>6,3@HBT</t>
  </si>
  <si>
    <t>7,4@HBT</t>
  </si>
  <si>
    <t>6,4@HBT</t>
  </si>
  <si>
    <t>7,1@HBT</t>
  </si>
  <si>
    <t>6,9@HBT</t>
  </si>
  <si>
    <t>6,5@HBT</t>
  </si>
  <si>
    <t>5,8@HBT</t>
  </si>
  <si>
    <t>6,1@HBT</t>
  </si>
  <si>
    <t>8@CSH</t>
  </si>
  <si>
    <t>6@CSH</t>
  </si>
  <si>
    <t>7@CSH</t>
  </si>
  <si>
    <t>5@CSH</t>
  </si>
  <si>
    <t>6@HVN</t>
  </si>
  <si>
    <t>8@HVN</t>
  </si>
  <si>
    <t>5@HVN</t>
  </si>
  <si>
    <t>5,6@CBK</t>
  </si>
  <si>
    <t>6,3@CBK</t>
  </si>
  <si>
    <t>8,5@CBK</t>
  </si>
  <si>
    <t>5,5@CBK</t>
  </si>
  <si>
    <t>257103D315</t>
  </si>
  <si>
    <t>257103D316</t>
  </si>
  <si>
    <t xml:space="preserve">Vũ Văn </t>
  </si>
  <si>
    <t>Cảnh</t>
  </si>
  <si>
    <t>09/06/1990</t>
  </si>
  <si>
    <t>(Ấn định danh sách gồm 20 sinh viên)</t>
  </si>
  <si>
    <t>ĐH Quản lý nhà nước (VLVH)      ĐH Kinh doanh công nghệ HN</t>
  </si>
  <si>
    <t>7,6@DQK</t>
  </si>
  <si>
    <t>7,25@DQK</t>
  </si>
  <si>
    <t>6,59@DQK</t>
  </si>
  <si>
    <t>7,1@CMM</t>
  </si>
  <si>
    <t>5,3@CMM</t>
  </si>
  <si>
    <t>6,44@DQK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</si>
</sst>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_(* #,##0_);_(* \(#,##0\);_(* &quot;-&quot;??_);_(@_)"/>
    <numFmt numFmtId="166" formatCode="0.0"/>
    <numFmt numFmtId="167" formatCode="_-* #,##0.00\ _₫_-;\-* #,##0.00\ _₫_-;_-* &quot;-&quot;??\ _₫_-;_-@_-"/>
    <numFmt numFmtId="168" formatCode="0;[Red]0"/>
  </numFmts>
  <fonts count="44" x14ac:knownFonts="1">
    <font>
      <sz val="11"/>
      <color theme="1"/>
      <name val="Arial"/>
      <family val="2"/>
      <scheme val="minor"/>
    </font>
    <font>
      <sz val="11"/>
      <color theme="1"/>
      <name val="Arial"/>
      <family val="2"/>
      <scheme val="minor"/>
    </font>
    <font>
      <sz val="10"/>
      <name val="Times New Roman"/>
      <family val="1"/>
    </font>
    <font>
      <b/>
      <sz val="9"/>
      <name val="Times New Roman"/>
      <family val="1"/>
    </font>
    <font>
      <b/>
      <sz val="10"/>
      <name val="Times New Roman"/>
      <family val="1"/>
    </font>
    <font>
      <sz val="10"/>
      <name val="Arial"/>
      <family val="2"/>
    </font>
    <font>
      <sz val="12"/>
      <name val="Times New Roman"/>
      <family val="1"/>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color indexed="20"/>
      <name val="Calibri"/>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theme="1"/>
      <name val="Calibri"/>
      <family val="2"/>
    </font>
    <font>
      <b/>
      <sz val="10"/>
      <color theme="1"/>
      <name val="Arial"/>
      <family val="2"/>
      <scheme val="minor"/>
    </font>
    <font>
      <sz val="9"/>
      <name val="Times New Roman"/>
      <family val="1"/>
    </font>
    <font>
      <sz val="9"/>
      <color theme="1"/>
      <name val="Times New Roman"/>
      <family val="1"/>
    </font>
    <font>
      <b/>
      <sz val="9"/>
      <color theme="1"/>
      <name val="Times New Roman"/>
      <family val="1"/>
    </font>
    <font>
      <i/>
      <sz val="9"/>
      <name val="Times New Roman"/>
      <family val="1"/>
    </font>
    <font>
      <b/>
      <i/>
      <sz val="9"/>
      <name val="Times New Roman"/>
      <family val="1"/>
    </font>
    <font>
      <sz val="9"/>
      <color theme="1"/>
      <name val="Times New Roman"/>
      <family val="1"/>
      <scheme val="major"/>
    </font>
    <font>
      <sz val="9"/>
      <color rgb="FFFF0000"/>
      <name val="Times New Roman"/>
      <family val="1"/>
    </font>
    <font>
      <b/>
      <sz val="9"/>
      <name val="Times New Roman"/>
      <family val="1"/>
      <scheme val="major"/>
    </font>
    <font>
      <sz val="8"/>
      <name val="Arial"/>
      <family val="2"/>
      <scheme val="minor"/>
    </font>
    <font>
      <u/>
      <sz val="11"/>
      <color theme="10"/>
      <name val="Arial"/>
      <family val="2"/>
      <scheme val="minor"/>
    </font>
    <font>
      <sz val="11"/>
      <name val="Times New Roman"/>
      <family val="1"/>
    </font>
    <font>
      <sz val="14"/>
      <name val="Times New Roman"/>
      <family val="1"/>
    </font>
    <font>
      <sz val="9"/>
      <color rgb="FFC00000"/>
      <name val="Times New Roman"/>
      <family val="1"/>
    </font>
    <font>
      <u/>
      <sz val="9"/>
      <name val="Times New Roman"/>
      <family val="1"/>
    </font>
    <font>
      <b/>
      <sz val="9"/>
      <color rgb="FFFF0000"/>
      <name val="Times New Roman"/>
      <family val="1"/>
    </font>
    <font>
      <u/>
      <sz val="9"/>
      <color theme="10"/>
      <name val="Times New Roman"/>
      <family val="1"/>
    </font>
    <font>
      <b/>
      <sz val="10"/>
      <color theme="1"/>
      <name val="Times New Roman"/>
      <family val="1"/>
    </font>
    <font>
      <sz val="10"/>
      <color theme="1"/>
      <name val="Times New Roman"/>
      <family val="1"/>
      <scheme val="major"/>
    </font>
  </fonts>
  <fills count="26">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rgb="FFFFFF00"/>
        <bgColor indexed="64"/>
      </patternFill>
    </fill>
  </fills>
  <borders count="24">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64">
    <xf numFmtId="0" fontId="0" fillId="0" borderId="0"/>
    <xf numFmtId="164" fontId="1" fillId="0" borderId="0" applyFont="0" applyFill="0" applyBorder="0" applyAlignment="0" applyProtection="0"/>
    <xf numFmtId="0" fontId="5" fillId="0" borderId="0"/>
    <xf numFmtId="164" fontId="5" fillId="0" borderId="0" applyFont="0" applyFill="0" applyBorder="0" applyAlignment="0" applyProtection="0"/>
    <xf numFmtId="0" fontId="6" fillId="0" borderId="0"/>
    <xf numFmtId="0" fontId="7" fillId="3" borderId="0" applyNumberFormat="0" applyBorder="0" applyAlignment="0" applyProtection="0"/>
    <xf numFmtId="0" fontId="7" fillId="5"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4"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 fillId="15" borderId="0" applyNumberFormat="0" applyBorder="0" applyAlignment="0" applyProtection="0"/>
    <xf numFmtId="0" fontId="8" fillId="17"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8"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18" borderId="0" applyNumberFormat="0" applyBorder="0" applyAlignment="0" applyProtection="0"/>
    <xf numFmtId="0" fontId="8" fillId="16" borderId="0" applyNumberFormat="0" applyBorder="0" applyAlignment="0" applyProtection="0"/>
    <xf numFmtId="0" fontId="8" fillId="23" borderId="0" applyNumberFormat="0" applyBorder="0" applyAlignment="0" applyProtection="0"/>
    <xf numFmtId="0" fontId="19" fillId="5" borderId="0" applyNumberFormat="0" applyBorder="0" applyAlignment="0" applyProtection="0"/>
    <xf numFmtId="0" fontId="9" fillId="10" borderId="15" applyNumberFormat="0" applyAlignment="0" applyProtection="0"/>
    <xf numFmtId="0" fontId="10" fillId="24" borderId="16" applyNumberFormat="0" applyAlignment="0" applyProtection="0"/>
    <xf numFmtId="167" fontId="6" fillId="0" borderId="0" applyFont="0" applyFill="0" applyBorder="0" applyAlignment="0" applyProtection="0"/>
    <xf numFmtId="167" fontId="6" fillId="0" borderId="0" applyFont="0" applyFill="0" applyBorder="0" applyAlignment="0" applyProtection="0"/>
    <xf numFmtId="0" fontId="11" fillId="0" borderId="0" applyNumberFormat="0" applyFill="0" applyBorder="0" applyAlignment="0" applyProtection="0"/>
    <xf numFmtId="0" fontId="12" fillId="7" borderId="0" applyNumberFormat="0" applyBorder="0" applyAlignment="0" applyProtection="0"/>
    <xf numFmtId="0" fontId="20" fillId="0" borderId="17" applyNumberFormat="0" applyFill="0" applyAlignment="0" applyProtection="0"/>
    <xf numFmtId="0" fontId="21" fillId="0" borderId="18" applyNumberFormat="0" applyFill="0" applyAlignment="0" applyProtection="0"/>
    <xf numFmtId="0" fontId="22" fillId="0" borderId="19" applyNumberFormat="0" applyFill="0" applyAlignment="0" applyProtection="0"/>
    <xf numFmtId="0" fontId="22" fillId="0" borderId="0" applyNumberFormat="0" applyFill="0" applyBorder="0" applyAlignment="0" applyProtection="0"/>
    <xf numFmtId="0" fontId="13" fillId="4" borderId="15" applyNumberFormat="0" applyAlignment="0" applyProtection="0"/>
    <xf numFmtId="0" fontId="14" fillId="0" borderId="20" applyNumberFormat="0" applyFill="0" applyAlignment="0" applyProtection="0"/>
    <xf numFmtId="0" fontId="15" fillId="13" borderId="0" applyNumberFormat="0" applyBorder="0" applyAlignment="0" applyProtection="0"/>
    <xf numFmtId="0" fontId="24" fillId="0" borderId="0"/>
    <xf numFmtId="0" fontId="7" fillId="0" borderId="0"/>
    <xf numFmtId="0" fontId="7" fillId="6" borderId="21" applyNumberFormat="0" applyFont="0" applyAlignment="0" applyProtection="0"/>
    <xf numFmtId="0" fontId="16" fillId="10" borderId="22" applyNumberFormat="0" applyAlignment="0" applyProtection="0"/>
    <xf numFmtId="0" fontId="23" fillId="0" borderId="0" applyNumberFormat="0" applyFill="0" applyBorder="0" applyAlignment="0" applyProtection="0"/>
    <xf numFmtId="0" fontId="17" fillId="0" borderId="23" applyNumberFormat="0" applyFill="0" applyAlignment="0" applyProtection="0"/>
    <xf numFmtId="0" fontId="18" fillId="0" borderId="0" applyNumberForma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1" fillId="0" borderId="0"/>
    <xf numFmtId="0" fontId="9" fillId="10" borderId="15" applyNumberFormat="0" applyBorder="0" applyAlignment="0" applyProtection="0"/>
    <xf numFmtId="0" fontId="10" fillId="24" borderId="16" applyNumberFormat="0" applyBorder="0" applyAlignment="0" applyProtection="0"/>
    <xf numFmtId="0" fontId="20" fillId="0" borderId="17" applyNumberFormat="0" applyFill="0" applyBorder="0" applyAlignment="0" applyProtection="0"/>
    <xf numFmtId="0" fontId="21" fillId="0" borderId="18" applyNumberFormat="0" applyFill="0" applyBorder="0" applyAlignment="0" applyProtection="0"/>
    <xf numFmtId="0" fontId="22" fillId="0" borderId="19" applyNumberFormat="0" applyFill="0" applyBorder="0" applyAlignment="0" applyProtection="0"/>
    <xf numFmtId="0" fontId="13" fillId="4" borderId="15" applyNumberFormat="0" applyBorder="0" applyAlignment="0" applyProtection="0"/>
    <xf numFmtId="0" fontId="14" fillId="0" borderId="20" applyNumberFormat="0" applyFill="0" applyBorder="0" applyAlignment="0" applyProtection="0"/>
    <xf numFmtId="0" fontId="7" fillId="6" borderId="21" applyNumberFormat="0" applyFont="0" applyBorder="0" applyAlignment="0" applyProtection="0"/>
    <xf numFmtId="0" fontId="16" fillId="10" borderId="22" applyNumberFormat="0" applyBorder="0" applyAlignment="0" applyProtection="0"/>
    <xf numFmtId="0" fontId="17" fillId="0" borderId="23" applyNumberFormat="0" applyFill="0" applyBorder="0" applyAlignment="0" applyProtection="0"/>
    <xf numFmtId="0" fontId="35" fillId="0" borderId="0" applyNumberFormat="0" applyFill="0" applyBorder="0" applyAlignment="0" applyProtection="0"/>
  </cellStyleXfs>
  <cellXfs count="197">
    <xf numFmtId="0" fontId="0" fillId="0" borderId="0" xfId="0"/>
    <xf numFmtId="0" fontId="2" fillId="0" borderId="0" xfId="0" applyFont="1"/>
    <xf numFmtId="0" fontId="4" fillId="0" borderId="0" xfId="0" applyFont="1" applyAlignment="1">
      <alignment horizontal="center" vertical="center"/>
    </xf>
    <xf numFmtId="0" fontId="4" fillId="0" borderId="0" xfId="0" applyFont="1"/>
    <xf numFmtId="0" fontId="2" fillId="0" borderId="0" xfId="0" applyFont="1" applyAlignment="1">
      <alignment horizontal="center" vertical="center"/>
    </xf>
    <xf numFmtId="0" fontId="4" fillId="0" borderId="0" xfId="0" applyFont="1" applyAlignment="1">
      <alignment vertical="center"/>
    </xf>
    <xf numFmtId="0" fontId="3" fillId="25" borderId="14" xfId="0" applyFont="1" applyFill="1" applyBorder="1" applyAlignment="1">
      <alignment horizontal="center" vertical="center" textRotation="90" wrapText="1"/>
    </xf>
    <xf numFmtId="0" fontId="3" fillId="25" borderId="7" xfId="0" applyFont="1" applyFill="1" applyBorder="1" applyAlignment="1">
      <alignment horizontal="center" vertical="center" wrapText="1"/>
    </xf>
    <xf numFmtId="0" fontId="25" fillId="2" borderId="0" xfId="0" applyFont="1" applyFill="1" applyAlignment="1">
      <alignment vertical="center"/>
    </xf>
    <xf numFmtId="165" fontId="26" fillId="2" borderId="0" xfId="3" applyNumberFormat="1" applyFont="1" applyFill="1" applyBorder="1" applyAlignment="1">
      <alignment vertical="center"/>
    </xf>
    <xf numFmtId="165" fontId="26" fillId="0" borderId="0" xfId="3" applyNumberFormat="1" applyFont="1" applyFill="1" applyBorder="1" applyAlignment="1">
      <alignment vertical="center"/>
    </xf>
    <xf numFmtId="0" fontId="26" fillId="0" borderId="0" xfId="0" applyFont="1"/>
    <xf numFmtId="0" fontId="3" fillId="0" borderId="0" xfId="0" applyFont="1"/>
    <xf numFmtId="0" fontId="29" fillId="0" borderId="0" xfId="0" applyFont="1" applyAlignment="1">
      <alignment vertical="center"/>
    </xf>
    <xf numFmtId="0" fontId="26" fillId="0" borderId="0" xfId="0" applyFont="1" applyAlignment="1">
      <alignment vertical="center"/>
    </xf>
    <xf numFmtId="0" fontId="3" fillId="0" borderId="7" xfId="0" applyFont="1" applyBorder="1" applyAlignment="1">
      <alignment horizontal="center" vertical="center"/>
    </xf>
    <xf numFmtId="0" fontId="3" fillId="0" borderId="7" xfId="0" applyFont="1" applyBorder="1" applyAlignment="1">
      <alignment horizontal="center" vertical="center" wrapText="1"/>
    </xf>
    <xf numFmtId="0" fontId="3" fillId="25" borderId="7" xfId="0" applyFont="1" applyFill="1" applyBorder="1" applyAlignment="1">
      <alignment horizontal="center" vertical="center"/>
    </xf>
    <xf numFmtId="0" fontId="3" fillId="25" borderId="4" xfId="0" applyFont="1" applyFill="1" applyBorder="1" applyAlignment="1">
      <alignment horizontal="center" vertical="center"/>
    </xf>
    <xf numFmtId="0" fontId="26" fillId="25" borderId="7" xfId="0" applyFont="1" applyFill="1" applyBorder="1" applyAlignment="1">
      <alignment horizontal="center" vertical="center" wrapText="1"/>
    </xf>
    <xf numFmtId="0" fontId="26" fillId="2" borderId="0" xfId="0" applyFont="1" applyFill="1"/>
    <xf numFmtId="166" fontId="3" fillId="0" borderId="0" xfId="0" applyNumberFormat="1" applyFont="1"/>
    <xf numFmtId="0" fontId="26"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27" fillId="2" borderId="7" xfId="0" applyFont="1" applyFill="1" applyBorder="1" applyAlignment="1">
      <alignment horizontal="center" vertical="center"/>
    </xf>
    <xf numFmtId="0" fontId="28" fillId="2" borderId="9" xfId="0" applyFont="1" applyFill="1" applyBorder="1" applyAlignment="1">
      <alignment horizontal="center" vertical="center"/>
    </xf>
    <xf numFmtId="0" fontId="28" fillId="2" borderId="7" xfId="0" applyFont="1" applyFill="1" applyBorder="1" applyAlignment="1">
      <alignment horizontal="center" vertical="center" wrapText="1"/>
    </xf>
    <xf numFmtId="0" fontId="27" fillId="2" borderId="7" xfId="0" applyFont="1" applyFill="1" applyBorder="1" applyAlignment="1">
      <alignment horizontal="center" vertical="center" wrapText="1"/>
    </xf>
    <xf numFmtId="166" fontId="27" fillId="2" borderId="7" xfId="0" applyNumberFormat="1" applyFont="1" applyFill="1" applyBorder="1" applyAlignment="1">
      <alignment horizontal="center" vertical="center"/>
    </xf>
    <xf numFmtId="2" fontId="28" fillId="2" borderId="7" xfId="0" applyNumberFormat="1" applyFont="1" applyFill="1" applyBorder="1" applyAlignment="1">
      <alignment vertical="center"/>
    </xf>
    <xf numFmtId="0" fontId="27" fillId="2" borderId="2" xfId="0" applyFont="1" applyFill="1" applyBorder="1" applyAlignment="1">
      <alignment horizontal="center" vertical="center"/>
    </xf>
    <xf numFmtId="166" fontId="30" fillId="0" borderId="0" xfId="0" applyNumberFormat="1" applyFont="1" applyAlignment="1">
      <alignment horizontal="center"/>
    </xf>
    <xf numFmtId="0" fontId="3" fillId="25" borderId="3" xfId="0" applyFont="1" applyFill="1" applyBorder="1" applyAlignment="1">
      <alignment vertical="center"/>
    </xf>
    <xf numFmtId="0" fontId="3" fillId="25" borderId="4" xfId="0" applyFont="1" applyFill="1" applyBorder="1" applyAlignment="1">
      <alignment vertical="center"/>
    </xf>
    <xf numFmtId="0" fontId="26" fillId="25" borderId="7" xfId="0" applyFont="1" applyFill="1" applyBorder="1" applyAlignment="1">
      <alignment horizontal="center" vertical="center"/>
    </xf>
    <xf numFmtId="0" fontId="28" fillId="2" borderId="7" xfId="0" applyFont="1" applyFill="1" applyBorder="1" applyAlignment="1">
      <alignment horizontal="center" vertical="center"/>
    </xf>
    <xf numFmtId="0" fontId="26" fillId="2" borderId="7" xfId="0" applyFont="1" applyFill="1" applyBorder="1" applyAlignment="1">
      <alignment horizontal="center" vertical="center" wrapText="1"/>
    </xf>
    <xf numFmtId="168" fontId="28" fillId="2" borderId="7" xfId="0" applyNumberFormat="1" applyFont="1" applyFill="1" applyBorder="1" applyAlignment="1">
      <alignment horizontal="center" vertical="center" wrapText="1"/>
    </xf>
    <xf numFmtId="166" fontId="26" fillId="2" borderId="7" xfId="0" applyNumberFormat="1" applyFont="1" applyFill="1" applyBorder="1" applyAlignment="1">
      <alignment horizontal="center" vertical="center"/>
    </xf>
    <xf numFmtId="0" fontId="3" fillId="0" borderId="3"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xf>
    <xf numFmtId="0" fontId="3" fillId="0" borderId="5" xfId="0" applyFont="1" applyBorder="1" applyAlignment="1">
      <alignment vertical="center"/>
    </xf>
    <xf numFmtId="166" fontId="26" fillId="2" borderId="7" xfId="0" applyNumberFormat="1" applyFont="1" applyFill="1" applyBorder="1" applyAlignment="1">
      <alignment horizontal="center" vertical="center" wrapText="1"/>
    </xf>
    <xf numFmtId="0" fontId="33" fillId="2" borderId="7" xfId="0" applyFont="1" applyFill="1" applyBorder="1" applyAlignment="1">
      <alignment horizontal="center" vertical="center" wrapText="1"/>
    </xf>
    <xf numFmtId="0" fontId="25" fillId="2" borderId="7" xfId="0" applyFont="1" applyFill="1" applyBorder="1" applyAlignment="1">
      <alignment vertical="center"/>
    </xf>
    <xf numFmtId="3" fontId="3" fillId="2" borderId="7" xfId="0" applyNumberFormat="1" applyFont="1" applyFill="1" applyBorder="1" applyAlignment="1">
      <alignment horizontal="center"/>
    </xf>
    <xf numFmtId="0" fontId="3" fillId="2" borderId="7" xfId="0" applyFont="1" applyFill="1" applyBorder="1" applyAlignment="1">
      <alignment horizontal="center" vertical="center"/>
    </xf>
    <xf numFmtId="0" fontId="3" fillId="2" borderId="7" xfId="0" applyFont="1" applyFill="1" applyBorder="1" applyAlignment="1">
      <alignment horizontal="center" vertical="center" wrapText="1"/>
    </xf>
    <xf numFmtId="0" fontId="26" fillId="2" borderId="7" xfId="0" applyFont="1" applyFill="1" applyBorder="1" applyAlignment="1">
      <alignment horizontal="center" vertical="center"/>
    </xf>
    <xf numFmtId="166" fontId="26" fillId="2" borderId="2" xfId="0" applyNumberFormat="1" applyFont="1" applyFill="1" applyBorder="1" applyAlignment="1">
      <alignment horizontal="center" vertical="center" wrapText="1"/>
    </xf>
    <xf numFmtId="49" fontId="36" fillId="0" borderId="7" xfId="52" applyNumberFormat="1" applyFont="1" applyBorder="1" applyAlignment="1">
      <alignment horizontal="center" vertical="center" wrapText="1"/>
    </xf>
    <xf numFmtId="49" fontId="36" fillId="0" borderId="7" xfId="52" applyNumberFormat="1" applyFont="1" applyBorder="1" applyAlignment="1">
      <alignment horizontal="left" vertical="center" wrapText="1"/>
    </xf>
    <xf numFmtId="0" fontId="3" fillId="2" borderId="14" xfId="0" applyFont="1" applyFill="1" applyBorder="1" applyAlignment="1">
      <alignment horizontal="center" vertical="center" wrapText="1"/>
    </xf>
    <xf numFmtId="49" fontId="26" fillId="0" borderId="7" xfId="52" quotePrefix="1" applyNumberFormat="1" applyFont="1" applyBorder="1" applyAlignment="1">
      <alignment horizontal="center" vertical="center" wrapText="1"/>
    </xf>
    <xf numFmtId="49" fontId="26" fillId="0" borderId="7" xfId="0" quotePrefix="1" applyNumberFormat="1" applyFont="1" applyBorder="1" applyAlignment="1">
      <alignment horizontal="center" vertical="center"/>
    </xf>
    <xf numFmtId="49" fontId="3" fillId="0" borderId="7" xfId="52" applyNumberFormat="1" applyFont="1" applyBorder="1" applyAlignment="1">
      <alignment horizontal="center" vertical="center" wrapText="1"/>
    </xf>
    <xf numFmtId="0" fontId="36" fillId="0" borderId="0" xfId="0" applyFont="1"/>
    <xf numFmtId="165" fontId="3" fillId="2" borderId="0" xfId="1" applyNumberFormat="1" applyFont="1" applyFill="1" applyBorder="1" applyAlignment="1">
      <alignment vertical="center"/>
    </xf>
    <xf numFmtId="165" fontId="3" fillId="0" borderId="0" xfId="1" applyNumberFormat="1" applyFont="1" applyFill="1" applyBorder="1" applyAlignment="1">
      <alignment vertical="center"/>
    </xf>
    <xf numFmtId="0" fontId="26" fillId="0" borderId="0" xfId="0" applyFont="1" applyAlignment="1">
      <alignment horizontal="center"/>
    </xf>
    <xf numFmtId="0" fontId="6" fillId="0" borderId="0" xfId="0" applyFont="1"/>
    <xf numFmtId="0" fontId="26" fillId="0" borderId="1" xfId="0" applyFont="1" applyBorder="1" applyAlignment="1">
      <alignment vertical="center"/>
    </xf>
    <xf numFmtId="0" fontId="26" fillId="0" borderId="1" xfId="0" applyFont="1" applyBorder="1" applyAlignment="1">
      <alignment horizontal="center" vertical="center"/>
    </xf>
    <xf numFmtId="0" fontId="26" fillId="0" borderId="1" xfId="0" applyFont="1" applyBorder="1" applyAlignment="1">
      <alignment horizontal="center"/>
    </xf>
    <xf numFmtId="0" fontId="26" fillId="0" borderId="7" xfId="4" applyFont="1" applyBorder="1" applyAlignment="1">
      <alignment horizontal="center" vertical="center"/>
    </xf>
    <xf numFmtId="0" fontId="26" fillId="0" borderId="3" xfId="4" applyFont="1" applyBorder="1" applyAlignment="1">
      <alignment vertical="center" wrapText="1"/>
    </xf>
    <xf numFmtId="0" fontId="26" fillId="0" borderId="4" xfId="4" applyFont="1" applyBorder="1" applyAlignment="1">
      <alignment vertical="center" wrapText="1"/>
    </xf>
    <xf numFmtId="0" fontId="26" fillId="0" borderId="5" xfId="4" applyFont="1" applyBorder="1" applyAlignment="1">
      <alignment vertical="center" wrapText="1"/>
    </xf>
    <xf numFmtId="0" fontId="26" fillId="0" borderId="7" xfId="4" applyFont="1" applyBorder="1" applyAlignment="1">
      <alignment horizontal="center" vertical="center" wrapText="1"/>
    </xf>
    <xf numFmtId="168" fontId="3" fillId="0" borderId="7" xfId="4" applyNumberFormat="1" applyFont="1" applyBorder="1" applyAlignment="1">
      <alignment vertical="center" wrapText="1"/>
    </xf>
    <xf numFmtId="0" fontId="3" fillId="0" borderId="7" xfId="4" applyFont="1" applyBorder="1" applyAlignment="1">
      <alignment textRotation="90"/>
    </xf>
    <xf numFmtId="0" fontId="3" fillId="0" borderId="7" xfId="0" applyFont="1" applyBorder="1" applyAlignment="1">
      <alignment horizontal="center" textRotation="90" wrapText="1"/>
    </xf>
    <xf numFmtId="0" fontId="3" fillId="0" borderId="7" xfId="0" applyFont="1" applyBorder="1" applyAlignment="1">
      <alignment horizontal="center" textRotation="90"/>
    </xf>
    <xf numFmtId="0" fontId="3" fillId="0" borderId="7" xfId="4" applyFont="1" applyBorder="1" applyAlignment="1">
      <alignment horizontal="center" textRotation="90" wrapText="1"/>
    </xf>
    <xf numFmtId="0" fontId="3" fillId="0" borderId="7" xfId="4" applyFont="1" applyBorder="1" applyAlignment="1">
      <alignment horizontal="center" vertical="justify" textRotation="90"/>
    </xf>
    <xf numFmtId="0" fontId="3" fillId="0" borderId="2" xfId="4" applyFont="1" applyBorder="1" applyAlignment="1">
      <alignment horizontal="center" textRotation="90"/>
    </xf>
    <xf numFmtId="0" fontId="3" fillId="0" borderId="7" xfId="0" applyFont="1" applyBorder="1" applyAlignment="1">
      <alignment horizontal="center" vertical="center" textRotation="90" wrapText="1"/>
    </xf>
    <xf numFmtId="0" fontId="3" fillId="0" borderId="7" xfId="0" applyFont="1" applyBorder="1" applyAlignment="1">
      <alignment horizontal="center" vertical="center" textRotation="90"/>
    </xf>
    <xf numFmtId="0" fontId="3" fillId="0" borderId="2" xfId="4" applyFont="1" applyBorder="1" applyAlignment="1">
      <alignment horizontal="center" vertical="center" textRotation="90"/>
    </xf>
    <xf numFmtId="168" fontId="3" fillId="0" borderId="2" xfId="4" applyNumberFormat="1" applyFont="1" applyBorder="1" applyAlignment="1">
      <alignment horizontal="center" vertical="center" wrapText="1"/>
    </xf>
    <xf numFmtId="0" fontId="3" fillId="0" borderId="7" xfId="4" applyFont="1" applyBorder="1" applyAlignment="1">
      <alignment horizontal="center" vertical="center" textRotation="90"/>
    </xf>
    <xf numFmtId="0" fontId="3" fillId="0" borderId="2" xfId="4" applyFont="1" applyBorder="1" applyAlignment="1">
      <alignment horizontal="center" vertical="center"/>
    </xf>
    <xf numFmtId="0" fontId="3" fillId="25" borderId="2" xfId="4" applyFont="1" applyFill="1" applyBorder="1" applyAlignment="1">
      <alignment horizontal="center" vertical="center"/>
    </xf>
    <xf numFmtId="168" fontId="3" fillId="25" borderId="7" xfId="4" applyNumberFormat="1" applyFont="1" applyFill="1" applyBorder="1" applyAlignment="1">
      <alignment horizontal="center" vertical="center" wrapText="1"/>
    </xf>
    <xf numFmtId="168" fontId="3" fillId="25" borderId="7" xfId="0" applyNumberFormat="1" applyFont="1" applyFill="1" applyBorder="1" applyAlignment="1">
      <alignment horizontal="center" vertical="center" wrapText="1"/>
    </xf>
    <xf numFmtId="168" fontId="3" fillId="2" borderId="9" xfId="4" applyNumberFormat="1" applyFont="1" applyFill="1" applyBorder="1" applyAlignment="1">
      <alignment horizontal="center" vertical="center" wrapText="1"/>
    </xf>
    <xf numFmtId="168" fontId="3" fillId="2" borderId="7" xfId="0" applyNumberFormat="1" applyFont="1" applyFill="1" applyBorder="1" applyAlignment="1">
      <alignment horizontal="center" vertical="center" wrapText="1"/>
    </xf>
    <xf numFmtId="0" fontId="3" fillId="2" borderId="9" xfId="0" applyFont="1" applyFill="1" applyBorder="1" applyAlignment="1">
      <alignment horizontal="center" vertical="center"/>
    </xf>
    <xf numFmtId="0" fontId="26" fillId="2" borderId="2" xfId="0" applyFont="1" applyFill="1" applyBorder="1" applyAlignment="1">
      <alignment horizontal="center" vertical="center" wrapText="1"/>
    </xf>
    <xf numFmtId="1" fontId="26" fillId="2" borderId="7" xfId="0" applyNumberFormat="1" applyFont="1" applyFill="1" applyBorder="1" applyAlignment="1">
      <alignment horizontal="center" vertical="center"/>
    </xf>
    <xf numFmtId="0" fontId="3" fillId="0" borderId="0" xfId="0" applyFont="1" applyAlignment="1">
      <alignment horizontal="left"/>
    </xf>
    <xf numFmtId="0" fontId="3" fillId="0" borderId="0" xfId="0" applyFont="1" applyAlignment="1">
      <alignment horizontal="left" vertical="center"/>
    </xf>
    <xf numFmtId="0" fontId="26" fillId="0" borderId="1" xfId="0" applyFont="1" applyBorder="1" applyAlignment="1">
      <alignment horizontal="left" vertical="center"/>
    </xf>
    <xf numFmtId="0" fontId="3" fillId="25" borderId="4" xfId="0" applyFont="1" applyFill="1" applyBorder="1" applyAlignment="1">
      <alignment horizontal="left" vertical="center"/>
    </xf>
    <xf numFmtId="0" fontId="36" fillId="0" borderId="7" xfId="0" applyFont="1" applyBorder="1" applyAlignment="1">
      <alignment horizontal="left" vertical="center"/>
    </xf>
    <xf numFmtId="0" fontId="26" fillId="2" borderId="0" xfId="0" applyFont="1" applyFill="1" applyAlignment="1">
      <alignment horizontal="left"/>
    </xf>
    <xf numFmtId="0" fontId="26" fillId="2" borderId="4" xfId="0" applyFont="1" applyFill="1" applyBorder="1" applyAlignment="1">
      <alignment horizontal="center" vertical="center"/>
    </xf>
    <xf numFmtId="0" fontId="26" fillId="2" borderId="2" xfId="4" applyFont="1" applyFill="1" applyBorder="1" applyAlignment="1">
      <alignment horizontal="center" vertical="center"/>
    </xf>
    <xf numFmtId="0" fontId="3" fillId="25" borderId="9" xfId="0" applyFont="1" applyFill="1" applyBorder="1" applyAlignment="1">
      <alignment horizontal="center" vertical="center"/>
    </xf>
    <xf numFmtId="2" fontId="3" fillId="25" borderId="7" xfId="0" applyNumberFormat="1" applyFont="1" applyFill="1" applyBorder="1" applyAlignment="1">
      <alignment horizontal="center" vertical="center"/>
    </xf>
    <xf numFmtId="2" fontId="26" fillId="2" borderId="7" xfId="0" applyNumberFormat="1" applyFont="1" applyFill="1" applyBorder="1" applyAlignment="1">
      <alignment horizontal="center" vertical="center" wrapText="1"/>
    </xf>
    <xf numFmtId="166" fontId="32" fillId="2" borderId="7" xfId="0" applyNumberFormat="1" applyFont="1" applyFill="1" applyBorder="1" applyAlignment="1">
      <alignment horizontal="center" vertical="center" wrapText="1"/>
    </xf>
    <xf numFmtId="0" fontId="3" fillId="0" borderId="7" xfId="0" applyFont="1" applyBorder="1" applyAlignment="1">
      <alignment vertical="center"/>
    </xf>
    <xf numFmtId="0" fontId="36" fillId="0" borderId="0" xfId="0" applyFont="1" applyAlignment="1">
      <alignment vertical="center"/>
    </xf>
    <xf numFmtId="0" fontId="2" fillId="0" borderId="0" xfId="0" applyFont="1" applyAlignment="1">
      <alignment vertical="center"/>
    </xf>
    <xf numFmtId="0" fontId="26" fillId="0" borderId="7" xfId="0" applyFont="1" applyBorder="1"/>
    <xf numFmtId="0" fontId="3" fillId="25" borderId="7" xfId="0" applyFont="1" applyFill="1" applyBorder="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0" fontId="26" fillId="2" borderId="7" xfId="0" applyFont="1" applyFill="1" applyBorder="1" applyAlignment="1">
      <alignment horizontal="left" vertical="center"/>
    </xf>
    <xf numFmtId="0" fontId="26" fillId="2" borderId="7" xfId="0" quotePrefix="1" applyFont="1" applyFill="1" applyBorder="1" applyAlignment="1">
      <alignment horizontal="center" vertical="center"/>
    </xf>
    <xf numFmtId="49" fontId="26" fillId="2" borderId="7" xfId="0" quotePrefix="1" applyNumberFormat="1" applyFont="1" applyFill="1" applyBorder="1" applyAlignment="1">
      <alignment horizontal="center" vertical="center"/>
    </xf>
    <xf numFmtId="0" fontId="4" fillId="2" borderId="7" xfId="0" applyFont="1" applyFill="1" applyBorder="1" applyAlignment="1">
      <alignment vertical="center"/>
    </xf>
    <xf numFmtId="49" fontId="26" fillId="0" borderId="7" xfId="0" applyNumberFormat="1" applyFont="1" applyBorder="1" applyAlignment="1">
      <alignment horizontal="center" vertical="center"/>
    </xf>
    <xf numFmtId="0" fontId="2" fillId="2" borderId="0" xfId="0" applyFont="1" applyFill="1"/>
    <xf numFmtId="0" fontId="36" fillId="2" borderId="0" xfId="0" applyFont="1" applyFill="1"/>
    <xf numFmtId="0" fontId="37" fillId="2" borderId="0" xfId="0" applyFont="1" applyFill="1"/>
    <xf numFmtId="0" fontId="37" fillId="2" borderId="0" xfId="0" applyFont="1" applyFill="1" applyAlignment="1">
      <alignment horizontal="left"/>
    </xf>
    <xf numFmtId="0" fontId="36" fillId="2" borderId="0" xfId="0" applyFont="1" applyFill="1" applyAlignment="1">
      <alignment horizontal="left"/>
    </xf>
    <xf numFmtId="0" fontId="36" fillId="0" borderId="0" xfId="0" applyFont="1" applyAlignment="1">
      <alignment horizontal="left"/>
    </xf>
    <xf numFmtId="1" fontId="3" fillId="2" borderId="7" xfId="0" applyNumberFormat="1" applyFont="1" applyFill="1" applyBorder="1" applyAlignment="1">
      <alignment horizontal="center" vertical="center"/>
    </xf>
    <xf numFmtId="166" fontId="3" fillId="2" borderId="7" xfId="0" applyNumberFormat="1" applyFont="1" applyFill="1" applyBorder="1" applyAlignment="1">
      <alignment horizontal="center" vertical="center"/>
    </xf>
    <xf numFmtId="166" fontId="2" fillId="2" borderId="7" xfId="0" applyNumberFormat="1" applyFont="1" applyFill="1" applyBorder="1" applyAlignment="1">
      <alignment horizontal="center" vertical="center"/>
    </xf>
    <xf numFmtId="0" fontId="3" fillId="2" borderId="0" xfId="0" applyFont="1" applyFill="1" applyAlignment="1">
      <alignment vertical="center"/>
    </xf>
    <xf numFmtId="49" fontId="26" fillId="0" borderId="7" xfId="52" applyNumberFormat="1" applyFont="1" applyBorder="1" applyAlignment="1">
      <alignment horizontal="center" vertical="center" wrapText="1"/>
    </xf>
    <xf numFmtId="49" fontId="26" fillId="0" borderId="7" xfId="52" applyNumberFormat="1" applyFont="1" applyBorder="1" applyAlignment="1">
      <alignment horizontal="left" vertical="center" wrapText="1"/>
    </xf>
    <xf numFmtId="0" fontId="3" fillId="2" borderId="0" xfId="0" applyFont="1" applyFill="1" applyAlignment="1">
      <alignment horizontal="center" vertical="center"/>
    </xf>
    <xf numFmtId="0" fontId="26" fillId="0" borderId="7" xfId="0" applyFont="1" applyBorder="1" applyAlignment="1">
      <alignment horizontal="left" vertical="center"/>
    </xf>
    <xf numFmtId="0" fontId="3" fillId="2" borderId="7" xfId="0" applyFont="1" applyFill="1" applyBorder="1" applyAlignment="1">
      <alignment vertical="center"/>
    </xf>
    <xf numFmtId="0" fontId="26" fillId="0" borderId="0" xfId="0" applyFont="1" applyAlignment="1">
      <alignment horizontal="left"/>
    </xf>
    <xf numFmtId="166" fontId="38" fillId="2" borderId="7" xfId="0" applyNumberFormat="1" applyFont="1" applyFill="1" applyBorder="1" applyAlignment="1">
      <alignment horizontal="center" vertical="center"/>
    </xf>
    <xf numFmtId="1" fontId="38" fillId="2" borderId="7" xfId="0" applyNumberFormat="1" applyFont="1" applyFill="1" applyBorder="1" applyAlignment="1">
      <alignment horizontal="center" vertical="center"/>
    </xf>
    <xf numFmtId="0" fontId="36" fillId="0" borderId="7" xfId="0" applyFont="1" applyBorder="1" applyAlignment="1">
      <alignment horizontal="center" vertical="center"/>
    </xf>
    <xf numFmtId="0" fontId="36" fillId="0" borderId="2" xfId="0" applyFont="1" applyBorder="1" applyAlignment="1">
      <alignment horizontal="center" vertical="center"/>
    </xf>
    <xf numFmtId="0" fontId="31" fillId="2" borderId="2" xfId="0" applyFont="1" applyFill="1" applyBorder="1" applyAlignment="1">
      <alignment vertical="center"/>
    </xf>
    <xf numFmtId="14" fontId="31" fillId="2" borderId="2" xfId="0" quotePrefix="1" applyNumberFormat="1" applyFont="1" applyFill="1" applyBorder="1" applyAlignment="1">
      <alignment horizontal="center" vertical="center"/>
    </xf>
    <xf numFmtId="0" fontId="33" fillId="2" borderId="2" xfId="0" applyFont="1" applyFill="1" applyBorder="1" applyAlignment="1">
      <alignment horizontal="center" vertical="center" wrapText="1"/>
    </xf>
    <xf numFmtId="0" fontId="25" fillId="2" borderId="2" xfId="0" applyFont="1" applyFill="1" applyBorder="1" applyAlignment="1">
      <alignment vertical="center"/>
    </xf>
    <xf numFmtId="166" fontId="27"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168" fontId="3" fillId="2" borderId="2" xfId="0" applyNumberFormat="1" applyFont="1" applyFill="1" applyBorder="1" applyAlignment="1">
      <alignment horizontal="center" vertical="center" wrapText="1"/>
    </xf>
    <xf numFmtId="166" fontId="3" fillId="2" borderId="2" xfId="0" applyNumberFormat="1" applyFont="1" applyFill="1" applyBorder="1" applyAlignment="1">
      <alignment horizontal="center" vertical="center"/>
    </xf>
    <xf numFmtId="49" fontId="36" fillId="0" borderId="7" xfId="0" applyNumberFormat="1" applyFont="1" applyBorder="1" applyAlignment="1">
      <alignment horizontal="center" vertical="center"/>
    </xf>
    <xf numFmtId="0" fontId="36" fillId="0" borderId="7" xfId="0" applyFont="1" applyBorder="1" applyAlignment="1">
      <alignment vertical="center"/>
    </xf>
    <xf numFmtId="0" fontId="26" fillId="0" borderId="3" xfId="4" applyFont="1" applyBorder="1" applyAlignment="1">
      <alignment horizontal="center" vertical="center"/>
    </xf>
    <xf numFmtId="0" fontId="26" fillId="0" borderId="5" xfId="4" applyFont="1" applyBorder="1" applyAlignment="1">
      <alignment horizontal="center" vertical="center"/>
    </xf>
    <xf numFmtId="165" fontId="26" fillId="2" borderId="0" xfId="3" applyNumberFormat="1" applyFont="1" applyFill="1" applyBorder="1" applyAlignment="1">
      <alignment horizontal="center" vertical="center"/>
    </xf>
    <xf numFmtId="165" fontId="3" fillId="2" borderId="0" xfId="1" applyNumberFormat="1" applyFont="1" applyFill="1" applyBorder="1" applyAlignment="1">
      <alignment horizontal="center" vertical="center"/>
    </xf>
    <xf numFmtId="0" fontId="3" fillId="0" borderId="2" xfId="2" applyFont="1" applyBorder="1" applyAlignment="1">
      <alignment horizontal="center" vertical="center" wrapText="1"/>
    </xf>
    <xf numFmtId="0" fontId="3" fillId="0" borderId="6" xfId="2" applyFont="1" applyBorder="1" applyAlignment="1">
      <alignment horizontal="center" vertical="center" wrapText="1"/>
    </xf>
    <xf numFmtId="0" fontId="3" fillId="0" borderId="9" xfId="2" applyFont="1" applyBorder="1" applyAlignment="1">
      <alignment horizontal="center" vertical="center" wrapText="1"/>
    </xf>
    <xf numFmtId="0" fontId="3" fillId="0" borderId="10" xfId="2" applyFont="1" applyBorder="1" applyAlignment="1">
      <alignment horizontal="left" vertical="center"/>
    </xf>
    <xf numFmtId="0" fontId="3" fillId="0" borderId="11" xfId="2" applyFont="1" applyBorder="1" applyAlignment="1">
      <alignment horizontal="left" vertical="center"/>
    </xf>
    <xf numFmtId="0" fontId="3" fillId="0" borderId="13" xfId="2" applyFont="1" applyBorder="1" applyAlignment="1">
      <alignment horizontal="left" vertical="center"/>
    </xf>
    <xf numFmtId="0" fontId="3" fillId="0" borderId="8" xfId="2" applyFont="1" applyBorder="1" applyAlignment="1">
      <alignment horizontal="left" vertical="center"/>
    </xf>
    <xf numFmtId="0" fontId="3" fillId="0" borderId="12" xfId="2" applyFont="1" applyBorder="1" applyAlignment="1">
      <alignment horizontal="left" vertical="center"/>
    </xf>
    <xf numFmtId="0" fontId="3" fillId="0" borderId="14" xfId="2" applyFont="1" applyBorder="1" applyAlignment="1">
      <alignment horizontal="left" vertical="center"/>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0" fillId="2" borderId="7" xfId="0" applyFont="1" applyFill="1" applyBorder="1" applyAlignment="1">
      <alignment horizontal="center" vertical="center"/>
    </xf>
    <xf numFmtId="166" fontId="30" fillId="0" borderId="0" xfId="0" applyNumberFormat="1" applyFont="1" applyAlignment="1">
      <alignment horizontal="center"/>
    </xf>
    <xf numFmtId="0" fontId="26" fillId="0" borderId="3" xfId="4" applyFont="1" applyBorder="1" applyAlignment="1">
      <alignment horizontal="center" vertical="center" wrapText="1"/>
    </xf>
    <xf numFmtId="0" fontId="26" fillId="0" borderId="4" xfId="4" applyFont="1" applyBorder="1" applyAlignment="1">
      <alignment horizontal="center" vertical="center" wrapText="1"/>
    </xf>
    <xf numFmtId="0" fontId="26" fillId="0" borderId="5" xfId="4" applyFont="1" applyBorder="1" applyAlignment="1">
      <alignment horizontal="center" vertical="center" wrapText="1"/>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30" fillId="0" borderId="5"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4" fillId="0" borderId="0" xfId="0" applyFont="1" applyAlignment="1">
      <alignment horizontal="center"/>
    </xf>
    <xf numFmtId="0" fontId="4" fillId="0" borderId="0" xfId="0" applyFont="1" applyAlignment="1">
      <alignment horizontal="center" vertical="center"/>
    </xf>
    <xf numFmtId="166" fontId="32" fillId="2" borderId="7" xfId="0" applyNumberFormat="1" applyFont="1" applyFill="1" applyBorder="1" applyAlignment="1">
      <alignment horizontal="center" vertical="center"/>
    </xf>
    <xf numFmtId="0" fontId="39" fillId="2" borderId="7" xfId="63" applyFont="1" applyFill="1" applyBorder="1" applyAlignment="1">
      <alignment horizontal="center" vertical="center"/>
    </xf>
    <xf numFmtId="0" fontId="39" fillId="2" borderId="2" xfId="63" applyFont="1" applyFill="1" applyBorder="1" applyAlignment="1">
      <alignment horizontal="center" vertical="center"/>
    </xf>
    <xf numFmtId="0" fontId="27" fillId="2" borderId="7" xfId="0" applyFont="1" applyFill="1" applyBorder="1" applyAlignment="1">
      <alignment vertical="center"/>
    </xf>
    <xf numFmtId="0" fontId="27" fillId="2" borderId="7" xfId="0" applyFont="1" applyFill="1" applyBorder="1" applyAlignment="1">
      <alignment horizontal="left" vertical="center"/>
    </xf>
    <xf numFmtId="0" fontId="27" fillId="2" borderId="7" xfId="0" quotePrefix="1" applyFont="1" applyFill="1" applyBorder="1" applyAlignment="1">
      <alignment horizontal="center" vertical="center"/>
    </xf>
    <xf numFmtId="166" fontId="39" fillId="2" borderId="7" xfId="63" applyNumberFormat="1" applyFont="1" applyFill="1" applyBorder="1" applyAlignment="1">
      <alignment horizontal="center" vertical="center"/>
    </xf>
    <xf numFmtId="0" fontId="28" fillId="2" borderId="0" xfId="0" applyFont="1" applyFill="1" applyAlignment="1">
      <alignment vertical="center"/>
    </xf>
    <xf numFmtId="49" fontId="27" fillId="2" borderId="7" xfId="0" quotePrefix="1" applyNumberFormat="1" applyFont="1" applyFill="1" applyBorder="1" applyAlignment="1">
      <alignment horizontal="center" vertical="center"/>
    </xf>
    <xf numFmtId="0" fontId="40" fillId="2" borderId="0" xfId="0" applyFont="1" applyFill="1"/>
    <xf numFmtId="166" fontId="39" fillId="2" borderId="7" xfId="63" applyNumberFormat="1" applyFont="1" applyFill="1" applyBorder="1" applyAlignment="1">
      <alignment horizontal="center" vertical="center" wrapText="1"/>
    </xf>
    <xf numFmtId="166" fontId="39" fillId="2" borderId="2" xfId="63" applyNumberFormat="1" applyFont="1" applyFill="1" applyBorder="1" applyAlignment="1">
      <alignment horizontal="center" vertical="center" wrapText="1"/>
    </xf>
    <xf numFmtId="166" fontId="41" fillId="2" borderId="7" xfId="63" applyNumberFormat="1" applyFont="1" applyFill="1" applyBorder="1" applyAlignment="1">
      <alignment horizontal="center" vertical="center" wrapText="1"/>
    </xf>
    <xf numFmtId="0" fontId="27" fillId="2" borderId="9" xfId="0" applyFont="1" applyFill="1" applyBorder="1" applyAlignment="1">
      <alignment vertical="center"/>
    </xf>
    <xf numFmtId="0" fontId="27" fillId="2" borderId="9" xfId="0" applyFont="1" applyFill="1" applyBorder="1" applyAlignment="1">
      <alignment horizontal="left" vertical="center"/>
    </xf>
    <xf numFmtId="14" fontId="27" fillId="2" borderId="7" xfId="0" quotePrefix="1" applyNumberFormat="1" applyFont="1" applyFill="1" applyBorder="1" applyAlignment="1">
      <alignment horizontal="center" vertical="center"/>
    </xf>
    <xf numFmtId="0" fontId="42" fillId="2" borderId="7" xfId="0" applyFont="1" applyFill="1" applyBorder="1" applyAlignment="1">
      <alignment vertical="center"/>
    </xf>
    <xf numFmtId="0" fontId="42" fillId="2" borderId="0" xfId="0" applyFont="1" applyFill="1" applyAlignment="1">
      <alignment vertical="center"/>
    </xf>
    <xf numFmtId="0" fontId="43" fillId="2" borderId="7" xfId="0" applyFont="1" applyFill="1" applyBorder="1" applyAlignment="1">
      <alignment vertical="center"/>
    </xf>
    <xf numFmtId="0" fontId="27" fillId="2" borderId="0" xfId="0" applyFont="1" applyFill="1" applyAlignment="1">
      <alignment vertical="center"/>
    </xf>
  </cellXfs>
  <cellStyles count="64">
    <cellStyle name="20% - Accent1 2" xfId="5" xr:uid="{00000000-0005-0000-0000-000000000000}"/>
    <cellStyle name="20% - Accent2 2" xfId="6" xr:uid="{00000000-0005-0000-0000-000001000000}"/>
    <cellStyle name="20% - Accent3 2" xfId="7" xr:uid="{00000000-0005-0000-0000-000002000000}"/>
    <cellStyle name="20% - Accent4 2" xfId="8" xr:uid="{00000000-0005-0000-0000-000003000000}"/>
    <cellStyle name="20% - Accent5 2" xfId="9" xr:uid="{00000000-0005-0000-0000-000004000000}"/>
    <cellStyle name="20% - Accent6 2" xfId="10" xr:uid="{00000000-0005-0000-0000-000005000000}"/>
    <cellStyle name="40% - Accent1 2" xfId="11" xr:uid="{00000000-0005-0000-0000-000006000000}"/>
    <cellStyle name="40% - Accent2 2" xfId="12" xr:uid="{00000000-0005-0000-0000-000007000000}"/>
    <cellStyle name="40% - Accent3 2" xfId="13" xr:uid="{00000000-0005-0000-0000-000008000000}"/>
    <cellStyle name="40% - Accent4 2" xfId="14" xr:uid="{00000000-0005-0000-0000-000009000000}"/>
    <cellStyle name="40% - Accent5 2" xfId="15" xr:uid="{00000000-0005-0000-0000-00000A000000}"/>
    <cellStyle name="40% - Accent6 2" xfId="16" xr:uid="{00000000-0005-0000-0000-00000B000000}"/>
    <cellStyle name="60% - Accent1 2" xfId="17" xr:uid="{00000000-0005-0000-0000-00000C000000}"/>
    <cellStyle name="60% - Accent2 2" xfId="18" xr:uid="{00000000-0005-0000-0000-00000D000000}"/>
    <cellStyle name="60% - Accent3 2" xfId="19" xr:uid="{00000000-0005-0000-0000-00000E000000}"/>
    <cellStyle name="60% - Accent4 2" xfId="20" xr:uid="{00000000-0005-0000-0000-00000F000000}"/>
    <cellStyle name="60% - Accent5 2" xfId="21" xr:uid="{00000000-0005-0000-0000-000010000000}"/>
    <cellStyle name="60% - Accent6 2" xfId="22" xr:uid="{00000000-0005-0000-0000-000011000000}"/>
    <cellStyle name="Accent1 2" xfId="23" xr:uid="{00000000-0005-0000-0000-000012000000}"/>
    <cellStyle name="Accent2 2" xfId="24" xr:uid="{00000000-0005-0000-0000-000013000000}"/>
    <cellStyle name="Accent3 2" xfId="25" xr:uid="{00000000-0005-0000-0000-000014000000}"/>
    <cellStyle name="Accent4 2" xfId="26" xr:uid="{00000000-0005-0000-0000-000015000000}"/>
    <cellStyle name="Accent5 2" xfId="27" xr:uid="{00000000-0005-0000-0000-000016000000}"/>
    <cellStyle name="Accent6 2" xfId="28" xr:uid="{00000000-0005-0000-0000-000017000000}"/>
    <cellStyle name="Bad 2" xfId="29" xr:uid="{00000000-0005-0000-0000-000018000000}"/>
    <cellStyle name="Calculation 2" xfId="30" xr:uid="{00000000-0005-0000-0000-000019000000}"/>
    <cellStyle name="Calculation 3" xfId="53" xr:uid="{47C0C664-09A9-40A9-8DB6-968615D723BF}"/>
    <cellStyle name="Comma" xfId="1" builtinId="3"/>
    <cellStyle name="Comma 2" xfId="3" xr:uid="{00000000-0005-0000-0000-00001C000000}"/>
    <cellStyle name="Comma 2 2" xfId="33" xr:uid="{00000000-0005-0000-0000-00001D000000}"/>
    <cellStyle name="Comma 2 3" xfId="51" xr:uid="{25A49628-04B5-42E5-BBE0-737F83D86CE0}"/>
    <cellStyle name="Comma 3" xfId="32" xr:uid="{00000000-0005-0000-0000-00001E000000}"/>
    <cellStyle name="Comma 4" xfId="50" xr:uid="{719E4EA6-E6CF-4914-ACB6-122D3F11E687}"/>
    <cellStyle name="Check Cell 2" xfId="31" xr:uid="{00000000-0005-0000-0000-00001A000000}"/>
    <cellStyle name="Check Cell 3" xfId="54" xr:uid="{6637053A-F40E-41DF-B915-031D2E787E20}"/>
    <cellStyle name="Explanatory Text 2" xfId="34" xr:uid="{00000000-0005-0000-0000-00001F000000}"/>
    <cellStyle name="Good 2" xfId="35" xr:uid="{00000000-0005-0000-0000-000020000000}"/>
    <cellStyle name="Heading 1 2" xfId="36" xr:uid="{00000000-0005-0000-0000-000021000000}"/>
    <cellStyle name="Heading 1 3" xfId="55" xr:uid="{E3A1DEC2-8F3C-426D-AB71-83244AECA97D}"/>
    <cellStyle name="Heading 2 2" xfId="37" xr:uid="{00000000-0005-0000-0000-000022000000}"/>
    <cellStyle name="Heading 2 3" xfId="56" xr:uid="{E5184F2C-6CE4-4863-A26D-9A36DBEAB74C}"/>
    <cellStyle name="Heading 3 2" xfId="38" xr:uid="{00000000-0005-0000-0000-000023000000}"/>
    <cellStyle name="Heading 3 3" xfId="57" xr:uid="{46F20498-6DDC-4ECF-8114-87A945EEC89B}"/>
    <cellStyle name="Heading 4 2" xfId="39" xr:uid="{00000000-0005-0000-0000-000024000000}"/>
    <cellStyle name="Hyperlink" xfId="63" builtinId="8"/>
    <cellStyle name="Input 2" xfId="40" xr:uid="{00000000-0005-0000-0000-000025000000}"/>
    <cellStyle name="Input 3" xfId="58" xr:uid="{67B1614D-95EC-4FB4-8EA5-8297FE050B09}"/>
    <cellStyle name="Linked Cell 2" xfId="41" xr:uid="{00000000-0005-0000-0000-000026000000}"/>
    <cellStyle name="Linked Cell 3" xfId="59" xr:uid="{D473DF80-88E7-4429-BB2E-2C45A6A4478C}"/>
    <cellStyle name="Neutral 2" xfId="42" xr:uid="{00000000-0005-0000-0000-000027000000}"/>
    <cellStyle name="Normal" xfId="0" builtinId="0"/>
    <cellStyle name="Normal 2" xfId="4" xr:uid="{00000000-0005-0000-0000-000029000000}"/>
    <cellStyle name="Normal 3" xfId="43" xr:uid="{00000000-0005-0000-0000-00002A000000}"/>
    <cellStyle name="Normal 3 2" xfId="52" xr:uid="{729F3917-F76C-495F-9153-7437F34E88DF}"/>
    <cellStyle name="Normal 5" xfId="44" xr:uid="{00000000-0005-0000-0000-00002B000000}"/>
    <cellStyle name="Normal_Sheet1" xfId="2" xr:uid="{00000000-0005-0000-0000-00002C000000}"/>
    <cellStyle name="Note 2" xfId="45" xr:uid="{00000000-0005-0000-0000-00002D000000}"/>
    <cellStyle name="Note 3" xfId="60" xr:uid="{D19CACAB-B9E1-4472-BE71-B48E6D6D2D30}"/>
    <cellStyle name="Output 2" xfId="46" xr:uid="{00000000-0005-0000-0000-00002E000000}"/>
    <cellStyle name="Output 3" xfId="61" xr:uid="{F4CDD805-2163-42F0-A702-75F6F47F3794}"/>
    <cellStyle name="Title 2" xfId="47" xr:uid="{00000000-0005-0000-0000-00002F000000}"/>
    <cellStyle name="Total 2" xfId="48" xr:uid="{00000000-0005-0000-0000-000030000000}"/>
    <cellStyle name="Total 3" xfId="62" xr:uid="{D7081136-74D8-4CAE-A8A0-CA4AB962E044}"/>
    <cellStyle name="Warning Text 2" xfId="49" xr:uid="{00000000-0005-0000-0000-000031000000}"/>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228600</xdr:rowOff>
    </xdr:from>
    <xdr:to>
      <xdr:col>0</xdr:col>
      <xdr:colOff>762000</xdr:colOff>
      <xdr:row>1</xdr:row>
      <xdr:rowOff>228600</xdr:rowOff>
    </xdr:to>
    <xdr:cxnSp macro="">
      <xdr:nvCxnSpPr>
        <xdr:cNvPr id="2" name="Straight Connector 1">
          <a:extLst>
            <a:ext uri="{FF2B5EF4-FFF2-40B4-BE49-F238E27FC236}">
              <a16:creationId xmlns:a16="http://schemas.microsoft.com/office/drawing/2014/main" id="{EF312E20-5EB7-4514-A3A5-0E44827CB7A4}"/>
            </a:ext>
          </a:extLst>
        </xdr:cNvPr>
        <xdr:cNvCxnSpPr/>
      </xdr:nvCxnSpPr>
      <xdr:spPr>
        <a:xfrm>
          <a:off x="285750" y="476250"/>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29634</xdr:colOff>
      <xdr:row>2</xdr:row>
      <xdr:rowOff>0</xdr:rowOff>
    </xdr:from>
    <xdr:to>
      <xdr:col>19</xdr:col>
      <xdr:colOff>243417</xdr:colOff>
      <xdr:row>2</xdr:row>
      <xdr:rowOff>0</xdr:rowOff>
    </xdr:to>
    <xdr:cxnSp macro="">
      <xdr:nvCxnSpPr>
        <xdr:cNvPr id="3" name="Straight Connector 2">
          <a:extLst>
            <a:ext uri="{FF2B5EF4-FFF2-40B4-BE49-F238E27FC236}">
              <a16:creationId xmlns:a16="http://schemas.microsoft.com/office/drawing/2014/main" id="{7CF0155A-EB5D-4690-9E70-A61E5643C9F1}"/>
            </a:ext>
          </a:extLst>
        </xdr:cNvPr>
        <xdr:cNvCxnSpPr/>
      </xdr:nvCxnSpPr>
      <xdr:spPr>
        <a:xfrm>
          <a:off x="7716309" y="476250"/>
          <a:ext cx="121390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561975</xdr:colOff>
      <xdr:row>1</xdr:row>
      <xdr:rowOff>228600</xdr:rowOff>
    </xdr:from>
    <xdr:to>
      <xdr:col>0</xdr:col>
      <xdr:colOff>762000</xdr:colOff>
      <xdr:row>1</xdr:row>
      <xdr:rowOff>228600</xdr:rowOff>
    </xdr:to>
    <xdr:cxnSp macro="">
      <xdr:nvCxnSpPr>
        <xdr:cNvPr id="4" name="Straight Connector 3">
          <a:extLst>
            <a:ext uri="{FF2B5EF4-FFF2-40B4-BE49-F238E27FC236}">
              <a16:creationId xmlns:a16="http://schemas.microsoft.com/office/drawing/2014/main" id="{CD538546-2E58-4579-8383-AFF88BB16A42}"/>
            </a:ext>
          </a:extLst>
        </xdr:cNvPr>
        <xdr:cNvCxnSpPr/>
      </xdr:nvCxnSpPr>
      <xdr:spPr>
        <a:xfrm>
          <a:off x="285750" y="476250"/>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561975</xdr:colOff>
      <xdr:row>1</xdr:row>
      <xdr:rowOff>228600</xdr:rowOff>
    </xdr:from>
    <xdr:to>
      <xdr:col>0</xdr:col>
      <xdr:colOff>762000</xdr:colOff>
      <xdr:row>1</xdr:row>
      <xdr:rowOff>228600</xdr:rowOff>
    </xdr:to>
    <xdr:cxnSp macro="">
      <xdr:nvCxnSpPr>
        <xdr:cNvPr id="5" name="Straight Connector 4">
          <a:extLst>
            <a:ext uri="{FF2B5EF4-FFF2-40B4-BE49-F238E27FC236}">
              <a16:creationId xmlns:a16="http://schemas.microsoft.com/office/drawing/2014/main" id="{18A9CE31-3FB6-431A-93B5-1535E99E5629}"/>
            </a:ext>
          </a:extLst>
        </xdr:cNvPr>
        <xdr:cNvCxnSpPr/>
      </xdr:nvCxnSpPr>
      <xdr:spPr>
        <a:xfrm>
          <a:off x="285750" y="476250"/>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495514</xdr:colOff>
      <xdr:row>1</xdr:row>
      <xdr:rowOff>199284</xdr:rowOff>
    </xdr:from>
    <xdr:to>
      <xdr:col>3</xdr:col>
      <xdr:colOff>158749</xdr:colOff>
      <xdr:row>2</xdr:row>
      <xdr:rowOff>0</xdr:rowOff>
    </xdr:to>
    <xdr:cxnSp macro="">
      <xdr:nvCxnSpPr>
        <xdr:cNvPr id="6" name="Straight Connector 5">
          <a:extLst>
            <a:ext uri="{FF2B5EF4-FFF2-40B4-BE49-F238E27FC236}">
              <a16:creationId xmlns:a16="http://schemas.microsoft.com/office/drawing/2014/main" id="{01939A49-9999-4069-8BE6-32359241CF21}"/>
            </a:ext>
          </a:extLst>
        </xdr:cNvPr>
        <xdr:cNvCxnSpPr/>
      </xdr:nvCxnSpPr>
      <xdr:spPr>
        <a:xfrm>
          <a:off x="1609939" y="475509"/>
          <a:ext cx="701460" cy="74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561975</xdr:colOff>
      <xdr:row>1</xdr:row>
      <xdr:rowOff>228600</xdr:rowOff>
    </xdr:from>
    <xdr:to>
      <xdr:col>0</xdr:col>
      <xdr:colOff>762000</xdr:colOff>
      <xdr:row>1</xdr:row>
      <xdr:rowOff>228600</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a:off x="247650" y="438150"/>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29634</xdr:colOff>
      <xdr:row>2</xdr:row>
      <xdr:rowOff>0</xdr:rowOff>
    </xdr:from>
    <xdr:to>
      <xdr:col>19</xdr:col>
      <xdr:colOff>243417</xdr:colOff>
      <xdr:row>2</xdr:row>
      <xdr:rowOff>0</xdr:rowOff>
    </xdr:to>
    <xdr:cxnSp macro="">
      <xdr:nvCxnSpPr>
        <xdr:cNvPr id="7" name="Straight Connector 6">
          <a:extLst>
            <a:ext uri="{FF2B5EF4-FFF2-40B4-BE49-F238E27FC236}">
              <a16:creationId xmlns:a16="http://schemas.microsoft.com/office/drawing/2014/main" id="{00000000-0008-0000-0100-000007000000}"/>
            </a:ext>
          </a:extLst>
        </xdr:cNvPr>
        <xdr:cNvCxnSpPr/>
      </xdr:nvCxnSpPr>
      <xdr:spPr>
        <a:xfrm>
          <a:off x="7427384" y="476250"/>
          <a:ext cx="120861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561975</xdr:colOff>
      <xdr:row>1</xdr:row>
      <xdr:rowOff>228600</xdr:rowOff>
    </xdr:from>
    <xdr:to>
      <xdr:col>0</xdr:col>
      <xdr:colOff>762000</xdr:colOff>
      <xdr:row>1</xdr:row>
      <xdr:rowOff>228600</xdr:rowOff>
    </xdr:to>
    <xdr:cxnSp macro="">
      <xdr:nvCxnSpPr>
        <xdr:cNvPr id="6" name="Straight Connector 5">
          <a:extLst>
            <a:ext uri="{FF2B5EF4-FFF2-40B4-BE49-F238E27FC236}">
              <a16:creationId xmlns:a16="http://schemas.microsoft.com/office/drawing/2014/main" id="{00000000-0008-0000-0100-000006000000}"/>
            </a:ext>
          </a:extLst>
        </xdr:cNvPr>
        <xdr:cNvCxnSpPr/>
      </xdr:nvCxnSpPr>
      <xdr:spPr>
        <a:xfrm>
          <a:off x="247650" y="476250"/>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561975</xdr:colOff>
      <xdr:row>1</xdr:row>
      <xdr:rowOff>228600</xdr:rowOff>
    </xdr:from>
    <xdr:to>
      <xdr:col>0</xdr:col>
      <xdr:colOff>762000</xdr:colOff>
      <xdr:row>1</xdr:row>
      <xdr:rowOff>228600</xdr:rowOff>
    </xdr:to>
    <xdr:cxnSp macro="">
      <xdr:nvCxnSpPr>
        <xdr:cNvPr id="8" name="Straight Connector 7">
          <a:extLst>
            <a:ext uri="{FF2B5EF4-FFF2-40B4-BE49-F238E27FC236}">
              <a16:creationId xmlns:a16="http://schemas.microsoft.com/office/drawing/2014/main" id="{00000000-0008-0000-0100-000008000000}"/>
            </a:ext>
          </a:extLst>
        </xdr:cNvPr>
        <xdr:cNvCxnSpPr/>
      </xdr:nvCxnSpPr>
      <xdr:spPr>
        <a:xfrm>
          <a:off x="247650" y="476250"/>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495514</xdr:colOff>
      <xdr:row>1</xdr:row>
      <xdr:rowOff>199284</xdr:rowOff>
    </xdr:from>
    <xdr:to>
      <xdr:col>3</xdr:col>
      <xdr:colOff>158749</xdr:colOff>
      <xdr:row>2</xdr:row>
      <xdr:rowOff>0</xdr:rowOff>
    </xdr:to>
    <xdr:cxnSp macro="">
      <xdr:nvCxnSpPr>
        <xdr:cNvPr id="9" name="Straight Connector 8">
          <a:extLst>
            <a:ext uri="{FF2B5EF4-FFF2-40B4-BE49-F238E27FC236}">
              <a16:creationId xmlns:a16="http://schemas.microsoft.com/office/drawing/2014/main" id="{00000000-0008-0000-0100-000009000000}"/>
            </a:ext>
          </a:extLst>
        </xdr:cNvPr>
        <xdr:cNvCxnSpPr/>
      </xdr:nvCxnSpPr>
      <xdr:spPr>
        <a:xfrm>
          <a:off x="1606764" y="474451"/>
          <a:ext cx="700402" cy="179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mailto:7@DCA" TargetMode="External"/><Relationship Id="rId117" Type="http://schemas.openxmlformats.org/officeDocument/2006/relationships/hyperlink" Target="mailto:5@HVN" TargetMode="External"/><Relationship Id="rId21" Type="http://schemas.openxmlformats.org/officeDocument/2006/relationships/hyperlink" Target="mailto:6@DCA" TargetMode="External"/><Relationship Id="rId42" Type="http://schemas.openxmlformats.org/officeDocument/2006/relationships/hyperlink" Target="mailto:7@HCH" TargetMode="External"/><Relationship Id="rId47" Type="http://schemas.openxmlformats.org/officeDocument/2006/relationships/hyperlink" Target="mailto:6@HDT" TargetMode="External"/><Relationship Id="rId63" Type="http://schemas.openxmlformats.org/officeDocument/2006/relationships/hyperlink" Target="mailto:7@HDT" TargetMode="External"/><Relationship Id="rId68" Type="http://schemas.openxmlformats.org/officeDocument/2006/relationships/hyperlink" Target="mailto:8@HDT" TargetMode="External"/><Relationship Id="rId84" Type="http://schemas.openxmlformats.org/officeDocument/2006/relationships/hyperlink" Target="mailto:8@TDV" TargetMode="External"/><Relationship Id="rId89" Type="http://schemas.openxmlformats.org/officeDocument/2006/relationships/hyperlink" Target="mailto:7@TDV" TargetMode="External"/><Relationship Id="rId112" Type="http://schemas.openxmlformats.org/officeDocument/2006/relationships/hyperlink" Target="mailto:6@HVN" TargetMode="External"/><Relationship Id="rId16" Type="http://schemas.openxmlformats.org/officeDocument/2006/relationships/hyperlink" Target="mailto:6@DCA" TargetMode="External"/><Relationship Id="rId107" Type="http://schemas.openxmlformats.org/officeDocument/2006/relationships/hyperlink" Target="mailto:8@CSH" TargetMode="External"/><Relationship Id="rId11" Type="http://schemas.openxmlformats.org/officeDocument/2006/relationships/hyperlink" Target="mailto:8@DCA" TargetMode="External"/><Relationship Id="rId32" Type="http://schemas.openxmlformats.org/officeDocument/2006/relationships/hyperlink" Target="mailto:6@KHA" TargetMode="External"/><Relationship Id="rId37" Type="http://schemas.openxmlformats.org/officeDocument/2006/relationships/hyperlink" Target="mailto:5@HCH" TargetMode="External"/><Relationship Id="rId53" Type="http://schemas.openxmlformats.org/officeDocument/2006/relationships/hyperlink" Target="mailto:6@HDT" TargetMode="External"/><Relationship Id="rId58" Type="http://schemas.openxmlformats.org/officeDocument/2006/relationships/hyperlink" Target="mailto:6@HDT" TargetMode="External"/><Relationship Id="rId74" Type="http://schemas.openxmlformats.org/officeDocument/2006/relationships/hyperlink" Target="mailto:8@DDA" TargetMode="External"/><Relationship Id="rId79" Type="http://schemas.openxmlformats.org/officeDocument/2006/relationships/hyperlink" Target="mailto:7@TLA" TargetMode="External"/><Relationship Id="rId102" Type="http://schemas.openxmlformats.org/officeDocument/2006/relationships/hyperlink" Target="mailto:6@CSH" TargetMode="External"/><Relationship Id="rId123" Type="http://schemas.openxmlformats.org/officeDocument/2006/relationships/hyperlink" Target="mailto:7@HVN" TargetMode="External"/><Relationship Id="rId5" Type="http://schemas.openxmlformats.org/officeDocument/2006/relationships/hyperlink" Target="mailto:7@DCA" TargetMode="External"/><Relationship Id="rId61" Type="http://schemas.openxmlformats.org/officeDocument/2006/relationships/hyperlink" Target="mailto:5@HDT" TargetMode="External"/><Relationship Id="rId82" Type="http://schemas.openxmlformats.org/officeDocument/2006/relationships/hyperlink" Target="mailto:6@DQK" TargetMode="External"/><Relationship Id="rId90" Type="http://schemas.openxmlformats.org/officeDocument/2006/relationships/hyperlink" Target="mailto:6@TDV" TargetMode="External"/><Relationship Id="rId95" Type="http://schemas.openxmlformats.org/officeDocument/2006/relationships/hyperlink" Target="mailto:7@LPH" TargetMode="External"/><Relationship Id="rId19" Type="http://schemas.openxmlformats.org/officeDocument/2006/relationships/hyperlink" Target="mailto:9@DCA" TargetMode="External"/><Relationship Id="rId14" Type="http://schemas.openxmlformats.org/officeDocument/2006/relationships/hyperlink" Target="mailto:7@DCA" TargetMode="External"/><Relationship Id="rId22" Type="http://schemas.openxmlformats.org/officeDocument/2006/relationships/hyperlink" Target="mailto:6@DCA" TargetMode="External"/><Relationship Id="rId27" Type="http://schemas.openxmlformats.org/officeDocument/2006/relationships/hyperlink" Target="mailto:8@DCA" TargetMode="External"/><Relationship Id="rId30" Type="http://schemas.openxmlformats.org/officeDocument/2006/relationships/hyperlink" Target="mailto:6@KHA" TargetMode="External"/><Relationship Id="rId35" Type="http://schemas.openxmlformats.org/officeDocument/2006/relationships/hyperlink" Target="mailto:6@HCH" TargetMode="External"/><Relationship Id="rId43" Type="http://schemas.openxmlformats.org/officeDocument/2006/relationships/hyperlink" Target="mailto:7@FPT" TargetMode="External"/><Relationship Id="rId48" Type="http://schemas.openxmlformats.org/officeDocument/2006/relationships/hyperlink" Target="mailto:7@HDT" TargetMode="External"/><Relationship Id="rId56" Type="http://schemas.openxmlformats.org/officeDocument/2006/relationships/hyperlink" Target="mailto:7@HDT" TargetMode="External"/><Relationship Id="rId64" Type="http://schemas.openxmlformats.org/officeDocument/2006/relationships/hyperlink" Target="mailto:5@HDT" TargetMode="External"/><Relationship Id="rId69" Type="http://schemas.openxmlformats.org/officeDocument/2006/relationships/hyperlink" Target="mailto:9@HDT" TargetMode="External"/><Relationship Id="rId77" Type="http://schemas.openxmlformats.org/officeDocument/2006/relationships/hyperlink" Target="mailto:7@TLA" TargetMode="External"/><Relationship Id="rId100" Type="http://schemas.openxmlformats.org/officeDocument/2006/relationships/hyperlink" Target="mailto:8@CSH" TargetMode="External"/><Relationship Id="rId105" Type="http://schemas.openxmlformats.org/officeDocument/2006/relationships/hyperlink" Target="mailto:7@CSH" TargetMode="External"/><Relationship Id="rId113" Type="http://schemas.openxmlformats.org/officeDocument/2006/relationships/hyperlink" Target="mailto:6@HVN" TargetMode="External"/><Relationship Id="rId118" Type="http://schemas.openxmlformats.org/officeDocument/2006/relationships/hyperlink" Target="mailto:5@HVN" TargetMode="External"/><Relationship Id="rId8" Type="http://schemas.openxmlformats.org/officeDocument/2006/relationships/hyperlink" Target="mailto:6@DCA" TargetMode="External"/><Relationship Id="rId51" Type="http://schemas.openxmlformats.org/officeDocument/2006/relationships/hyperlink" Target="mailto:6@HDT" TargetMode="External"/><Relationship Id="rId72" Type="http://schemas.openxmlformats.org/officeDocument/2006/relationships/hyperlink" Target="mailto:7@DDA" TargetMode="External"/><Relationship Id="rId80" Type="http://schemas.openxmlformats.org/officeDocument/2006/relationships/hyperlink" Target="mailto:6@DQK" TargetMode="External"/><Relationship Id="rId85" Type="http://schemas.openxmlformats.org/officeDocument/2006/relationships/hyperlink" Target="mailto:6@TDV" TargetMode="External"/><Relationship Id="rId93" Type="http://schemas.openxmlformats.org/officeDocument/2006/relationships/hyperlink" Target="mailto:7@LPH" TargetMode="External"/><Relationship Id="rId98" Type="http://schemas.openxmlformats.org/officeDocument/2006/relationships/hyperlink" Target="mailto:9@LPH" TargetMode="External"/><Relationship Id="rId121" Type="http://schemas.openxmlformats.org/officeDocument/2006/relationships/hyperlink" Target="mailto:6@HVN" TargetMode="External"/><Relationship Id="rId3" Type="http://schemas.openxmlformats.org/officeDocument/2006/relationships/hyperlink" Target="mailto:8@DCN" TargetMode="External"/><Relationship Id="rId12" Type="http://schemas.openxmlformats.org/officeDocument/2006/relationships/hyperlink" Target="mailto:8@DCA" TargetMode="External"/><Relationship Id="rId17" Type="http://schemas.openxmlformats.org/officeDocument/2006/relationships/hyperlink" Target="mailto:6@DCA" TargetMode="External"/><Relationship Id="rId25" Type="http://schemas.openxmlformats.org/officeDocument/2006/relationships/hyperlink" Target="mailto:7@DCA" TargetMode="External"/><Relationship Id="rId33" Type="http://schemas.openxmlformats.org/officeDocument/2006/relationships/hyperlink" Target="mailto:9@HCH" TargetMode="External"/><Relationship Id="rId38" Type="http://schemas.openxmlformats.org/officeDocument/2006/relationships/hyperlink" Target="mailto:7@HCH" TargetMode="External"/><Relationship Id="rId46" Type="http://schemas.openxmlformats.org/officeDocument/2006/relationships/hyperlink" Target="mailto:8@HDT" TargetMode="External"/><Relationship Id="rId59" Type="http://schemas.openxmlformats.org/officeDocument/2006/relationships/hyperlink" Target="mailto:5@HDT" TargetMode="External"/><Relationship Id="rId67" Type="http://schemas.openxmlformats.org/officeDocument/2006/relationships/hyperlink" Target="mailto:8@HDT" TargetMode="External"/><Relationship Id="rId103" Type="http://schemas.openxmlformats.org/officeDocument/2006/relationships/hyperlink" Target="mailto:7@CSH" TargetMode="External"/><Relationship Id="rId108" Type="http://schemas.openxmlformats.org/officeDocument/2006/relationships/hyperlink" Target="mailto:8@CSH" TargetMode="External"/><Relationship Id="rId116" Type="http://schemas.openxmlformats.org/officeDocument/2006/relationships/hyperlink" Target="mailto:6@HVN" TargetMode="External"/><Relationship Id="rId124" Type="http://schemas.openxmlformats.org/officeDocument/2006/relationships/printerSettings" Target="../printerSettings/printerSettings1.bin"/><Relationship Id="rId20" Type="http://schemas.openxmlformats.org/officeDocument/2006/relationships/hyperlink" Target="mailto:7@DCA" TargetMode="External"/><Relationship Id="rId41" Type="http://schemas.openxmlformats.org/officeDocument/2006/relationships/hyperlink" Target="mailto:7@HCH" TargetMode="External"/><Relationship Id="rId54" Type="http://schemas.openxmlformats.org/officeDocument/2006/relationships/hyperlink" Target="mailto:6@HDT" TargetMode="External"/><Relationship Id="rId62" Type="http://schemas.openxmlformats.org/officeDocument/2006/relationships/hyperlink" Target="mailto:5@HDT" TargetMode="External"/><Relationship Id="rId70" Type="http://schemas.openxmlformats.org/officeDocument/2006/relationships/hyperlink" Target="mailto:7@DDA" TargetMode="External"/><Relationship Id="rId75" Type="http://schemas.openxmlformats.org/officeDocument/2006/relationships/hyperlink" Target="mailto:8@DDA" TargetMode="External"/><Relationship Id="rId83" Type="http://schemas.openxmlformats.org/officeDocument/2006/relationships/hyperlink" Target="mailto:6@TDV" TargetMode="External"/><Relationship Id="rId88" Type="http://schemas.openxmlformats.org/officeDocument/2006/relationships/hyperlink" Target="mailto:6@TDV" TargetMode="External"/><Relationship Id="rId91" Type="http://schemas.openxmlformats.org/officeDocument/2006/relationships/hyperlink" Target="mailto:8@TDV" TargetMode="External"/><Relationship Id="rId96" Type="http://schemas.openxmlformats.org/officeDocument/2006/relationships/hyperlink" Target="mailto:5@LPH" TargetMode="External"/><Relationship Id="rId111" Type="http://schemas.openxmlformats.org/officeDocument/2006/relationships/hyperlink" Target="mailto:7@CSH" TargetMode="External"/><Relationship Id="rId1" Type="http://schemas.openxmlformats.org/officeDocument/2006/relationships/hyperlink" Target="mailto:6@DCN" TargetMode="External"/><Relationship Id="rId6" Type="http://schemas.openxmlformats.org/officeDocument/2006/relationships/hyperlink" Target="mailto:7@DCA" TargetMode="External"/><Relationship Id="rId15" Type="http://schemas.openxmlformats.org/officeDocument/2006/relationships/hyperlink" Target="mailto:8@DCA" TargetMode="External"/><Relationship Id="rId23" Type="http://schemas.openxmlformats.org/officeDocument/2006/relationships/hyperlink" Target="mailto:8@DCA" TargetMode="External"/><Relationship Id="rId28" Type="http://schemas.openxmlformats.org/officeDocument/2006/relationships/hyperlink" Target="mailto:8@DCA" TargetMode="External"/><Relationship Id="rId36" Type="http://schemas.openxmlformats.org/officeDocument/2006/relationships/hyperlink" Target="mailto:7@HCH" TargetMode="External"/><Relationship Id="rId49" Type="http://schemas.openxmlformats.org/officeDocument/2006/relationships/hyperlink" Target="mailto:6@HDT" TargetMode="External"/><Relationship Id="rId57" Type="http://schemas.openxmlformats.org/officeDocument/2006/relationships/hyperlink" Target="mailto:6@HDT" TargetMode="External"/><Relationship Id="rId106" Type="http://schemas.openxmlformats.org/officeDocument/2006/relationships/hyperlink" Target="mailto:6@CSH" TargetMode="External"/><Relationship Id="rId114" Type="http://schemas.openxmlformats.org/officeDocument/2006/relationships/hyperlink" Target="mailto:8@HVN" TargetMode="External"/><Relationship Id="rId119" Type="http://schemas.openxmlformats.org/officeDocument/2006/relationships/hyperlink" Target="mailto:6@HVN" TargetMode="External"/><Relationship Id="rId10" Type="http://schemas.openxmlformats.org/officeDocument/2006/relationships/hyperlink" Target="mailto:7@DCA" TargetMode="External"/><Relationship Id="rId31" Type="http://schemas.openxmlformats.org/officeDocument/2006/relationships/hyperlink" Target="mailto:7@KHA" TargetMode="External"/><Relationship Id="rId44" Type="http://schemas.openxmlformats.org/officeDocument/2006/relationships/hyperlink" Target="mailto:9@FPT" TargetMode="External"/><Relationship Id="rId52" Type="http://schemas.openxmlformats.org/officeDocument/2006/relationships/hyperlink" Target="mailto:6@HDT" TargetMode="External"/><Relationship Id="rId60" Type="http://schemas.openxmlformats.org/officeDocument/2006/relationships/hyperlink" Target="mailto:6@HDT" TargetMode="External"/><Relationship Id="rId65" Type="http://schemas.openxmlformats.org/officeDocument/2006/relationships/hyperlink" Target="mailto:6@HDT" TargetMode="External"/><Relationship Id="rId73" Type="http://schemas.openxmlformats.org/officeDocument/2006/relationships/hyperlink" Target="mailto:7@DDA" TargetMode="External"/><Relationship Id="rId78" Type="http://schemas.openxmlformats.org/officeDocument/2006/relationships/hyperlink" Target="mailto:6@TLA" TargetMode="External"/><Relationship Id="rId81" Type="http://schemas.openxmlformats.org/officeDocument/2006/relationships/hyperlink" Target="mailto:5@DQK" TargetMode="External"/><Relationship Id="rId86" Type="http://schemas.openxmlformats.org/officeDocument/2006/relationships/hyperlink" Target="mailto:6@TDV" TargetMode="External"/><Relationship Id="rId94" Type="http://schemas.openxmlformats.org/officeDocument/2006/relationships/hyperlink" Target="mailto:5@LPH" TargetMode="External"/><Relationship Id="rId99" Type="http://schemas.openxmlformats.org/officeDocument/2006/relationships/hyperlink" Target="mailto:5@LPH" TargetMode="External"/><Relationship Id="rId101" Type="http://schemas.openxmlformats.org/officeDocument/2006/relationships/hyperlink" Target="mailto:8@CSH" TargetMode="External"/><Relationship Id="rId122" Type="http://schemas.openxmlformats.org/officeDocument/2006/relationships/hyperlink" Target="mailto:5@HVN" TargetMode="External"/><Relationship Id="rId4" Type="http://schemas.openxmlformats.org/officeDocument/2006/relationships/hyperlink" Target="mailto:7@DCN" TargetMode="External"/><Relationship Id="rId9" Type="http://schemas.openxmlformats.org/officeDocument/2006/relationships/hyperlink" Target="mailto:8@DCA" TargetMode="External"/><Relationship Id="rId13" Type="http://schemas.openxmlformats.org/officeDocument/2006/relationships/hyperlink" Target="mailto:8@DCA" TargetMode="External"/><Relationship Id="rId18" Type="http://schemas.openxmlformats.org/officeDocument/2006/relationships/hyperlink" Target="mailto:9@DCA" TargetMode="External"/><Relationship Id="rId39" Type="http://schemas.openxmlformats.org/officeDocument/2006/relationships/hyperlink" Target="mailto:8@HCH" TargetMode="External"/><Relationship Id="rId109" Type="http://schemas.openxmlformats.org/officeDocument/2006/relationships/hyperlink" Target="mailto:7@CSH" TargetMode="External"/><Relationship Id="rId34" Type="http://schemas.openxmlformats.org/officeDocument/2006/relationships/hyperlink" Target="mailto:9@HCH" TargetMode="External"/><Relationship Id="rId50" Type="http://schemas.openxmlformats.org/officeDocument/2006/relationships/hyperlink" Target="mailto:8@HDT" TargetMode="External"/><Relationship Id="rId55" Type="http://schemas.openxmlformats.org/officeDocument/2006/relationships/hyperlink" Target="mailto:5@HDT" TargetMode="External"/><Relationship Id="rId76" Type="http://schemas.openxmlformats.org/officeDocument/2006/relationships/hyperlink" Target="mailto:7@TLA" TargetMode="External"/><Relationship Id="rId97" Type="http://schemas.openxmlformats.org/officeDocument/2006/relationships/hyperlink" Target="mailto:5@LPH" TargetMode="External"/><Relationship Id="rId104" Type="http://schemas.openxmlformats.org/officeDocument/2006/relationships/hyperlink" Target="mailto:7@CSH" TargetMode="External"/><Relationship Id="rId120" Type="http://schemas.openxmlformats.org/officeDocument/2006/relationships/hyperlink" Target="mailto:7@HVN" TargetMode="External"/><Relationship Id="rId125" Type="http://schemas.openxmlformats.org/officeDocument/2006/relationships/drawing" Target="../drawings/drawing1.xml"/><Relationship Id="rId7" Type="http://schemas.openxmlformats.org/officeDocument/2006/relationships/hyperlink" Target="mailto:6@DCA" TargetMode="External"/><Relationship Id="rId71" Type="http://schemas.openxmlformats.org/officeDocument/2006/relationships/hyperlink" Target="mailto:7@DDA" TargetMode="External"/><Relationship Id="rId92" Type="http://schemas.openxmlformats.org/officeDocument/2006/relationships/hyperlink" Target="mailto:8@LPH" TargetMode="External"/><Relationship Id="rId2" Type="http://schemas.openxmlformats.org/officeDocument/2006/relationships/hyperlink" Target="mailto:8@DCN" TargetMode="External"/><Relationship Id="rId29" Type="http://schemas.openxmlformats.org/officeDocument/2006/relationships/hyperlink" Target="mailto:9@HDT" TargetMode="External"/><Relationship Id="rId24" Type="http://schemas.openxmlformats.org/officeDocument/2006/relationships/hyperlink" Target="mailto:7@DCA" TargetMode="External"/><Relationship Id="rId40" Type="http://schemas.openxmlformats.org/officeDocument/2006/relationships/hyperlink" Target="mailto:7@HCH" TargetMode="External"/><Relationship Id="rId45" Type="http://schemas.openxmlformats.org/officeDocument/2006/relationships/hyperlink" Target="mailto:9@FPT" TargetMode="External"/><Relationship Id="rId66" Type="http://schemas.openxmlformats.org/officeDocument/2006/relationships/hyperlink" Target="mailto:7@HDT" TargetMode="External"/><Relationship Id="rId87" Type="http://schemas.openxmlformats.org/officeDocument/2006/relationships/hyperlink" Target="mailto:8@TDV" TargetMode="External"/><Relationship Id="rId110" Type="http://schemas.openxmlformats.org/officeDocument/2006/relationships/hyperlink" Target="mailto:5@CSH" TargetMode="External"/><Relationship Id="rId115" Type="http://schemas.openxmlformats.org/officeDocument/2006/relationships/hyperlink" Target="mailto:7@HVN"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2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40D19-AAD4-43F2-86B4-9D2EBBCA0713}">
  <dimension ref="A1:BT39"/>
  <sheetViews>
    <sheetView tabSelected="1" view="pageBreakPreview" topLeftCell="A19" zoomScale="90" zoomScaleNormal="100" zoomScaleSheetLayoutView="90" workbookViewId="0">
      <selection activeCell="V32" sqref="V32"/>
    </sheetView>
  </sheetViews>
  <sheetFormatPr defaultRowHeight="12" x14ac:dyDescent="0.2"/>
  <cols>
    <col min="1" max="1" width="3.75" style="11" customWidth="1"/>
    <col min="2" max="2" width="10.875" style="11" customWidth="1"/>
    <col min="3" max="3" width="13.625" style="131" customWidth="1"/>
    <col min="4" max="4" width="6.25" style="131" customWidth="1"/>
    <col min="5" max="5" width="8.875" style="11" customWidth="1"/>
    <col min="6" max="6" width="22" style="11" customWidth="1"/>
    <col min="7" max="12" width="8.25" style="11" customWidth="1"/>
    <col min="13" max="13" width="3.625" style="11" customWidth="1"/>
    <col min="14" max="14" width="8.25" style="11" customWidth="1"/>
    <col min="15" max="16" width="3.375" style="11" customWidth="1"/>
    <col min="17" max="31" width="8.25" style="11" customWidth="1"/>
    <col min="32" max="32" width="4.75" style="11" bestFit="1" customWidth="1"/>
    <col min="33" max="34" width="8.25" style="11" customWidth="1"/>
    <col min="35" max="35" width="3" style="11" bestFit="1" customWidth="1"/>
    <col min="36" max="38" width="8.25" style="11" customWidth="1"/>
    <col min="39" max="39" width="3" style="11" bestFit="1" customWidth="1"/>
    <col min="40" max="41" width="8.25" style="11" customWidth="1"/>
    <col min="42" max="42" width="3" style="11" bestFit="1" customWidth="1"/>
    <col min="43" max="44" width="8.25" style="11" customWidth="1"/>
    <col min="45" max="48" width="3" style="11" bestFit="1" customWidth="1"/>
    <col min="49" max="49" width="8.25" style="11" customWidth="1"/>
    <col min="50" max="65" width="3" style="11" bestFit="1" customWidth="1"/>
    <col min="66" max="66" width="8.25" style="11" customWidth="1"/>
    <col min="67" max="67" width="3.25" style="11" customWidth="1"/>
    <col min="68" max="68" width="6" style="11" bestFit="1" customWidth="1"/>
    <col min="69" max="69" width="7.375" style="11" bestFit="1" customWidth="1"/>
    <col min="70" max="71" width="3.5" style="11" bestFit="1" customWidth="1"/>
    <col min="72" max="72" width="3" style="11" bestFit="1" customWidth="1"/>
    <col min="73" max="16384" width="9" style="11"/>
  </cols>
  <sheetData>
    <row r="1" spans="1:72" ht="21.75" customHeight="1" x14ac:dyDescent="0.2">
      <c r="A1" s="148" t="s">
        <v>77</v>
      </c>
      <c r="B1" s="148"/>
      <c r="C1" s="148"/>
      <c r="D1" s="148"/>
      <c r="E1" s="148"/>
      <c r="F1" s="9"/>
      <c r="G1" s="10"/>
      <c r="H1" s="10"/>
      <c r="I1" s="24"/>
      <c r="J1" s="24"/>
      <c r="K1" s="24"/>
      <c r="L1" s="24"/>
      <c r="M1" s="24"/>
      <c r="O1" s="24"/>
      <c r="P1" s="24"/>
      <c r="Q1" s="24"/>
      <c r="R1" s="23" t="s">
        <v>0</v>
      </c>
      <c r="S1" s="24"/>
      <c r="T1" s="24"/>
      <c r="U1" s="24"/>
      <c r="V1" s="24"/>
      <c r="Z1" s="24"/>
      <c r="AA1" s="24"/>
      <c r="AC1" s="24"/>
      <c r="AD1" s="24"/>
      <c r="AE1" s="24"/>
      <c r="AF1" s="23"/>
      <c r="AG1" s="24"/>
      <c r="AH1" s="24"/>
      <c r="AI1" s="24"/>
      <c r="AJ1" s="24"/>
    </row>
    <row r="2" spans="1:72" ht="15.75" customHeight="1" x14ac:dyDescent="0.2">
      <c r="A2" s="149" t="s">
        <v>100</v>
      </c>
      <c r="B2" s="149"/>
      <c r="C2" s="149"/>
      <c r="D2" s="149"/>
      <c r="E2" s="149"/>
      <c r="F2" s="59"/>
      <c r="G2" s="60"/>
      <c r="H2" s="60"/>
      <c r="I2" s="24"/>
      <c r="J2" s="24"/>
      <c r="K2" s="24"/>
      <c r="L2" s="24"/>
      <c r="M2" s="24"/>
      <c r="O2" s="24"/>
      <c r="P2" s="24"/>
      <c r="Q2" s="24"/>
      <c r="R2" s="23" t="s">
        <v>1</v>
      </c>
      <c r="S2" s="24"/>
      <c r="T2" s="24"/>
      <c r="U2" s="24"/>
      <c r="V2" s="24"/>
      <c r="Z2" s="24"/>
      <c r="AA2" s="24"/>
      <c r="AC2" s="24"/>
      <c r="AD2" s="24"/>
      <c r="AE2" s="24"/>
      <c r="AF2" s="23"/>
      <c r="AG2" s="24"/>
      <c r="AH2" s="24"/>
      <c r="AI2" s="24"/>
      <c r="AJ2" s="24"/>
    </row>
    <row r="3" spans="1:72" s="14" customFormat="1" ht="24" customHeight="1" x14ac:dyDescent="0.2">
      <c r="B3" s="12"/>
      <c r="C3" s="92"/>
      <c r="D3" s="92"/>
      <c r="E3" s="12"/>
      <c r="F3" s="12"/>
      <c r="G3" s="12"/>
      <c r="H3" s="13"/>
      <c r="I3" s="13"/>
      <c r="J3" s="13"/>
      <c r="K3" s="13"/>
      <c r="L3" s="13"/>
      <c r="M3" s="13"/>
      <c r="N3" s="13" t="s">
        <v>231</v>
      </c>
      <c r="O3" s="13"/>
      <c r="P3" s="13"/>
      <c r="Q3" s="13"/>
      <c r="R3" s="13"/>
      <c r="S3" s="13"/>
      <c r="T3" s="13"/>
      <c r="U3" s="13"/>
      <c r="V3" s="13"/>
      <c r="W3" s="13"/>
      <c r="X3" s="13"/>
      <c r="Y3" s="13"/>
      <c r="Z3" s="13"/>
      <c r="AA3" s="13"/>
      <c r="AB3" s="13"/>
      <c r="AC3" s="13"/>
      <c r="AD3" s="13"/>
      <c r="AE3" s="13"/>
      <c r="AF3" s="13"/>
      <c r="AG3" s="13"/>
      <c r="AH3" s="13"/>
      <c r="AI3" s="13"/>
      <c r="AJ3" s="13"/>
      <c r="AK3" s="13"/>
      <c r="AL3" s="13"/>
      <c r="AM3" s="13"/>
      <c r="AN3" s="13"/>
    </row>
    <row r="4" spans="1:72" ht="21.75" customHeight="1" x14ac:dyDescent="0.2">
      <c r="B4" s="24"/>
      <c r="C4" s="93"/>
      <c r="D4" s="93"/>
      <c r="E4" s="12"/>
      <c r="F4" s="24"/>
      <c r="G4" s="24" t="s">
        <v>17</v>
      </c>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BN4" s="61"/>
    </row>
    <row r="5" spans="1:72" ht="19.5" customHeight="1" x14ac:dyDescent="0.2">
      <c r="B5" s="63" t="s">
        <v>232</v>
      </c>
      <c r="C5" s="94"/>
      <c r="D5" s="94"/>
      <c r="E5" s="65"/>
      <c r="F5" s="64"/>
      <c r="G5" s="64"/>
      <c r="H5" s="63"/>
      <c r="I5" s="63"/>
      <c r="K5" s="63"/>
      <c r="L5" s="63"/>
      <c r="M5" s="63"/>
      <c r="N5" s="63"/>
      <c r="O5" s="63"/>
      <c r="P5" s="64"/>
      <c r="Q5" s="64"/>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BN5" s="61"/>
    </row>
    <row r="6" spans="1:72" s="14" customFormat="1" ht="22.5" customHeight="1" x14ac:dyDescent="0.2">
      <c r="A6" s="150" t="s">
        <v>2</v>
      </c>
      <c r="B6" s="150" t="s">
        <v>3</v>
      </c>
      <c r="C6" s="153" t="s">
        <v>101</v>
      </c>
      <c r="D6" s="156" t="s">
        <v>102</v>
      </c>
      <c r="E6" s="159" t="s">
        <v>7</v>
      </c>
      <c r="F6" s="159" t="s">
        <v>103</v>
      </c>
      <c r="G6" s="167" t="s">
        <v>104</v>
      </c>
      <c r="H6" s="168"/>
      <c r="I6" s="168"/>
      <c r="J6" s="168"/>
      <c r="K6" s="168"/>
      <c r="L6" s="168"/>
      <c r="M6" s="168"/>
      <c r="N6" s="168"/>
      <c r="O6" s="168"/>
      <c r="P6" s="168"/>
      <c r="Q6" s="168"/>
      <c r="R6" s="168"/>
      <c r="S6" s="168"/>
      <c r="T6" s="168"/>
      <c r="U6" s="168"/>
      <c r="V6" s="168"/>
      <c r="W6" s="168"/>
      <c r="X6" s="168"/>
      <c r="Y6" s="168"/>
      <c r="Z6" s="168"/>
      <c r="AA6" s="168"/>
      <c r="AB6" s="168"/>
      <c r="AC6" s="168"/>
      <c r="AD6" s="169"/>
      <c r="AE6" s="167" t="s">
        <v>104</v>
      </c>
      <c r="AF6" s="168"/>
      <c r="AG6" s="168"/>
      <c r="AH6" s="168"/>
      <c r="AI6" s="168"/>
      <c r="AJ6" s="168"/>
      <c r="AK6" s="168"/>
      <c r="AL6" s="168"/>
      <c r="AM6" s="168"/>
      <c r="AN6" s="168"/>
      <c r="AO6" s="168"/>
      <c r="AP6" s="168"/>
      <c r="AQ6" s="168"/>
      <c r="AR6" s="168"/>
      <c r="AS6" s="168"/>
      <c r="AT6" s="168"/>
      <c r="AU6" s="168"/>
      <c r="AV6" s="168"/>
      <c r="AW6" s="168"/>
      <c r="AX6" s="168"/>
      <c r="AY6" s="168"/>
      <c r="AZ6" s="168"/>
      <c r="BA6" s="168" t="s">
        <v>104</v>
      </c>
      <c r="BB6" s="168"/>
      <c r="BC6" s="168"/>
      <c r="BD6" s="168"/>
      <c r="BE6" s="168"/>
      <c r="BF6" s="168"/>
      <c r="BG6" s="168"/>
      <c r="BH6" s="168"/>
      <c r="BI6" s="168"/>
      <c r="BJ6" s="168"/>
      <c r="BK6" s="168"/>
      <c r="BL6" s="168"/>
      <c r="BM6" s="168"/>
      <c r="BN6" s="168"/>
      <c r="BO6" s="168"/>
      <c r="BP6" s="168"/>
      <c r="BQ6" s="168"/>
      <c r="BR6" s="168"/>
      <c r="BS6" s="168"/>
      <c r="BT6" s="169"/>
    </row>
    <row r="7" spans="1:72" x14ac:dyDescent="0.2">
      <c r="A7" s="151"/>
      <c r="B7" s="151"/>
      <c r="C7" s="154"/>
      <c r="D7" s="157"/>
      <c r="E7" s="160"/>
      <c r="F7" s="160"/>
      <c r="G7" s="66"/>
      <c r="H7" s="66"/>
      <c r="I7" s="66"/>
      <c r="J7" s="66"/>
      <c r="K7" s="66"/>
      <c r="L7" s="66"/>
      <c r="M7" s="66"/>
      <c r="N7" s="66"/>
      <c r="O7" s="66"/>
      <c r="P7" s="67"/>
      <c r="Q7" s="68"/>
      <c r="R7" s="69"/>
      <c r="S7" s="67"/>
      <c r="T7" s="69"/>
      <c r="U7" s="67"/>
      <c r="V7" s="69"/>
      <c r="W7" s="66"/>
      <c r="X7" s="66"/>
      <c r="Y7" s="66"/>
      <c r="Z7" s="70"/>
      <c r="AA7" s="66"/>
      <c r="AB7" s="70"/>
      <c r="AC7" s="66"/>
      <c r="AD7" s="70"/>
      <c r="AE7" s="146" t="s">
        <v>71</v>
      </c>
      <c r="AF7" s="147"/>
      <c r="AG7" s="70"/>
      <c r="AH7" s="66"/>
      <c r="AI7" s="70"/>
      <c r="AJ7" s="66"/>
      <c r="AK7" s="70"/>
      <c r="AL7" s="146" t="s">
        <v>71</v>
      </c>
      <c r="AM7" s="147"/>
      <c r="AN7" s="66"/>
      <c r="AO7" s="146" t="s">
        <v>71</v>
      </c>
      <c r="AP7" s="147"/>
      <c r="AQ7" s="66"/>
      <c r="AR7" s="146" t="s">
        <v>71</v>
      </c>
      <c r="AS7" s="147"/>
      <c r="AT7" s="66"/>
      <c r="AU7" s="66"/>
      <c r="AV7" s="66"/>
      <c r="AW7" s="146" t="s">
        <v>71</v>
      </c>
      <c r="AX7" s="147"/>
      <c r="AY7" s="146" t="s">
        <v>71</v>
      </c>
      <c r="AZ7" s="147"/>
      <c r="BA7" s="146" t="s">
        <v>71</v>
      </c>
      <c r="BB7" s="147"/>
      <c r="BC7" s="146" t="s">
        <v>71</v>
      </c>
      <c r="BD7" s="147"/>
      <c r="BE7" s="146" t="s">
        <v>71</v>
      </c>
      <c r="BF7" s="147"/>
      <c r="BG7" s="164" t="s">
        <v>70</v>
      </c>
      <c r="BH7" s="165"/>
      <c r="BI7" s="166"/>
      <c r="BJ7" s="146" t="s">
        <v>71</v>
      </c>
      <c r="BK7" s="147"/>
      <c r="BL7" s="67"/>
      <c r="BM7" s="164" t="s">
        <v>70</v>
      </c>
      <c r="BN7" s="165"/>
      <c r="BO7" s="166"/>
      <c r="BP7" s="66"/>
      <c r="BQ7" s="66"/>
      <c r="BR7" s="71"/>
      <c r="BS7" s="72"/>
      <c r="BT7" s="107"/>
    </row>
    <row r="8" spans="1:72" s="12" customFormat="1" ht="157.5" x14ac:dyDescent="0.2">
      <c r="A8" s="151"/>
      <c r="B8" s="151"/>
      <c r="C8" s="154"/>
      <c r="D8" s="157"/>
      <c r="E8" s="160"/>
      <c r="F8" s="160"/>
      <c r="G8" s="73" t="s">
        <v>19</v>
      </c>
      <c r="H8" s="73" t="s">
        <v>20</v>
      </c>
      <c r="I8" s="73" t="s">
        <v>4</v>
      </c>
      <c r="J8" s="73" t="s">
        <v>10</v>
      </c>
      <c r="K8" s="73" t="s">
        <v>21</v>
      </c>
      <c r="L8" s="73" t="s">
        <v>5</v>
      </c>
      <c r="M8" s="73" t="s">
        <v>78</v>
      </c>
      <c r="N8" s="73" t="s">
        <v>22</v>
      </c>
      <c r="O8" s="73" t="s">
        <v>23</v>
      </c>
      <c r="P8" s="73" t="s">
        <v>11</v>
      </c>
      <c r="Q8" s="73" t="s">
        <v>79</v>
      </c>
      <c r="R8" s="73" t="s">
        <v>24</v>
      </c>
      <c r="S8" s="73" t="s">
        <v>6</v>
      </c>
      <c r="T8" s="73" t="s">
        <v>25</v>
      </c>
      <c r="U8" s="73" t="s">
        <v>26</v>
      </c>
      <c r="V8" s="73" t="s">
        <v>27</v>
      </c>
      <c r="W8" s="73" t="s">
        <v>28</v>
      </c>
      <c r="X8" s="73" t="s">
        <v>29</v>
      </c>
      <c r="Y8" s="73" t="s">
        <v>30</v>
      </c>
      <c r="Z8" s="73" t="s">
        <v>31</v>
      </c>
      <c r="AA8" s="73" t="s">
        <v>32</v>
      </c>
      <c r="AB8" s="73" t="s">
        <v>33</v>
      </c>
      <c r="AC8" s="73" t="s">
        <v>34</v>
      </c>
      <c r="AD8" s="73" t="s">
        <v>35</v>
      </c>
      <c r="AE8" s="73" t="s">
        <v>80</v>
      </c>
      <c r="AF8" s="73" t="s">
        <v>105</v>
      </c>
      <c r="AG8" s="73" t="s">
        <v>36</v>
      </c>
      <c r="AH8" s="73" t="s">
        <v>37</v>
      </c>
      <c r="AI8" s="73" t="s">
        <v>38</v>
      </c>
      <c r="AJ8" s="73" t="s">
        <v>39</v>
      </c>
      <c r="AK8" s="73" t="s">
        <v>40</v>
      </c>
      <c r="AL8" s="73" t="s">
        <v>41</v>
      </c>
      <c r="AM8" s="73" t="s">
        <v>42</v>
      </c>
      <c r="AN8" s="73" t="s">
        <v>43</v>
      </c>
      <c r="AO8" s="73" t="s">
        <v>44</v>
      </c>
      <c r="AP8" s="73" t="s">
        <v>45</v>
      </c>
      <c r="AQ8" s="73" t="s">
        <v>46</v>
      </c>
      <c r="AR8" s="73" t="s">
        <v>47</v>
      </c>
      <c r="AS8" s="73" t="s">
        <v>48</v>
      </c>
      <c r="AT8" s="73" t="s">
        <v>49</v>
      </c>
      <c r="AU8" s="73" t="s">
        <v>50</v>
      </c>
      <c r="AV8" s="73" t="s">
        <v>51</v>
      </c>
      <c r="AW8" s="73" t="s">
        <v>52</v>
      </c>
      <c r="AX8" s="73" t="s">
        <v>53</v>
      </c>
      <c r="AY8" s="73" t="s">
        <v>54</v>
      </c>
      <c r="AZ8" s="73" t="s">
        <v>55</v>
      </c>
      <c r="BA8" s="73" t="s">
        <v>56</v>
      </c>
      <c r="BB8" s="73" t="s">
        <v>57</v>
      </c>
      <c r="BC8" s="73" t="s">
        <v>106</v>
      </c>
      <c r="BD8" s="73" t="s">
        <v>58</v>
      </c>
      <c r="BE8" s="73" t="s">
        <v>59</v>
      </c>
      <c r="BF8" s="73" t="s">
        <v>60</v>
      </c>
      <c r="BG8" s="73" t="s">
        <v>61</v>
      </c>
      <c r="BH8" s="73" t="s">
        <v>62</v>
      </c>
      <c r="BI8" s="73" t="s">
        <v>63</v>
      </c>
      <c r="BJ8" s="73" t="s">
        <v>64</v>
      </c>
      <c r="BK8" s="73" t="s">
        <v>65</v>
      </c>
      <c r="BL8" s="73" t="s">
        <v>66</v>
      </c>
      <c r="BM8" s="73" t="s">
        <v>67</v>
      </c>
      <c r="BN8" s="73" t="s">
        <v>68</v>
      </c>
      <c r="BO8" s="74" t="s">
        <v>69</v>
      </c>
      <c r="BP8" s="75" t="s">
        <v>12</v>
      </c>
      <c r="BQ8" s="75" t="s">
        <v>13</v>
      </c>
      <c r="BR8" s="76" t="s">
        <v>14</v>
      </c>
      <c r="BS8" s="77" t="s">
        <v>15</v>
      </c>
      <c r="BT8" s="74" t="s">
        <v>9</v>
      </c>
    </row>
    <row r="9" spans="1:72" s="24" customFormat="1" ht="36.75" customHeight="1" x14ac:dyDescent="0.2">
      <c r="A9" s="151"/>
      <c r="B9" s="151"/>
      <c r="C9" s="154"/>
      <c r="D9" s="157"/>
      <c r="E9" s="160"/>
      <c r="F9" s="160"/>
      <c r="G9" s="78">
        <v>196055</v>
      </c>
      <c r="H9" s="78">
        <v>196060</v>
      </c>
      <c r="I9" s="78">
        <v>196065</v>
      </c>
      <c r="J9" s="78">
        <v>197035</v>
      </c>
      <c r="K9" s="78">
        <v>198030</v>
      </c>
      <c r="L9" s="78">
        <v>197030</v>
      </c>
      <c r="M9" s="78">
        <v>197086</v>
      </c>
      <c r="N9" s="78">
        <v>121005</v>
      </c>
      <c r="O9" s="78">
        <v>173200</v>
      </c>
      <c r="P9" s="78">
        <v>154888</v>
      </c>
      <c r="Q9" s="78">
        <v>162036</v>
      </c>
      <c r="R9" s="78">
        <v>111006</v>
      </c>
      <c r="S9" s="78">
        <v>172555</v>
      </c>
      <c r="T9" s="78">
        <v>159051</v>
      </c>
      <c r="U9" s="78">
        <v>172075</v>
      </c>
      <c r="V9" s="78">
        <v>133031</v>
      </c>
      <c r="W9" s="78">
        <v>133032</v>
      </c>
      <c r="X9" s="78">
        <v>133033</v>
      </c>
      <c r="Y9" s="78">
        <v>173081</v>
      </c>
      <c r="Z9" s="78">
        <v>174097</v>
      </c>
      <c r="AA9" s="78">
        <v>173097</v>
      </c>
      <c r="AB9" s="78">
        <v>174030</v>
      </c>
      <c r="AC9" s="78">
        <v>172025</v>
      </c>
      <c r="AD9" s="78">
        <v>172031</v>
      </c>
      <c r="AE9" s="78">
        <v>174089</v>
      </c>
      <c r="AF9" s="78">
        <v>173063</v>
      </c>
      <c r="AG9" s="78">
        <v>172050</v>
      </c>
      <c r="AH9" s="78">
        <v>174037</v>
      </c>
      <c r="AI9" s="78">
        <v>174031</v>
      </c>
      <c r="AJ9" s="78">
        <v>174034</v>
      </c>
      <c r="AK9" s="78">
        <v>174045</v>
      </c>
      <c r="AL9" s="78">
        <v>174082</v>
      </c>
      <c r="AM9" s="78">
        <v>174081</v>
      </c>
      <c r="AN9" s="78">
        <v>173073</v>
      </c>
      <c r="AO9" s="78">
        <v>173095</v>
      </c>
      <c r="AP9" s="78">
        <v>173027</v>
      </c>
      <c r="AQ9" s="78">
        <v>174120</v>
      </c>
      <c r="AR9" s="78">
        <v>174011</v>
      </c>
      <c r="AS9" s="78">
        <v>174052</v>
      </c>
      <c r="AT9" s="78">
        <v>172049</v>
      </c>
      <c r="AU9" s="78">
        <v>172011</v>
      </c>
      <c r="AV9" s="78">
        <v>173092</v>
      </c>
      <c r="AW9" s="78">
        <v>174135</v>
      </c>
      <c r="AX9" s="78">
        <v>174053</v>
      </c>
      <c r="AY9" s="78">
        <v>174056</v>
      </c>
      <c r="AZ9" s="78">
        <v>174057</v>
      </c>
      <c r="BA9" s="78">
        <v>172004</v>
      </c>
      <c r="BB9" s="78">
        <v>172082</v>
      </c>
      <c r="BC9" s="78">
        <v>172056</v>
      </c>
      <c r="BD9" s="78">
        <v>172013</v>
      </c>
      <c r="BE9" s="78">
        <v>173036</v>
      </c>
      <c r="BF9" s="78">
        <v>173044</v>
      </c>
      <c r="BG9" s="78">
        <v>172038</v>
      </c>
      <c r="BH9" s="78">
        <v>172039</v>
      </c>
      <c r="BI9" s="78">
        <v>172041</v>
      </c>
      <c r="BJ9" s="78">
        <v>172042</v>
      </c>
      <c r="BK9" s="78">
        <v>172043</v>
      </c>
      <c r="BL9" s="78">
        <v>174145</v>
      </c>
      <c r="BM9" s="78">
        <v>172110</v>
      </c>
      <c r="BN9" s="78">
        <v>174041</v>
      </c>
      <c r="BO9" s="79">
        <v>172017</v>
      </c>
      <c r="BP9" s="80"/>
      <c r="BQ9" s="80"/>
      <c r="BR9" s="81">
        <f>SUM(G10:BO10)</f>
        <v>132</v>
      </c>
      <c r="BS9" s="82"/>
      <c r="BT9" s="15"/>
    </row>
    <row r="10" spans="1:72" s="23" customFormat="1" ht="18" customHeight="1" x14ac:dyDescent="0.2">
      <c r="A10" s="152"/>
      <c r="B10" s="152"/>
      <c r="C10" s="155"/>
      <c r="D10" s="158"/>
      <c r="E10" s="161"/>
      <c r="F10" s="161"/>
      <c r="G10" s="15">
        <v>3</v>
      </c>
      <c r="H10" s="15">
        <v>2</v>
      </c>
      <c r="I10" s="15">
        <v>2</v>
      </c>
      <c r="J10" s="15">
        <v>2</v>
      </c>
      <c r="K10" s="15">
        <v>2</v>
      </c>
      <c r="L10" s="15">
        <v>2</v>
      </c>
      <c r="M10" s="15">
        <v>2</v>
      </c>
      <c r="N10" s="15">
        <v>2</v>
      </c>
      <c r="O10" s="16">
        <v>2</v>
      </c>
      <c r="P10" s="16">
        <v>3</v>
      </c>
      <c r="Q10" s="16">
        <v>2</v>
      </c>
      <c r="R10" s="16">
        <v>4</v>
      </c>
      <c r="S10" s="16">
        <v>3</v>
      </c>
      <c r="T10" s="16">
        <v>3</v>
      </c>
      <c r="U10" s="16">
        <v>3</v>
      </c>
      <c r="V10" s="16">
        <v>4</v>
      </c>
      <c r="W10" s="16">
        <v>3</v>
      </c>
      <c r="X10" s="16">
        <v>3</v>
      </c>
      <c r="Y10" s="16">
        <v>3</v>
      </c>
      <c r="Z10" s="16">
        <v>2</v>
      </c>
      <c r="AA10" s="16">
        <v>2</v>
      </c>
      <c r="AB10" s="16">
        <v>3</v>
      </c>
      <c r="AC10" s="16">
        <v>3</v>
      </c>
      <c r="AD10" s="16">
        <v>2</v>
      </c>
      <c r="AE10" s="40">
        <v>3</v>
      </c>
      <c r="AF10" s="41"/>
      <c r="AG10" s="15">
        <v>3</v>
      </c>
      <c r="AH10" s="15">
        <v>3</v>
      </c>
      <c r="AI10" s="15">
        <v>2</v>
      </c>
      <c r="AJ10" s="15">
        <v>2</v>
      </c>
      <c r="AK10" s="15">
        <v>3</v>
      </c>
      <c r="AL10" s="42">
        <v>3</v>
      </c>
      <c r="AM10" s="43"/>
      <c r="AN10" s="15">
        <v>3</v>
      </c>
      <c r="AO10" s="42">
        <v>3</v>
      </c>
      <c r="AP10" s="43"/>
      <c r="AQ10" s="15">
        <v>3</v>
      </c>
      <c r="AR10" s="42">
        <v>3</v>
      </c>
      <c r="AS10" s="43"/>
      <c r="AT10" s="15">
        <v>3</v>
      </c>
      <c r="AU10" s="15">
        <v>3</v>
      </c>
      <c r="AV10" s="15">
        <v>3</v>
      </c>
      <c r="AW10" s="42">
        <v>2</v>
      </c>
      <c r="AX10" s="43"/>
      <c r="AY10" s="40">
        <v>3</v>
      </c>
      <c r="AZ10" s="41"/>
      <c r="BA10" s="42"/>
      <c r="BB10" s="43">
        <v>2</v>
      </c>
      <c r="BC10" s="172">
        <v>3</v>
      </c>
      <c r="BD10" s="173"/>
      <c r="BE10" s="172">
        <v>3</v>
      </c>
      <c r="BF10" s="173"/>
      <c r="BG10" s="172">
        <v>3</v>
      </c>
      <c r="BH10" s="174"/>
      <c r="BI10" s="173"/>
      <c r="BJ10" s="172">
        <v>3</v>
      </c>
      <c r="BK10" s="173"/>
      <c r="BL10" s="15">
        <v>5</v>
      </c>
      <c r="BM10" s="104"/>
      <c r="BN10" s="104">
        <v>3</v>
      </c>
      <c r="BO10" s="104">
        <v>3</v>
      </c>
      <c r="BP10" s="83">
        <v>2</v>
      </c>
      <c r="BQ10" s="83">
        <v>2</v>
      </c>
      <c r="BR10" s="81"/>
      <c r="BS10" s="82"/>
      <c r="BT10" s="15"/>
    </row>
    <row r="11" spans="1:72" s="125" customFormat="1" ht="18" customHeight="1" x14ac:dyDescent="0.2">
      <c r="A11" s="17" t="s">
        <v>72</v>
      </c>
      <c r="B11" s="33" t="s">
        <v>158</v>
      </c>
      <c r="C11" s="95"/>
      <c r="D11" s="95"/>
      <c r="E11" s="34"/>
      <c r="F11" s="6"/>
      <c r="G11" s="17"/>
      <c r="H11" s="17"/>
      <c r="I11" s="17"/>
      <c r="J11" s="17"/>
      <c r="K11" s="17"/>
      <c r="L11" s="18"/>
      <c r="M11" s="17"/>
      <c r="N11" s="17"/>
      <c r="O11" s="7"/>
      <c r="P11" s="19"/>
      <c r="Q11" s="19"/>
      <c r="R11" s="7"/>
      <c r="S11" s="19"/>
      <c r="T11" s="7"/>
      <c r="U11" s="7"/>
      <c r="V11" s="7"/>
      <c r="W11" s="7"/>
      <c r="X11" s="7"/>
      <c r="Y11" s="7"/>
      <c r="Z11" s="7"/>
      <c r="AA11" s="7"/>
      <c r="AB11" s="7"/>
      <c r="AC11" s="7"/>
      <c r="AD11" s="7"/>
      <c r="AE11" s="7"/>
      <c r="AF11" s="7"/>
      <c r="AG11" s="17"/>
      <c r="AH11" s="17"/>
      <c r="AI11" s="17"/>
      <c r="AJ11" s="17"/>
      <c r="AK11" s="17"/>
      <c r="AL11" s="17"/>
      <c r="AM11" s="17"/>
      <c r="AN11" s="17"/>
      <c r="AO11" s="17"/>
      <c r="AP11" s="17"/>
      <c r="AQ11" s="17"/>
      <c r="AR11" s="17"/>
      <c r="AS11" s="17"/>
      <c r="AT11" s="17"/>
      <c r="AU11" s="17"/>
      <c r="AV11" s="17"/>
      <c r="AW11" s="17"/>
      <c r="AX11" s="17"/>
      <c r="AY11" s="7"/>
      <c r="AZ11" s="7"/>
      <c r="BA11" s="17"/>
      <c r="BB11" s="17"/>
      <c r="BC11" s="17"/>
      <c r="BD11" s="17"/>
      <c r="BE11" s="17"/>
      <c r="BF11" s="17"/>
      <c r="BG11" s="17"/>
      <c r="BH11" s="17"/>
      <c r="BI11" s="17"/>
      <c r="BJ11" s="35"/>
      <c r="BK11" s="35"/>
      <c r="BL11" s="17"/>
      <c r="BM11" s="17"/>
      <c r="BN11" s="17"/>
      <c r="BO11" s="17"/>
      <c r="BP11" s="84"/>
      <c r="BQ11" s="84"/>
      <c r="BR11" s="85"/>
      <c r="BS11" s="86">
        <f>$BR$9-BR11</f>
        <v>132</v>
      </c>
      <c r="BT11" s="108"/>
    </row>
    <row r="12" spans="1:72" s="128" customFormat="1" ht="33.75" customHeight="1" x14ac:dyDescent="0.2">
      <c r="A12" s="50">
        <v>1</v>
      </c>
      <c r="B12" s="126" t="s">
        <v>154</v>
      </c>
      <c r="C12" s="127" t="s">
        <v>155</v>
      </c>
      <c r="D12" s="127" t="s">
        <v>156</v>
      </c>
      <c r="E12" s="55" t="s">
        <v>157</v>
      </c>
      <c r="F12" s="54" t="s">
        <v>233</v>
      </c>
      <c r="G12" s="50" t="s">
        <v>234</v>
      </c>
      <c r="H12" s="178" t="s">
        <v>110</v>
      </c>
      <c r="I12" s="50" t="s">
        <v>235</v>
      </c>
      <c r="J12" s="50" t="s">
        <v>236</v>
      </c>
      <c r="K12" s="50" t="s">
        <v>237</v>
      </c>
      <c r="L12" s="98"/>
      <c r="M12" s="50"/>
      <c r="N12" s="50"/>
      <c r="O12" s="37"/>
      <c r="P12" s="37"/>
      <c r="Q12" s="37"/>
      <c r="R12" s="37"/>
      <c r="S12" s="44" t="s">
        <v>238</v>
      </c>
      <c r="T12" s="37"/>
      <c r="U12" s="37" t="s">
        <v>239</v>
      </c>
      <c r="V12" s="37" t="s">
        <v>240</v>
      </c>
      <c r="W12" s="37" t="s">
        <v>109</v>
      </c>
      <c r="X12" s="37" t="s">
        <v>111</v>
      </c>
      <c r="Y12" s="37" t="s">
        <v>109</v>
      </c>
      <c r="Z12" s="37" t="s">
        <v>241</v>
      </c>
      <c r="AA12" s="37"/>
      <c r="AB12" s="37" t="s">
        <v>242</v>
      </c>
      <c r="AC12" s="37" t="s">
        <v>242</v>
      </c>
      <c r="AD12" s="37" t="s">
        <v>237</v>
      </c>
      <c r="AE12" s="37" t="s">
        <v>241</v>
      </c>
      <c r="AF12" s="37"/>
      <c r="AG12" s="50"/>
      <c r="AH12" s="50" t="s">
        <v>241</v>
      </c>
      <c r="AI12" s="50"/>
      <c r="AJ12" s="50" t="s">
        <v>111</v>
      </c>
      <c r="AK12" s="50" t="s">
        <v>109</v>
      </c>
      <c r="AL12" s="50" t="s">
        <v>243</v>
      </c>
      <c r="AM12" s="50"/>
      <c r="AN12" s="50"/>
      <c r="AO12" s="50"/>
      <c r="AP12" s="50"/>
      <c r="AQ12" s="50" t="s">
        <v>238</v>
      </c>
      <c r="AR12" s="50" t="s">
        <v>244</v>
      </c>
      <c r="AS12" s="50"/>
      <c r="AT12" s="50"/>
      <c r="AU12" s="50"/>
      <c r="AV12" s="50"/>
      <c r="AW12" s="178" t="s">
        <v>107</v>
      </c>
      <c r="AX12" s="50"/>
      <c r="AY12" s="37"/>
      <c r="AZ12" s="37"/>
      <c r="BA12" s="50"/>
      <c r="BB12" s="50"/>
      <c r="BC12" s="50"/>
      <c r="BD12" s="50"/>
      <c r="BE12" s="50"/>
      <c r="BF12" s="50"/>
      <c r="BG12" s="50"/>
      <c r="BH12" s="50"/>
      <c r="BI12" s="50"/>
      <c r="BJ12" s="50"/>
      <c r="BK12" s="50"/>
      <c r="BL12" s="50"/>
      <c r="BM12" s="50"/>
      <c r="BN12" s="50" t="s">
        <v>241</v>
      </c>
      <c r="BO12" s="48"/>
      <c r="BP12" s="179" t="s">
        <v>107</v>
      </c>
      <c r="BQ12" s="99" t="s">
        <v>108</v>
      </c>
      <c r="BR12" s="87"/>
      <c r="BS12" s="88"/>
      <c r="BT12" s="122"/>
    </row>
    <row r="13" spans="1:72" s="184" customFormat="1" ht="36.75" customHeight="1" x14ac:dyDescent="0.2">
      <c r="A13" s="28">
        <v>2</v>
      </c>
      <c r="B13" s="126" t="s">
        <v>152</v>
      </c>
      <c r="C13" s="180" t="s">
        <v>84</v>
      </c>
      <c r="D13" s="181" t="s">
        <v>85</v>
      </c>
      <c r="E13" s="182" t="s">
        <v>86</v>
      </c>
      <c r="F13" s="27" t="s">
        <v>87</v>
      </c>
      <c r="G13" s="39" t="s">
        <v>122</v>
      </c>
      <c r="H13" s="39" t="s">
        <v>122</v>
      </c>
      <c r="I13" s="39"/>
      <c r="J13" s="39" t="s">
        <v>123</v>
      </c>
      <c r="K13" s="183" t="s">
        <v>124</v>
      </c>
      <c r="L13" s="39"/>
      <c r="M13" s="39"/>
      <c r="N13" s="39"/>
      <c r="O13" s="39"/>
      <c r="P13" s="39"/>
      <c r="Q13" s="39"/>
      <c r="R13" s="183" t="s">
        <v>125</v>
      </c>
      <c r="S13" s="39" t="s">
        <v>126</v>
      </c>
      <c r="T13" s="39"/>
      <c r="U13" s="183" t="s">
        <v>125</v>
      </c>
      <c r="V13" s="39" t="s">
        <v>123</v>
      </c>
      <c r="W13" s="39" t="s">
        <v>122</v>
      </c>
      <c r="X13" s="39" t="s">
        <v>127</v>
      </c>
      <c r="Y13" s="183" t="s">
        <v>128</v>
      </c>
      <c r="Z13" s="39" t="s">
        <v>129</v>
      </c>
      <c r="AA13" s="39"/>
      <c r="AB13" s="39" t="s">
        <v>130</v>
      </c>
      <c r="AC13" s="39" t="s">
        <v>131</v>
      </c>
      <c r="AD13" s="39" t="s">
        <v>132</v>
      </c>
      <c r="AE13" s="39" t="s">
        <v>123</v>
      </c>
      <c r="AF13" s="39"/>
      <c r="AG13" s="39" t="s">
        <v>133</v>
      </c>
      <c r="AH13" s="50" t="s">
        <v>131</v>
      </c>
      <c r="AI13" s="50"/>
      <c r="AJ13" s="50"/>
      <c r="AK13" s="50" t="s">
        <v>134</v>
      </c>
      <c r="AL13" s="50" t="s">
        <v>133</v>
      </c>
      <c r="AM13" s="50"/>
      <c r="AN13" s="50" t="s">
        <v>135</v>
      </c>
      <c r="AO13" s="50" t="s">
        <v>136</v>
      </c>
      <c r="AP13" s="50"/>
      <c r="AQ13" s="50" t="s">
        <v>131</v>
      </c>
      <c r="AR13" s="50"/>
      <c r="AS13" s="39"/>
      <c r="AT13" s="50"/>
      <c r="AU13" s="50"/>
      <c r="AV13" s="50"/>
      <c r="AW13" s="50"/>
      <c r="AX13" s="50"/>
      <c r="AY13" s="25"/>
      <c r="AZ13" s="25"/>
      <c r="BA13" s="25"/>
      <c r="BB13" s="25"/>
      <c r="BC13" s="25"/>
      <c r="BD13" s="25"/>
      <c r="BE13" s="25"/>
      <c r="BF13" s="25"/>
      <c r="BG13" s="25"/>
      <c r="BH13" s="25"/>
      <c r="BI13" s="25"/>
      <c r="BJ13" s="25"/>
      <c r="BK13" s="25"/>
      <c r="BL13" s="25"/>
      <c r="BM13" s="25"/>
      <c r="BN13" s="25"/>
      <c r="BO13" s="25"/>
      <c r="BP13" s="25" t="s">
        <v>16</v>
      </c>
      <c r="BQ13" s="25" t="s">
        <v>16</v>
      </c>
      <c r="BR13" s="26"/>
      <c r="BS13" s="38"/>
      <c r="BT13" s="30"/>
    </row>
    <row r="14" spans="1:72" s="186" customFormat="1" ht="33" customHeight="1" x14ac:dyDescent="0.2">
      <c r="A14" s="28">
        <v>3</v>
      </c>
      <c r="B14" s="126" t="s">
        <v>153</v>
      </c>
      <c r="C14" s="180" t="s">
        <v>75</v>
      </c>
      <c r="D14" s="180" t="s">
        <v>81</v>
      </c>
      <c r="E14" s="185" t="s">
        <v>82</v>
      </c>
      <c r="F14" s="27" t="s">
        <v>83</v>
      </c>
      <c r="G14" s="183" t="s">
        <v>137</v>
      </c>
      <c r="H14" s="183" t="s">
        <v>137</v>
      </c>
      <c r="I14" s="39"/>
      <c r="J14" s="183" t="s">
        <v>138</v>
      </c>
      <c r="K14" s="183" t="s">
        <v>138</v>
      </c>
      <c r="L14" s="183" t="s">
        <v>139</v>
      </c>
      <c r="M14" s="39"/>
      <c r="N14" s="39"/>
      <c r="O14" s="39"/>
      <c r="P14" s="39"/>
      <c r="Q14" s="39"/>
      <c r="R14" s="183" t="s">
        <v>137</v>
      </c>
      <c r="S14" s="183" t="s">
        <v>139</v>
      </c>
      <c r="T14" s="183" t="s">
        <v>139</v>
      </c>
      <c r="U14" s="39"/>
      <c r="V14" s="183" t="s">
        <v>139</v>
      </c>
      <c r="W14" s="183" t="s">
        <v>137</v>
      </c>
      <c r="X14" s="183" t="s">
        <v>139</v>
      </c>
      <c r="Y14" s="183" t="s">
        <v>138</v>
      </c>
      <c r="Z14" s="183" t="s">
        <v>138</v>
      </c>
      <c r="AA14" s="183" t="s">
        <v>140</v>
      </c>
      <c r="AB14" s="183" t="s">
        <v>140</v>
      </c>
      <c r="AC14" s="183" t="s">
        <v>137</v>
      </c>
      <c r="AD14" s="183" t="s">
        <v>138</v>
      </c>
      <c r="AE14" s="183" t="s">
        <v>138</v>
      </c>
      <c r="AF14" s="39"/>
      <c r="AG14" s="183" t="s">
        <v>139</v>
      </c>
      <c r="AH14" s="183" t="s">
        <v>137</v>
      </c>
      <c r="AI14" s="39"/>
      <c r="AJ14" s="183" t="s">
        <v>137</v>
      </c>
      <c r="AK14" s="183" t="s">
        <v>137</v>
      </c>
      <c r="AL14" s="39"/>
      <c r="AM14" s="39"/>
      <c r="AN14" s="39"/>
      <c r="AO14" s="39"/>
      <c r="AP14" s="39"/>
      <c r="AQ14" s="183" t="s">
        <v>139</v>
      </c>
      <c r="AR14" s="183" t="s">
        <v>139</v>
      </c>
      <c r="AS14" s="50"/>
      <c r="AT14" s="50"/>
      <c r="AU14" s="50"/>
      <c r="AV14" s="50"/>
      <c r="AW14" s="50"/>
      <c r="AX14" s="50"/>
      <c r="AY14" s="25"/>
      <c r="AZ14" s="25"/>
      <c r="BA14" s="25"/>
      <c r="BB14" s="25"/>
      <c r="BC14" s="25"/>
      <c r="BD14" s="25"/>
      <c r="BE14" s="25"/>
      <c r="BF14" s="25"/>
      <c r="BG14" s="25"/>
      <c r="BH14" s="25"/>
      <c r="BI14" s="25"/>
      <c r="BJ14" s="25"/>
      <c r="BK14" s="25"/>
      <c r="BL14" s="25"/>
      <c r="BM14" s="25"/>
      <c r="BN14" s="25"/>
      <c r="BO14" s="25"/>
      <c r="BP14" s="25" t="s">
        <v>16</v>
      </c>
      <c r="BQ14" s="25" t="s">
        <v>16</v>
      </c>
      <c r="BR14" s="26"/>
      <c r="BS14" s="38"/>
      <c r="BT14" s="30"/>
    </row>
    <row r="15" spans="1:72" s="125" customFormat="1" ht="18" customHeight="1" x14ac:dyDescent="0.2">
      <c r="A15" s="17" t="s">
        <v>18</v>
      </c>
      <c r="B15" s="33" t="s">
        <v>159</v>
      </c>
      <c r="C15" s="95"/>
      <c r="D15" s="95"/>
      <c r="E15" s="34"/>
      <c r="F15" s="6"/>
      <c r="G15" s="17"/>
      <c r="H15" s="17"/>
      <c r="I15" s="17"/>
      <c r="J15" s="17"/>
      <c r="K15" s="17"/>
      <c r="L15" s="17"/>
      <c r="M15" s="17"/>
      <c r="N15" s="17"/>
      <c r="O15" s="7"/>
      <c r="P15" s="19"/>
      <c r="Q15" s="19"/>
      <c r="R15" s="7"/>
      <c r="S15" s="19"/>
      <c r="T15" s="7"/>
      <c r="U15" s="7"/>
      <c r="V15" s="7"/>
      <c r="W15" s="7"/>
      <c r="X15" s="7"/>
      <c r="Y15" s="7"/>
      <c r="Z15" s="7"/>
      <c r="AA15" s="7"/>
      <c r="AB15" s="7"/>
      <c r="AC15" s="7"/>
      <c r="AD15" s="7"/>
      <c r="AE15" s="7"/>
      <c r="AF15" s="7"/>
      <c r="AG15" s="17"/>
      <c r="AH15" s="17"/>
      <c r="AI15" s="17"/>
      <c r="AJ15" s="17"/>
      <c r="AK15" s="17"/>
      <c r="AL15" s="17"/>
      <c r="AM15" s="17"/>
      <c r="AN15" s="17"/>
      <c r="AO15" s="17"/>
      <c r="AP15" s="17"/>
      <c r="AQ15" s="17"/>
      <c r="AR15" s="17"/>
      <c r="AS15" s="17"/>
      <c r="AT15" s="17"/>
      <c r="AU15" s="17"/>
      <c r="AV15" s="17"/>
      <c r="AW15" s="17"/>
      <c r="AX15" s="17"/>
      <c r="AY15" s="7"/>
      <c r="AZ15" s="7"/>
      <c r="BA15" s="17"/>
      <c r="BB15" s="17"/>
      <c r="BC15" s="17"/>
      <c r="BD15" s="17"/>
      <c r="BE15" s="17"/>
      <c r="BF15" s="17"/>
      <c r="BG15" s="17"/>
      <c r="BH15" s="17"/>
      <c r="BI15" s="17"/>
      <c r="BJ15" s="35"/>
      <c r="BK15" s="35"/>
      <c r="BL15" s="17"/>
      <c r="BM15" s="17"/>
      <c r="BN15" s="17"/>
      <c r="BO15" s="17"/>
      <c r="BP15" s="35"/>
      <c r="BQ15" s="35"/>
      <c r="BR15" s="100"/>
      <c r="BS15" s="86"/>
      <c r="BT15" s="101"/>
    </row>
    <row r="16" spans="1:72" s="125" customFormat="1" ht="24" x14ac:dyDescent="0.2">
      <c r="A16" s="90">
        <v>4</v>
      </c>
      <c r="B16" s="126" t="s">
        <v>160</v>
      </c>
      <c r="C16" s="127" t="s">
        <v>161</v>
      </c>
      <c r="D16" s="127" t="s">
        <v>162</v>
      </c>
      <c r="E16" s="55" t="s">
        <v>163</v>
      </c>
      <c r="F16" s="57" t="s">
        <v>217</v>
      </c>
      <c r="G16" s="50" t="s">
        <v>245</v>
      </c>
      <c r="H16" s="50" t="s">
        <v>246</v>
      </c>
      <c r="I16" s="50" t="s">
        <v>247</v>
      </c>
      <c r="J16" s="178" t="s">
        <v>248</v>
      </c>
      <c r="K16" s="50" t="s">
        <v>113</v>
      </c>
      <c r="L16" s="50" t="s">
        <v>249</v>
      </c>
      <c r="M16" s="50"/>
      <c r="N16" s="50" t="s">
        <v>250</v>
      </c>
      <c r="O16" s="50"/>
      <c r="P16" s="50"/>
      <c r="Q16" s="50" t="s">
        <v>121</v>
      </c>
      <c r="R16" s="50"/>
      <c r="S16" s="39" t="s">
        <v>114</v>
      </c>
      <c r="T16" s="39"/>
      <c r="U16" s="50"/>
      <c r="V16" s="39" t="s">
        <v>251</v>
      </c>
      <c r="W16" s="39" t="s">
        <v>121</v>
      </c>
      <c r="X16" s="39" t="s">
        <v>119</v>
      </c>
      <c r="Y16" s="39"/>
      <c r="Z16" s="50"/>
      <c r="AA16" s="50"/>
      <c r="AB16" s="50"/>
      <c r="AC16" s="50"/>
      <c r="AD16" s="50"/>
      <c r="AE16" s="50"/>
      <c r="AF16" s="50"/>
      <c r="AG16" s="50"/>
      <c r="AH16" s="50"/>
      <c r="AI16" s="50"/>
      <c r="AJ16" s="50"/>
      <c r="AK16" s="50"/>
      <c r="AL16" s="50"/>
      <c r="AM16" s="50"/>
      <c r="AN16" s="37"/>
      <c r="AO16" s="50"/>
      <c r="AP16" s="50"/>
      <c r="AQ16" s="50"/>
      <c r="AR16" s="39"/>
      <c r="AS16" s="39"/>
      <c r="AT16" s="50"/>
      <c r="AU16" s="50"/>
      <c r="AV16" s="50"/>
      <c r="AW16" s="50"/>
      <c r="AX16" s="50"/>
      <c r="AY16" s="50"/>
      <c r="AZ16" s="50"/>
      <c r="BA16" s="50"/>
      <c r="BB16" s="50"/>
      <c r="BC16" s="50"/>
      <c r="BD16" s="50"/>
      <c r="BE16" s="50"/>
      <c r="BF16" s="39"/>
      <c r="BG16" s="50"/>
      <c r="BH16" s="50"/>
      <c r="BI16" s="50"/>
      <c r="BJ16" s="50"/>
      <c r="BK16" s="50"/>
      <c r="BL16" s="50"/>
      <c r="BM16" s="50"/>
      <c r="BN16" s="50"/>
      <c r="BO16" s="50"/>
      <c r="BP16" s="50" t="s">
        <v>16</v>
      </c>
      <c r="BQ16" s="50" t="s">
        <v>16</v>
      </c>
      <c r="BR16" s="89"/>
      <c r="BS16" s="88"/>
      <c r="BT16" s="123"/>
    </row>
    <row r="17" spans="1:72" s="125" customFormat="1" ht="24" x14ac:dyDescent="0.2">
      <c r="A17" s="90">
        <v>5</v>
      </c>
      <c r="B17" s="126" t="s">
        <v>164</v>
      </c>
      <c r="C17" s="129" t="s">
        <v>165</v>
      </c>
      <c r="D17" s="129" t="s">
        <v>166</v>
      </c>
      <c r="E17" s="56" t="s">
        <v>167</v>
      </c>
      <c r="F17" s="57" t="s">
        <v>218</v>
      </c>
      <c r="G17" s="183" t="s">
        <v>308</v>
      </c>
      <c r="H17" s="183" t="s">
        <v>308</v>
      </c>
      <c r="I17" s="183" t="s">
        <v>309</v>
      </c>
      <c r="J17" s="183" t="s">
        <v>151</v>
      </c>
      <c r="K17" s="183" t="s">
        <v>308</v>
      </c>
      <c r="L17" s="183" t="s">
        <v>310</v>
      </c>
      <c r="M17" s="39"/>
      <c r="N17" s="39"/>
      <c r="O17" s="39"/>
      <c r="P17" s="39"/>
      <c r="Q17" s="39"/>
      <c r="R17" s="183" t="s">
        <v>310</v>
      </c>
      <c r="S17" s="183" t="s">
        <v>308</v>
      </c>
      <c r="T17" s="183" t="s">
        <v>151</v>
      </c>
      <c r="U17" s="39"/>
      <c r="V17" s="183" t="s">
        <v>308</v>
      </c>
      <c r="W17" s="183" t="s">
        <v>310</v>
      </c>
      <c r="X17" s="183" t="s">
        <v>151</v>
      </c>
      <c r="Y17" s="39"/>
      <c r="Z17" s="39"/>
      <c r="AA17" s="39"/>
      <c r="AB17" s="39"/>
      <c r="AC17" s="39"/>
      <c r="AD17" s="39"/>
      <c r="AE17" s="39"/>
      <c r="AF17" s="39"/>
      <c r="AG17" s="39"/>
      <c r="AH17" s="50"/>
      <c r="AI17" s="50"/>
      <c r="AJ17" s="50"/>
      <c r="AK17" s="50"/>
      <c r="AL17" s="50"/>
      <c r="AM17" s="50"/>
      <c r="AN17" s="50"/>
      <c r="AO17" s="50"/>
      <c r="AP17" s="50"/>
      <c r="AQ17" s="50"/>
      <c r="AR17" s="50"/>
      <c r="AS17" s="39"/>
      <c r="AT17" s="50"/>
      <c r="AU17" s="50"/>
      <c r="AV17" s="50"/>
      <c r="AW17" s="50"/>
      <c r="AX17" s="50"/>
      <c r="AY17" s="50"/>
      <c r="AZ17" s="50"/>
      <c r="BA17" s="50"/>
      <c r="BB17" s="50"/>
      <c r="BC17" s="50"/>
      <c r="BD17" s="50"/>
      <c r="BE17" s="50"/>
      <c r="BF17" s="50"/>
      <c r="BG17" s="50"/>
      <c r="BH17" s="50"/>
      <c r="BI17" s="50"/>
      <c r="BJ17" s="50"/>
      <c r="BK17" s="50"/>
      <c r="BL17" s="50"/>
      <c r="BM17" s="50"/>
      <c r="BN17" s="50"/>
      <c r="BO17" s="50"/>
      <c r="BP17" s="50" t="s">
        <v>16</v>
      </c>
      <c r="BQ17" s="50" t="s">
        <v>16</v>
      </c>
      <c r="BR17" s="89"/>
      <c r="BS17" s="88"/>
      <c r="BT17" s="123"/>
    </row>
    <row r="18" spans="1:72" s="125" customFormat="1" ht="45" customHeight="1" x14ac:dyDescent="0.2">
      <c r="A18" s="90">
        <v>6</v>
      </c>
      <c r="B18" s="126" t="s">
        <v>168</v>
      </c>
      <c r="C18" s="129" t="s">
        <v>169</v>
      </c>
      <c r="D18" s="129" t="s">
        <v>170</v>
      </c>
      <c r="E18" s="56" t="s">
        <v>171</v>
      </c>
      <c r="F18" s="16" t="s">
        <v>219</v>
      </c>
      <c r="G18" s="183" t="s">
        <v>304</v>
      </c>
      <c r="H18" s="183" t="s">
        <v>304</v>
      </c>
      <c r="I18" s="183" t="s">
        <v>305</v>
      </c>
      <c r="J18" s="183" t="s">
        <v>306</v>
      </c>
      <c r="K18" s="183" t="s">
        <v>306</v>
      </c>
      <c r="L18" s="183" t="s">
        <v>306</v>
      </c>
      <c r="M18" s="39"/>
      <c r="N18" s="183" t="s">
        <v>305</v>
      </c>
      <c r="O18" s="39"/>
      <c r="P18" s="39"/>
      <c r="Q18" s="183" t="s">
        <v>304</v>
      </c>
      <c r="R18" s="39"/>
      <c r="S18" s="183" t="s">
        <v>304</v>
      </c>
      <c r="T18" s="39"/>
      <c r="U18" s="39"/>
      <c r="V18" s="183" t="s">
        <v>306</v>
      </c>
      <c r="W18" s="183" t="s">
        <v>307</v>
      </c>
      <c r="X18" s="183" t="s">
        <v>306</v>
      </c>
      <c r="Y18" s="39"/>
      <c r="Z18" s="39"/>
      <c r="AA18" s="39"/>
      <c r="AB18" s="39"/>
      <c r="AC18" s="39"/>
      <c r="AD18" s="39"/>
      <c r="AE18" s="39"/>
      <c r="AF18" s="39"/>
      <c r="AG18" s="39"/>
      <c r="AH18" s="50"/>
      <c r="AI18" s="50"/>
      <c r="AJ18" s="50"/>
      <c r="AK18" s="50"/>
      <c r="AL18" s="50"/>
      <c r="AM18" s="50"/>
      <c r="AN18" s="50"/>
      <c r="AO18" s="50"/>
      <c r="AP18" s="50"/>
      <c r="AQ18" s="50"/>
      <c r="AR18" s="50"/>
      <c r="AS18" s="39"/>
      <c r="AT18" s="50"/>
      <c r="AU18" s="50"/>
      <c r="AV18" s="50"/>
      <c r="AW18" s="50"/>
      <c r="AX18" s="50"/>
      <c r="AY18" s="50"/>
      <c r="AZ18" s="50"/>
      <c r="BA18" s="50"/>
      <c r="BB18" s="50"/>
      <c r="BC18" s="50"/>
      <c r="BD18" s="50"/>
      <c r="BE18" s="50"/>
      <c r="BF18" s="50"/>
      <c r="BG18" s="50"/>
      <c r="BH18" s="50"/>
      <c r="BI18" s="50"/>
      <c r="BJ18" s="50"/>
      <c r="BK18" s="50"/>
      <c r="BL18" s="50"/>
      <c r="BM18" s="50"/>
      <c r="BN18" s="50"/>
      <c r="BO18" s="50"/>
      <c r="BP18" s="50" t="s">
        <v>16</v>
      </c>
      <c r="BQ18" s="50" t="s">
        <v>16</v>
      </c>
      <c r="BR18" s="89"/>
      <c r="BS18" s="88"/>
      <c r="BT18" s="123"/>
    </row>
    <row r="19" spans="1:72" s="125" customFormat="1" ht="32.25" customHeight="1" x14ac:dyDescent="0.2">
      <c r="A19" s="90">
        <v>7</v>
      </c>
      <c r="B19" s="126" t="s">
        <v>172</v>
      </c>
      <c r="C19" s="129" t="s">
        <v>173</v>
      </c>
      <c r="D19" s="129" t="s">
        <v>174</v>
      </c>
      <c r="E19" s="56" t="s">
        <v>175</v>
      </c>
      <c r="F19" s="16" t="s">
        <v>220</v>
      </c>
      <c r="G19" s="44" t="s">
        <v>289</v>
      </c>
      <c r="H19" s="187" t="s">
        <v>290</v>
      </c>
      <c r="I19" s="187" t="s">
        <v>291</v>
      </c>
      <c r="J19" s="187" t="s">
        <v>292</v>
      </c>
      <c r="K19" s="187" t="s">
        <v>291</v>
      </c>
      <c r="L19" s="44" t="s">
        <v>293</v>
      </c>
      <c r="M19" s="44"/>
      <c r="N19" s="187" t="s">
        <v>292</v>
      </c>
      <c r="O19" s="44"/>
      <c r="P19" s="44"/>
      <c r="Q19" s="130"/>
      <c r="R19" s="44"/>
      <c r="S19" s="187" t="s">
        <v>292</v>
      </c>
      <c r="T19" s="44"/>
      <c r="U19" s="44"/>
      <c r="V19" s="187" t="s">
        <v>294</v>
      </c>
      <c r="W19" s="183" t="s">
        <v>292</v>
      </c>
      <c r="X19" s="39"/>
      <c r="Y19" s="39"/>
      <c r="Z19" s="39"/>
      <c r="AA19" s="39"/>
      <c r="AB19" s="39"/>
      <c r="AC19" s="39"/>
      <c r="AD19" s="39"/>
      <c r="AE19" s="39"/>
      <c r="AF19" s="39"/>
      <c r="AG19" s="39"/>
      <c r="AH19" s="50"/>
      <c r="AI19" s="50"/>
      <c r="AJ19" s="50"/>
      <c r="AK19" s="50"/>
      <c r="AL19" s="50"/>
      <c r="AM19" s="50"/>
      <c r="AN19" s="50"/>
      <c r="AO19" s="50"/>
      <c r="AP19" s="50"/>
      <c r="AQ19" s="50"/>
      <c r="AR19" s="50"/>
      <c r="AS19" s="39"/>
      <c r="AT19" s="50"/>
      <c r="AU19" s="50"/>
      <c r="AV19" s="50"/>
      <c r="AW19" s="50"/>
      <c r="AX19" s="50"/>
      <c r="AY19" s="50"/>
      <c r="AZ19" s="50"/>
      <c r="BA19" s="50"/>
      <c r="BB19" s="50"/>
      <c r="BC19" s="50"/>
      <c r="BD19" s="50"/>
      <c r="BE19" s="50"/>
      <c r="BF19" s="50"/>
      <c r="BG19" s="50"/>
      <c r="BH19" s="50"/>
      <c r="BI19" s="50"/>
      <c r="BJ19" s="50"/>
      <c r="BK19" s="50"/>
      <c r="BL19" s="50"/>
      <c r="BM19" s="50"/>
      <c r="BN19" s="50"/>
      <c r="BO19" s="50"/>
      <c r="BP19" s="50" t="s">
        <v>16</v>
      </c>
      <c r="BQ19" s="50" t="s">
        <v>16</v>
      </c>
      <c r="BR19" s="89"/>
      <c r="BS19" s="88"/>
      <c r="BT19" s="123"/>
    </row>
    <row r="20" spans="1:72" s="125" customFormat="1" ht="32.25" customHeight="1" x14ac:dyDescent="0.2">
      <c r="A20" s="90">
        <v>8</v>
      </c>
      <c r="B20" s="126" t="s">
        <v>176</v>
      </c>
      <c r="C20" s="129" t="s">
        <v>84</v>
      </c>
      <c r="D20" s="129" t="s">
        <v>177</v>
      </c>
      <c r="E20" s="56" t="s">
        <v>178</v>
      </c>
      <c r="F20" s="16" t="s">
        <v>221</v>
      </c>
      <c r="G20" s="187" t="s">
        <v>252</v>
      </c>
      <c r="H20" s="187" t="s">
        <v>253</v>
      </c>
      <c r="I20" s="44"/>
      <c r="J20" s="187" t="s">
        <v>252</v>
      </c>
      <c r="K20" s="187" t="s">
        <v>248</v>
      </c>
      <c r="L20" s="187" t="s">
        <v>252</v>
      </c>
      <c r="M20" s="44"/>
      <c r="N20" s="44"/>
      <c r="O20" s="44"/>
      <c r="P20" s="44"/>
      <c r="Q20" s="130"/>
      <c r="R20" s="187" t="s">
        <v>252</v>
      </c>
      <c r="S20" s="44" t="s">
        <v>254</v>
      </c>
      <c r="T20" s="44"/>
      <c r="U20" s="44"/>
      <c r="V20" s="44" t="s">
        <v>255</v>
      </c>
      <c r="W20" s="183" t="s">
        <v>252</v>
      </c>
      <c r="X20" s="183" t="s">
        <v>252</v>
      </c>
      <c r="Y20" s="39"/>
      <c r="Z20" s="39"/>
      <c r="AA20" s="39"/>
      <c r="AB20" s="39"/>
      <c r="AC20" s="39"/>
      <c r="AD20" s="39"/>
      <c r="AE20" s="39"/>
      <c r="AF20" s="39"/>
      <c r="AG20" s="39"/>
      <c r="AH20" s="50"/>
      <c r="AI20" s="50"/>
      <c r="AJ20" s="50"/>
      <c r="AK20" s="50"/>
      <c r="AL20" s="50"/>
      <c r="AM20" s="50"/>
      <c r="AN20" s="50"/>
      <c r="AO20" s="50"/>
      <c r="AP20" s="50"/>
      <c r="AQ20" s="50"/>
      <c r="AR20" s="50"/>
      <c r="AS20" s="39"/>
      <c r="AT20" s="50"/>
      <c r="AU20" s="50"/>
      <c r="AV20" s="50"/>
      <c r="AW20" s="50"/>
      <c r="AX20" s="50"/>
      <c r="AY20" s="50"/>
      <c r="AZ20" s="50"/>
      <c r="BA20" s="50"/>
      <c r="BB20" s="50"/>
      <c r="BC20" s="50"/>
      <c r="BD20" s="50"/>
      <c r="BE20" s="50"/>
      <c r="BF20" s="50"/>
      <c r="BG20" s="50"/>
      <c r="BH20" s="50"/>
      <c r="BI20" s="50"/>
      <c r="BJ20" s="50"/>
      <c r="BK20" s="50"/>
      <c r="BL20" s="50"/>
      <c r="BM20" s="50"/>
      <c r="BN20" s="50"/>
      <c r="BO20" s="50"/>
      <c r="BP20" s="50" t="s">
        <v>16</v>
      </c>
      <c r="BQ20" s="50" t="s">
        <v>16</v>
      </c>
      <c r="BR20" s="89"/>
      <c r="BS20" s="88"/>
      <c r="BT20" s="123"/>
    </row>
    <row r="21" spans="1:72" s="125" customFormat="1" ht="32.25" customHeight="1" x14ac:dyDescent="0.2">
      <c r="A21" s="90">
        <v>9</v>
      </c>
      <c r="B21" s="126" t="s">
        <v>179</v>
      </c>
      <c r="C21" s="129" t="s">
        <v>180</v>
      </c>
      <c r="D21" s="129" t="s">
        <v>181</v>
      </c>
      <c r="E21" s="115" t="s">
        <v>182</v>
      </c>
      <c r="F21" s="16" t="s">
        <v>222</v>
      </c>
      <c r="G21" s="183" t="s">
        <v>286</v>
      </c>
      <c r="H21" s="183" t="s">
        <v>287</v>
      </c>
      <c r="I21" s="39"/>
      <c r="J21" s="183" t="s">
        <v>286</v>
      </c>
      <c r="K21" s="183" t="s">
        <v>286</v>
      </c>
      <c r="L21" s="183" t="s">
        <v>287</v>
      </c>
      <c r="M21" s="39"/>
      <c r="N21" s="39"/>
      <c r="O21" s="39"/>
      <c r="P21" s="39"/>
      <c r="Q21" s="39"/>
      <c r="R21" s="39"/>
      <c r="S21" s="183" t="s">
        <v>286</v>
      </c>
      <c r="T21" s="39"/>
      <c r="U21" s="39"/>
      <c r="V21" s="183" t="s">
        <v>288</v>
      </c>
      <c r="W21" s="183" t="s">
        <v>286</v>
      </c>
      <c r="X21" s="183" t="s">
        <v>287</v>
      </c>
      <c r="Y21" s="39"/>
      <c r="Z21" s="39"/>
      <c r="AA21" s="39"/>
      <c r="AB21" s="39"/>
      <c r="AC21" s="39"/>
      <c r="AD21" s="39"/>
      <c r="AE21" s="39"/>
      <c r="AF21" s="39"/>
      <c r="AG21" s="39"/>
      <c r="AH21" s="50"/>
      <c r="AI21" s="50"/>
      <c r="AJ21" s="50"/>
      <c r="AK21" s="50"/>
      <c r="AL21" s="50"/>
      <c r="AM21" s="50"/>
      <c r="AN21" s="50"/>
      <c r="AO21" s="50"/>
      <c r="AP21" s="50"/>
      <c r="AQ21" s="50"/>
      <c r="AR21" s="50"/>
      <c r="AS21" s="39"/>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89"/>
      <c r="BS21" s="88"/>
      <c r="BT21" s="123"/>
    </row>
    <row r="22" spans="1:72" s="125" customFormat="1" ht="32.25" customHeight="1" x14ac:dyDescent="0.2">
      <c r="A22" s="90">
        <v>10</v>
      </c>
      <c r="B22" s="126" t="s">
        <v>183</v>
      </c>
      <c r="C22" s="129" t="s">
        <v>184</v>
      </c>
      <c r="D22" s="129" t="s">
        <v>185</v>
      </c>
      <c r="E22" s="56" t="s">
        <v>186</v>
      </c>
      <c r="F22" s="16" t="s">
        <v>223</v>
      </c>
      <c r="G22" s="44" t="s">
        <v>295</v>
      </c>
      <c r="H22" s="44" t="s">
        <v>296</v>
      </c>
      <c r="I22" s="44" t="s">
        <v>297</v>
      </c>
      <c r="J22" s="44" t="s">
        <v>298</v>
      </c>
      <c r="K22" s="44" t="s">
        <v>299</v>
      </c>
      <c r="L22" s="44" t="s">
        <v>300</v>
      </c>
      <c r="M22" s="44"/>
      <c r="N22" s="44" t="s">
        <v>301</v>
      </c>
      <c r="O22" s="44"/>
      <c r="P22" s="44"/>
      <c r="Q22" s="130"/>
      <c r="R22" s="44"/>
      <c r="S22" s="44" t="s">
        <v>300</v>
      </c>
      <c r="T22" s="44"/>
      <c r="U22" s="44"/>
      <c r="V22" s="44" t="s">
        <v>302</v>
      </c>
      <c r="W22" s="39" t="s">
        <v>303</v>
      </c>
      <c r="X22" s="39" t="s">
        <v>302</v>
      </c>
      <c r="Y22" s="39"/>
      <c r="Z22" s="39"/>
      <c r="AA22" s="39"/>
      <c r="AB22" s="39"/>
      <c r="AC22" s="39"/>
      <c r="AD22" s="39"/>
      <c r="AE22" s="39"/>
      <c r="AF22" s="39"/>
      <c r="AG22" s="39"/>
      <c r="AH22" s="50"/>
      <c r="AI22" s="50"/>
      <c r="AJ22" s="50"/>
      <c r="AK22" s="50"/>
      <c r="AL22" s="50"/>
      <c r="AM22" s="50"/>
      <c r="AN22" s="50"/>
      <c r="AO22" s="50"/>
      <c r="AP22" s="50"/>
      <c r="AQ22" s="50"/>
      <c r="AR22" s="50"/>
      <c r="AS22" s="39"/>
      <c r="AT22" s="50"/>
      <c r="AU22" s="50"/>
      <c r="AV22" s="50"/>
      <c r="AW22" s="50"/>
      <c r="AX22" s="50"/>
      <c r="AY22" s="50"/>
      <c r="AZ22" s="50"/>
      <c r="BA22" s="50"/>
      <c r="BB22" s="50"/>
      <c r="BC22" s="50"/>
      <c r="BD22" s="50"/>
      <c r="BE22" s="50"/>
      <c r="BF22" s="50"/>
      <c r="BG22" s="50"/>
      <c r="BH22" s="50"/>
      <c r="BI22" s="50"/>
      <c r="BJ22" s="50"/>
      <c r="BK22" s="50"/>
      <c r="BL22" s="50"/>
      <c r="BM22" s="50"/>
      <c r="BN22" s="50"/>
      <c r="BO22" s="50"/>
      <c r="BP22" s="50" t="s">
        <v>16</v>
      </c>
      <c r="BQ22" s="50" t="s">
        <v>16</v>
      </c>
      <c r="BR22" s="89"/>
      <c r="BS22" s="88"/>
      <c r="BT22" s="123"/>
    </row>
    <row r="23" spans="1:72" s="125" customFormat="1" ht="32.25" customHeight="1" x14ac:dyDescent="0.2">
      <c r="A23" s="90">
        <v>11</v>
      </c>
      <c r="B23" s="126" t="s">
        <v>187</v>
      </c>
      <c r="C23" s="129" t="s">
        <v>188</v>
      </c>
      <c r="D23" s="129" t="s">
        <v>189</v>
      </c>
      <c r="E23" s="56" t="s">
        <v>190</v>
      </c>
      <c r="F23" s="16" t="s">
        <v>224</v>
      </c>
      <c r="G23" s="103" t="s">
        <v>147</v>
      </c>
      <c r="H23" s="44" t="s">
        <v>279</v>
      </c>
      <c r="I23" s="44"/>
      <c r="J23" s="187" t="s">
        <v>280</v>
      </c>
      <c r="K23" s="44" t="s">
        <v>281</v>
      </c>
      <c r="L23" s="103" t="s">
        <v>146</v>
      </c>
      <c r="M23" s="44"/>
      <c r="N23" s="102" t="s">
        <v>282</v>
      </c>
      <c r="O23" s="44"/>
      <c r="P23" s="44"/>
      <c r="Q23" s="130"/>
      <c r="R23" s="103" t="s">
        <v>143</v>
      </c>
      <c r="S23" s="103" t="s">
        <v>285</v>
      </c>
      <c r="T23" s="44"/>
      <c r="U23" s="44"/>
      <c r="V23" s="44" t="s">
        <v>283</v>
      </c>
      <c r="W23" s="183" t="s">
        <v>277</v>
      </c>
      <c r="X23" s="39" t="s">
        <v>284</v>
      </c>
      <c r="Y23" s="39"/>
      <c r="Z23" s="39"/>
      <c r="AA23" s="39"/>
      <c r="AB23" s="39"/>
      <c r="AC23" s="39"/>
      <c r="AD23" s="39"/>
      <c r="AE23" s="39"/>
      <c r="AF23" s="39"/>
      <c r="AG23" s="39"/>
      <c r="AH23" s="50"/>
      <c r="AI23" s="50"/>
      <c r="AJ23" s="50"/>
      <c r="AK23" s="50"/>
      <c r="AL23" s="50"/>
      <c r="AM23" s="50"/>
      <c r="AN23" s="50"/>
      <c r="AO23" s="50"/>
      <c r="AP23" s="50"/>
      <c r="AQ23" s="50"/>
      <c r="AR23" s="50"/>
      <c r="AS23" s="39"/>
      <c r="AT23" s="50"/>
      <c r="AU23" s="50"/>
      <c r="AV23" s="50"/>
      <c r="AW23" s="50"/>
      <c r="AX23" s="50"/>
      <c r="AY23" s="50"/>
      <c r="AZ23" s="50"/>
      <c r="BA23" s="50"/>
      <c r="BB23" s="50"/>
      <c r="BC23" s="50"/>
      <c r="BD23" s="50"/>
      <c r="BE23" s="50"/>
      <c r="BF23" s="50"/>
      <c r="BG23" s="50"/>
      <c r="BH23" s="50"/>
      <c r="BI23" s="50"/>
      <c r="BJ23" s="50"/>
      <c r="BK23" s="50"/>
      <c r="BL23" s="50"/>
      <c r="BM23" s="50"/>
      <c r="BN23" s="50"/>
      <c r="BO23" s="50"/>
      <c r="BP23" s="50" t="s">
        <v>16</v>
      </c>
      <c r="BQ23" s="50" t="s">
        <v>16</v>
      </c>
      <c r="BR23" s="89"/>
      <c r="BS23" s="88"/>
      <c r="BT23" s="123"/>
    </row>
    <row r="24" spans="1:72" s="125" customFormat="1" ht="44.25" customHeight="1" x14ac:dyDescent="0.2">
      <c r="A24" s="90">
        <v>12</v>
      </c>
      <c r="B24" s="126" t="s">
        <v>191</v>
      </c>
      <c r="C24" s="129" t="s">
        <v>192</v>
      </c>
      <c r="D24" s="129" t="s">
        <v>193</v>
      </c>
      <c r="E24" s="56" t="s">
        <v>194</v>
      </c>
      <c r="F24" s="16" t="s">
        <v>225</v>
      </c>
      <c r="G24" s="102" t="s">
        <v>273</v>
      </c>
      <c r="H24" s="44" t="s">
        <v>274</v>
      </c>
      <c r="I24" s="44"/>
      <c r="J24" s="102" t="s">
        <v>275</v>
      </c>
      <c r="K24" s="102" t="s">
        <v>276</v>
      </c>
      <c r="L24" s="44"/>
      <c r="M24" s="44"/>
      <c r="N24" s="44"/>
      <c r="O24" s="44"/>
      <c r="P24" s="44"/>
      <c r="Q24" s="130"/>
      <c r="R24" s="44"/>
      <c r="S24" s="187" t="s">
        <v>277</v>
      </c>
      <c r="T24" s="44"/>
      <c r="U24" s="44"/>
      <c r="V24" s="102" t="s">
        <v>278</v>
      </c>
      <c r="W24" s="102" t="s">
        <v>278</v>
      </c>
      <c r="X24" s="102" t="s">
        <v>278</v>
      </c>
      <c r="Y24" s="39"/>
      <c r="Z24" s="39"/>
      <c r="AA24" s="39"/>
      <c r="AB24" s="39"/>
      <c r="AC24" s="39"/>
      <c r="AD24" s="39"/>
      <c r="AE24" s="39"/>
      <c r="AF24" s="39"/>
      <c r="AG24" s="39"/>
      <c r="AH24" s="50"/>
      <c r="AI24" s="50"/>
      <c r="AJ24" s="50"/>
      <c r="AK24" s="50"/>
      <c r="AL24" s="50"/>
      <c r="AM24" s="50"/>
      <c r="AN24" s="50"/>
      <c r="AO24" s="50"/>
      <c r="AP24" s="50"/>
      <c r="AQ24" s="50"/>
      <c r="AR24" s="50"/>
      <c r="AS24" s="39"/>
      <c r="AT24" s="50"/>
      <c r="AU24" s="50"/>
      <c r="AV24" s="50"/>
      <c r="AW24" s="50"/>
      <c r="AX24" s="50"/>
      <c r="AY24" s="50"/>
      <c r="AZ24" s="50"/>
      <c r="BA24" s="50"/>
      <c r="BB24" s="50"/>
      <c r="BC24" s="50"/>
      <c r="BD24" s="50"/>
      <c r="BE24" s="50"/>
      <c r="BF24" s="50"/>
      <c r="BG24" s="50"/>
      <c r="BH24" s="50"/>
      <c r="BI24" s="50"/>
      <c r="BJ24" s="50"/>
      <c r="BK24" s="50"/>
      <c r="BL24" s="50"/>
      <c r="BM24" s="50"/>
      <c r="BN24" s="50"/>
      <c r="BO24" s="50"/>
      <c r="BP24" s="50" t="s">
        <v>16</v>
      </c>
      <c r="BQ24" s="50" t="s">
        <v>16</v>
      </c>
      <c r="BR24" s="89"/>
      <c r="BS24" s="88"/>
      <c r="BT24" s="123"/>
    </row>
    <row r="25" spans="1:72" s="125" customFormat="1" ht="24" x14ac:dyDescent="0.2">
      <c r="A25" s="90">
        <v>13</v>
      </c>
      <c r="B25" s="126" t="s">
        <v>195</v>
      </c>
      <c r="C25" s="129" t="s">
        <v>196</v>
      </c>
      <c r="D25" s="129" t="s">
        <v>197</v>
      </c>
      <c r="E25" s="56" t="s">
        <v>198</v>
      </c>
      <c r="F25" s="16" t="s">
        <v>226</v>
      </c>
      <c r="G25" s="187" t="s">
        <v>256</v>
      </c>
      <c r="H25" s="187" t="s">
        <v>253</v>
      </c>
      <c r="I25" s="187" t="s">
        <v>252</v>
      </c>
      <c r="J25" s="187" t="s">
        <v>252</v>
      </c>
      <c r="K25" s="187" t="s">
        <v>256</v>
      </c>
      <c r="L25" s="187" t="s">
        <v>252</v>
      </c>
      <c r="M25" s="44"/>
      <c r="N25" s="44"/>
      <c r="O25" s="44"/>
      <c r="P25" s="44"/>
      <c r="Q25" s="130"/>
      <c r="R25" s="187" t="s">
        <v>256</v>
      </c>
      <c r="S25" s="187" t="s">
        <v>256</v>
      </c>
      <c r="T25" s="187" t="s">
        <v>253</v>
      </c>
      <c r="U25" s="44"/>
      <c r="V25" s="187" t="s">
        <v>256</v>
      </c>
      <c r="W25" s="183" t="s">
        <v>252</v>
      </c>
      <c r="X25" s="183" t="s">
        <v>253</v>
      </c>
      <c r="Y25" s="39"/>
      <c r="Z25" s="39"/>
      <c r="AA25" s="39"/>
      <c r="AB25" s="39"/>
      <c r="AC25" s="39"/>
      <c r="AD25" s="39"/>
      <c r="AE25" s="39"/>
      <c r="AF25" s="39"/>
      <c r="AG25" s="39"/>
      <c r="AH25" s="50"/>
      <c r="AI25" s="50"/>
      <c r="AJ25" s="50"/>
      <c r="AK25" s="50"/>
      <c r="AL25" s="50"/>
      <c r="AM25" s="50"/>
      <c r="AN25" s="50"/>
      <c r="AO25" s="50"/>
      <c r="AP25" s="50"/>
      <c r="AQ25" s="50"/>
      <c r="AR25" s="50"/>
      <c r="AS25" s="39"/>
      <c r="AT25" s="50"/>
      <c r="AU25" s="50"/>
      <c r="AV25" s="50"/>
      <c r="AW25" s="50"/>
      <c r="AX25" s="50"/>
      <c r="AY25" s="50"/>
      <c r="AZ25" s="50"/>
      <c r="BA25" s="50"/>
      <c r="BB25" s="50"/>
      <c r="BC25" s="50"/>
      <c r="BD25" s="50"/>
      <c r="BE25" s="50"/>
      <c r="BF25" s="50"/>
      <c r="BG25" s="50"/>
      <c r="BH25" s="50"/>
      <c r="BI25" s="50"/>
      <c r="BJ25" s="50"/>
      <c r="BK25" s="50"/>
      <c r="BL25" s="50"/>
      <c r="BM25" s="50"/>
      <c r="BN25" s="50"/>
      <c r="BO25" s="50"/>
      <c r="BP25" s="50" t="s">
        <v>16</v>
      </c>
      <c r="BQ25" s="50" t="s">
        <v>16</v>
      </c>
      <c r="BR25" s="89"/>
      <c r="BS25" s="88"/>
      <c r="BT25" s="123"/>
    </row>
    <row r="26" spans="1:72" s="184" customFormat="1" ht="32.25" customHeight="1" x14ac:dyDescent="0.2">
      <c r="A26" s="90">
        <v>14</v>
      </c>
      <c r="B26" s="126" t="s">
        <v>199</v>
      </c>
      <c r="C26" s="180" t="s">
        <v>91</v>
      </c>
      <c r="D26" s="180" t="s">
        <v>92</v>
      </c>
      <c r="E26" s="182" t="s">
        <v>93</v>
      </c>
      <c r="F26" s="49" t="s">
        <v>94</v>
      </c>
      <c r="G26" s="44" t="s">
        <v>112</v>
      </c>
      <c r="H26" s="51" t="s">
        <v>112</v>
      </c>
      <c r="I26" s="51" t="s">
        <v>113</v>
      </c>
      <c r="J26" s="51" t="s">
        <v>114</v>
      </c>
      <c r="K26" s="51" t="s">
        <v>115</v>
      </c>
      <c r="L26" s="188" t="s">
        <v>116</v>
      </c>
      <c r="M26" s="51"/>
      <c r="N26" s="51" t="s">
        <v>117</v>
      </c>
      <c r="O26" s="51"/>
      <c r="P26" s="51"/>
      <c r="Q26" s="125"/>
      <c r="R26" s="51" t="s">
        <v>118</v>
      </c>
      <c r="S26" s="51" t="s">
        <v>119</v>
      </c>
      <c r="T26" s="51"/>
      <c r="U26" s="51"/>
      <c r="V26" s="44" t="s">
        <v>120</v>
      </c>
      <c r="W26" s="39" t="s">
        <v>121</v>
      </c>
      <c r="X26" s="39" t="s">
        <v>120</v>
      </c>
      <c r="Y26" s="29"/>
      <c r="Z26" s="29"/>
      <c r="AA26" s="29"/>
      <c r="AB26" s="29"/>
      <c r="AC26" s="29"/>
      <c r="AD26" s="29"/>
      <c r="AE26" s="29"/>
      <c r="AF26" s="29"/>
      <c r="AG26" s="29"/>
      <c r="AH26" s="25"/>
      <c r="AI26" s="25"/>
      <c r="AJ26" s="25"/>
      <c r="AK26" s="25"/>
      <c r="AL26" s="25"/>
      <c r="AM26" s="25"/>
      <c r="AN26" s="25"/>
      <c r="AO26" s="25"/>
      <c r="AP26" s="25"/>
      <c r="AQ26" s="25"/>
      <c r="AR26" s="25"/>
      <c r="AS26" s="29"/>
      <c r="AT26" s="25"/>
      <c r="AU26" s="25"/>
      <c r="AV26" s="25"/>
      <c r="AW26" s="25"/>
      <c r="AX26" s="25"/>
      <c r="AY26" s="25"/>
      <c r="AZ26" s="25"/>
      <c r="BA26" s="25"/>
      <c r="BB26" s="25"/>
      <c r="BC26" s="25"/>
      <c r="BD26" s="25"/>
      <c r="BE26" s="25"/>
      <c r="BF26" s="25"/>
      <c r="BG26" s="25"/>
      <c r="BH26" s="25"/>
      <c r="BI26" s="25"/>
      <c r="BJ26" s="25"/>
      <c r="BK26" s="25"/>
      <c r="BL26" s="25"/>
      <c r="BM26" s="25"/>
      <c r="BN26" s="25"/>
      <c r="BO26" s="25"/>
      <c r="BP26" s="25" t="s">
        <v>16</v>
      </c>
      <c r="BQ26" s="25" t="s">
        <v>16</v>
      </c>
      <c r="BR26" s="36"/>
      <c r="BS26" s="38"/>
      <c r="BT26" s="30"/>
    </row>
    <row r="27" spans="1:72" s="125" customFormat="1" ht="44.25" customHeight="1" x14ac:dyDescent="0.2">
      <c r="A27" s="90">
        <v>15</v>
      </c>
      <c r="B27" s="126" t="s">
        <v>201</v>
      </c>
      <c r="C27" s="129" t="s">
        <v>202</v>
      </c>
      <c r="D27" s="129" t="s">
        <v>203</v>
      </c>
      <c r="E27" s="56" t="s">
        <v>204</v>
      </c>
      <c r="F27" s="57" t="s">
        <v>227</v>
      </c>
      <c r="G27" s="44" t="s">
        <v>264</v>
      </c>
      <c r="H27" s="187" t="s">
        <v>265</v>
      </c>
      <c r="I27" s="44"/>
      <c r="J27" s="187" t="s">
        <v>265</v>
      </c>
      <c r="K27" s="187" t="s">
        <v>266</v>
      </c>
      <c r="L27" s="44" t="s">
        <v>267</v>
      </c>
      <c r="M27" s="44"/>
      <c r="N27" s="44"/>
      <c r="O27" s="44"/>
      <c r="P27" s="44"/>
      <c r="Q27" s="130"/>
      <c r="R27" s="44" t="s">
        <v>268</v>
      </c>
      <c r="S27" s="187" t="s">
        <v>265</v>
      </c>
      <c r="T27" s="44" t="s">
        <v>269</v>
      </c>
      <c r="U27" s="44"/>
      <c r="V27" s="44" t="s">
        <v>270</v>
      </c>
      <c r="W27" s="39" t="s">
        <v>271</v>
      </c>
      <c r="X27" s="39" t="s">
        <v>272</v>
      </c>
      <c r="Y27" s="39"/>
      <c r="Z27" s="39"/>
      <c r="AA27" s="39"/>
      <c r="AB27" s="39"/>
      <c r="AC27" s="39"/>
      <c r="AD27" s="39"/>
      <c r="AE27" s="39"/>
      <c r="AF27" s="39"/>
      <c r="AG27" s="39"/>
      <c r="AH27" s="50"/>
      <c r="AI27" s="50"/>
      <c r="AJ27" s="50"/>
      <c r="AK27" s="50"/>
      <c r="AL27" s="50"/>
      <c r="AM27" s="50"/>
      <c r="AN27" s="50"/>
      <c r="AO27" s="50"/>
      <c r="AP27" s="50"/>
      <c r="AQ27" s="50"/>
      <c r="AR27" s="50"/>
      <c r="AS27" s="39"/>
      <c r="AT27" s="50"/>
      <c r="AU27" s="50"/>
      <c r="AV27" s="50"/>
      <c r="AW27" s="50"/>
      <c r="AX27" s="50"/>
      <c r="AY27" s="50"/>
      <c r="AZ27" s="50"/>
      <c r="BA27" s="50"/>
      <c r="BB27" s="50"/>
      <c r="BC27" s="50"/>
      <c r="BD27" s="50"/>
      <c r="BE27" s="50"/>
      <c r="BF27" s="50"/>
      <c r="BG27" s="50"/>
      <c r="BH27" s="50"/>
      <c r="BI27" s="50"/>
      <c r="BJ27" s="50"/>
      <c r="BK27" s="50"/>
      <c r="BL27" s="50"/>
      <c r="BM27" s="50"/>
      <c r="BN27" s="50"/>
      <c r="BO27" s="50"/>
      <c r="BP27" s="50" t="s">
        <v>16</v>
      </c>
      <c r="BQ27" s="50" t="s">
        <v>16</v>
      </c>
      <c r="BR27" s="48"/>
      <c r="BS27" s="88"/>
      <c r="BT27" s="123"/>
    </row>
    <row r="28" spans="1:72" s="125" customFormat="1" ht="24" x14ac:dyDescent="0.2">
      <c r="A28" s="90">
        <v>16</v>
      </c>
      <c r="B28" s="126" t="s">
        <v>205</v>
      </c>
      <c r="C28" s="129" t="s">
        <v>206</v>
      </c>
      <c r="D28" s="129" t="s">
        <v>207</v>
      </c>
      <c r="E28" s="56" t="s">
        <v>208</v>
      </c>
      <c r="F28" s="16" t="s">
        <v>228</v>
      </c>
      <c r="G28" s="44" t="s">
        <v>245</v>
      </c>
      <c r="H28" s="44" t="s">
        <v>257</v>
      </c>
      <c r="I28" s="44" t="s">
        <v>258</v>
      </c>
      <c r="J28" s="44" t="s">
        <v>259</v>
      </c>
      <c r="K28" s="187" t="s">
        <v>248</v>
      </c>
      <c r="L28" s="187" t="s">
        <v>248</v>
      </c>
      <c r="M28" s="44"/>
      <c r="N28" s="44" t="s">
        <v>260</v>
      </c>
      <c r="O28" s="44"/>
      <c r="P28" s="44"/>
      <c r="Q28" s="130"/>
      <c r="R28" s="44" t="s">
        <v>117</v>
      </c>
      <c r="S28" s="187" t="s">
        <v>116</v>
      </c>
      <c r="T28" s="44"/>
      <c r="U28" s="44"/>
      <c r="V28" s="44" t="s">
        <v>258</v>
      </c>
      <c r="W28" s="39" t="s">
        <v>261</v>
      </c>
      <c r="X28" s="39" t="s">
        <v>254</v>
      </c>
      <c r="Y28" s="39"/>
      <c r="Z28" s="39"/>
      <c r="AA28" s="39"/>
      <c r="AB28" s="91"/>
      <c r="AC28" s="39"/>
      <c r="AD28" s="39"/>
      <c r="AE28" s="39"/>
      <c r="AF28" s="39"/>
      <c r="AG28" s="39"/>
      <c r="AH28" s="50"/>
      <c r="AI28" s="50"/>
      <c r="AJ28" s="50"/>
      <c r="AK28" s="50"/>
      <c r="AL28" s="50"/>
      <c r="AM28" s="50"/>
      <c r="AN28" s="50"/>
      <c r="AO28" s="50"/>
      <c r="AP28" s="50"/>
      <c r="AQ28" s="50"/>
      <c r="AR28" s="50"/>
      <c r="AS28" s="39"/>
      <c r="AT28" s="50"/>
      <c r="AU28" s="50"/>
      <c r="AV28" s="50"/>
      <c r="AW28" s="50"/>
      <c r="AX28" s="50"/>
      <c r="AY28" s="50"/>
      <c r="AZ28" s="50"/>
      <c r="BA28" s="50"/>
      <c r="BB28" s="50"/>
      <c r="BC28" s="50"/>
      <c r="BD28" s="50"/>
      <c r="BE28" s="50"/>
      <c r="BF28" s="50"/>
      <c r="BG28" s="50"/>
      <c r="BH28" s="50"/>
      <c r="BI28" s="50"/>
      <c r="BJ28" s="50"/>
      <c r="BK28" s="50"/>
      <c r="BL28" s="50"/>
      <c r="BM28" s="50"/>
      <c r="BN28" s="50"/>
      <c r="BO28" s="50"/>
      <c r="BP28" s="50" t="s">
        <v>16</v>
      </c>
      <c r="BQ28" s="50" t="s">
        <v>16</v>
      </c>
      <c r="BR28" s="48"/>
      <c r="BS28" s="88"/>
      <c r="BT28" s="123"/>
    </row>
    <row r="29" spans="1:72" s="125" customFormat="1" ht="24" x14ac:dyDescent="0.2">
      <c r="A29" s="90">
        <v>17</v>
      </c>
      <c r="B29" s="126" t="s">
        <v>209</v>
      </c>
      <c r="C29" s="129" t="s">
        <v>84</v>
      </c>
      <c r="D29" s="129" t="s">
        <v>210</v>
      </c>
      <c r="E29" s="56" t="s">
        <v>211</v>
      </c>
      <c r="F29" s="57" t="s">
        <v>229</v>
      </c>
      <c r="G29" s="44"/>
      <c r="H29" s="44" t="s">
        <v>262</v>
      </c>
      <c r="I29" s="44"/>
      <c r="J29" s="189" t="s">
        <v>262</v>
      </c>
      <c r="K29" s="187" t="s">
        <v>262</v>
      </c>
      <c r="L29" s="187" t="s">
        <v>262</v>
      </c>
      <c r="M29" s="44"/>
      <c r="N29" s="44"/>
      <c r="O29" s="44"/>
      <c r="P29" s="44"/>
      <c r="Q29" s="130"/>
      <c r="R29" s="44"/>
      <c r="S29" s="187" t="s">
        <v>262</v>
      </c>
      <c r="T29" s="44"/>
      <c r="U29" s="44"/>
      <c r="V29" s="187" t="s">
        <v>263</v>
      </c>
      <c r="W29" s="183" t="s">
        <v>263</v>
      </c>
      <c r="X29" s="39"/>
      <c r="Y29" s="39"/>
      <c r="Z29" s="39"/>
      <c r="AA29" s="39"/>
      <c r="AB29" s="91"/>
      <c r="AC29" s="39"/>
      <c r="AD29" s="39"/>
      <c r="AE29" s="39"/>
      <c r="AF29" s="39"/>
      <c r="AG29" s="39"/>
      <c r="AH29" s="50"/>
      <c r="AI29" s="50"/>
      <c r="AJ29" s="50"/>
      <c r="AK29" s="50"/>
      <c r="AL29" s="50"/>
      <c r="AM29" s="50"/>
      <c r="AN29" s="50"/>
      <c r="AO29" s="50"/>
      <c r="AP29" s="50"/>
      <c r="AQ29" s="50"/>
      <c r="AR29" s="50"/>
      <c r="AS29" s="39"/>
      <c r="AT29" s="50"/>
      <c r="AU29" s="50"/>
      <c r="AV29" s="50"/>
      <c r="AW29" s="50"/>
      <c r="AX29" s="50"/>
      <c r="AY29" s="50"/>
      <c r="AZ29" s="50"/>
      <c r="BA29" s="50"/>
      <c r="BB29" s="50"/>
      <c r="BC29" s="50"/>
      <c r="BD29" s="50"/>
      <c r="BE29" s="50"/>
      <c r="BF29" s="50"/>
      <c r="BG29" s="50"/>
      <c r="BH29" s="50"/>
      <c r="BI29" s="50"/>
      <c r="BJ29" s="50"/>
      <c r="BK29" s="50"/>
      <c r="BL29" s="50"/>
      <c r="BM29" s="50"/>
      <c r="BN29" s="50"/>
      <c r="BO29" s="50"/>
      <c r="BP29" s="50" t="s">
        <v>16</v>
      </c>
      <c r="BQ29" s="50" t="s">
        <v>16</v>
      </c>
      <c r="BR29" s="48"/>
      <c r="BS29" s="88"/>
      <c r="BT29" s="123"/>
    </row>
    <row r="30" spans="1:72" s="184" customFormat="1" ht="45" customHeight="1" x14ac:dyDescent="0.2">
      <c r="A30" s="90">
        <v>18</v>
      </c>
      <c r="B30" s="126" t="s">
        <v>212</v>
      </c>
      <c r="C30" s="190" t="s">
        <v>88</v>
      </c>
      <c r="D30" s="191" t="s">
        <v>76</v>
      </c>
      <c r="E30" s="182" t="s">
        <v>89</v>
      </c>
      <c r="F30" s="27" t="s">
        <v>90</v>
      </c>
      <c r="G30" s="39" t="s">
        <v>143</v>
      </c>
      <c r="H30" s="183" t="s">
        <v>144</v>
      </c>
      <c r="I30" s="39"/>
      <c r="J30" s="183" t="s">
        <v>145</v>
      </c>
      <c r="K30" s="183" t="s">
        <v>144</v>
      </c>
      <c r="L30" s="132" t="s">
        <v>311</v>
      </c>
      <c r="M30" s="29"/>
      <c r="N30" s="29"/>
      <c r="O30" s="29"/>
      <c r="P30" s="29"/>
      <c r="Q30" s="29"/>
      <c r="R30" s="132" t="s">
        <v>312</v>
      </c>
      <c r="S30" s="132" t="s">
        <v>313</v>
      </c>
      <c r="T30" s="29"/>
      <c r="U30" s="29"/>
      <c r="V30" s="29" t="s">
        <v>146</v>
      </c>
      <c r="W30" s="133" t="s">
        <v>312</v>
      </c>
      <c r="X30" s="132" t="s">
        <v>314</v>
      </c>
      <c r="Y30" s="29"/>
      <c r="Z30" s="29"/>
      <c r="AA30" s="29"/>
      <c r="AB30" s="29"/>
      <c r="AC30" s="29"/>
      <c r="AD30" s="29"/>
      <c r="AE30" s="29"/>
      <c r="AF30" s="29"/>
      <c r="AG30" s="29"/>
      <c r="AH30" s="25"/>
      <c r="AI30" s="25"/>
      <c r="AJ30" s="25"/>
      <c r="AK30" s="25"/>
      <c r="AL30" s="25"/>
      <c r="AM30" s="25"/>
      <c r="AN30" s="25"/>
      <c r="AO30" s="25"/>
      <c r="AP30" s="25"/>
      <c r="AQ30" s="25"/>
      <c r="AR30" s="25"/>
      <c r="AS30" s="29"/>
      <c r="AT30" s="25"/>
      <c r="AU30" s="25"/>
      <c r="AV30" s="25"/>
      <c r="AW30" s="25"/>
      <c r="AX30" s="25"/>
      <c r="AY30" s="25"/>
      <c r="AZ30" s="25"/>
      <c r="BA30" s="25"/>
      <c r="BB30" s="25"/>
      <c r="BC30" s="25"/>
      <c r="BD30" s="25"/>
      <c r="BE30" s="25"/>
      <c r="BF30" s="25"/>
      <c r="BG30" s="25"/>
      <c r="BH30" s="25"/>
      <c r="BI30" s="25"/>
      <c r="BJ30" s="25"/>
      <c r="BK30" s="25"/>
      <c r="BL30" s="25"/>
      <c r="BM30" s="25"/>
      <c r="BN30" s="25"/>
      <c r="BO30" s="25"/>
      <c r="BP30" s="25" t="s">
        <v>16</v>
      </c>
      <c r="BQ30" s="25" t="s">
        <v>16</v>
      </c>
      <c r="BR30" s="48"/>
      <c r="BS30" s="88"/>
      <c r="BT30" s="123"/>
    </row>
    <row r="31" spans="1:72" s="184" customFormat="1" ht="44.25" customHeight="1" x14ac:dyDescent="0.2">
      <c r="A31" s="37">
        <v>19</v>
      </c>
      <c r="B31" s="134" t="s">
        <v>315</v>
      </c>
      <c r="C31" s="180" t="s">
        <v>97</v>
      </c>
      <c r="D31" s="180" t="s">
        <v>98</v>
      </c>
      <c r="E31" s="192">
        <v>34014</v>
      </c>
      <c r="F31" s="49" t="s">
        <v>99</v>
      </c>
      <c r="G31" s="187" t="s">
        <v>148</v>
      </c>
      <c r="H31" s="187" t="s">
        <v>148</v>
      </c>
      <c r="I31" s="44"/>
      <c r="J31" s="187" t="s">
        <v>142</v>
      </c>
      <c r="K31" s="187" t="s">
        <v>141</v>
      </c>
      <c r="L31" s="187" t="s">
        <v>149</v>
      </c>
      <c r="M31" s="44"/>
      <c r="N31" s="187" t="s">
        <v>141</v>
      </c>
      <c r="O31" s="44"/>
      <c r="P31" s="44"/>
      <c r="Q31" s="130"/>
      <c r="R31" s="44"/>
      <c r="S31" s="187" t="s">
        <v>150</v>
      </c>
      <c r="T31" s="44"/>
      <c r="U31" s="44"/>
      <c r="V31" s="187" t="s">
        <v>141</v>
      </c>
      <c r="W31" s="183" t="s">
        <v>141</v>
      </c>
      <c r="X31" s="183" t="s">
        <v>141</v>
      </c>
      <c r="Y31" s="29"/>
      <c r="Z31" s="29"/>
      <c r="AA31" s="29"/>
      <c r="AB31" s="29"/>
      <c r="AC31" s="29"/>
      <c r="AD31" s="29"/>
      <c r="AE31" s="29"/>
      <c r="AF31" s="29"/>
      <c r="AG31" s="29"/>
      <c r="AH31" s="25"/>
      <c r="AI31" s="25"/>
      <c r="AJ31" s="25"/>
      <c r="AK31" s="25"/>
      <c r="AL31" s="25"/>
      <c r="AM31" s="25"/>
      <c r="AN31" s="25"/>
      <c r="AO31" s="25"/>
      <c r="AP31" s="25"/>
      <c r="AQ31" s="25"/>
      <c r="AR31" s="25"/>
      <c r="AS31" s="29"/>
      <c r="AT31" s="25"/>
      <c r="AU31" s="25"/>
      <c r="AV31" s="25"/>
      <c r="AW31" s="25"/>
      <c r="AX31" s="25"/>
      <c r="AY31" s="25"/>
      <c r="AZ31" s="25"/>
      <c r="BA31" s="25"/>
      <c r="BB31" s="25"/>
      <c r="BC31" s="25"/>
      <c r="BD31" s="25"/>
      <c r="BE31" s="25"/>
      <c r="BF31" s="25"/>
      <c r="BG31" s="25"/>
      <c r="BH31" s="25"/>
      <c r="BI31" s="25"/>
      <c r="BJ31" s="25"/>
      <c r="BK31" s="25"/>
      <c r="BL31" s="25"/>
      <c r="BM31" s="25"/>
      <c r="BN31" s="25"/>
      <c r="BO31" s="25"/>
      <c r="BP31" s="31" t="s">
        <v>16</v>
      </c>
      <c r="BQ31" s="31" t="s">
        <v>16</v>
      </c>
      <c r="BR31" s="48"/>
      <c r="BS31" s="88"/>
      <c r="BT31" s="123"/>
    </row>
    <row r="32" spans="1:72" s="194" customFormat="1" ht="44.25" customHeight="1" x14ac:dyDescent="0.2">
      <c r="A32" s="90">
        <v>20</v>
      </c>
      <c r="B32" s="134" t="s">
        <v>316</v>
      </c>
      <c r="C32" s="145" t="s">
        <v>317</v>
      </c>
      <c r="D32" s="96" t="s">
        <v>318</v>
      </c>
      <c r="E32" s="144" t="s">
        <v>319</v>
      </c>
      <c r="F32" s="49" t="s">
        <v>321</v>
      </c>
      <c r="G32" s="44"/>
      <c r="H32" s="44" t="s">
        <v>322</v>
      </c>
      <c r="I32" s="44"/>
      <c r="J32" s="44"/>
      <c r="K32" s="44"/>
      <c r="L32" s="44" t="s">
        <v>323</v>
      </c>
      <c r="M32" s="44"/>
      <c r="N32" s="44"/>
      <c r="O32" s="44"/>
      <c r="P32" s="44"/>
      <c r="Q32" s="193"/>
      <c r="R32" s="44"/>
      <c r="S32" s="44" t="s">
        <v>324</v>
      </c>
      <c r="T32" s="44"/>
      <c r="U32" s="44"/>
      <c r="V32" s="196" t="s">
        <v>327</v>
      </c>
      <c r="W32" s="103" t="s">
        <v>325</v>
      </c>
      <c r="X32" s="177" t="s">
        <v>326</v>
      </c>
      <c r="Y32" s="29"/>
      <c r="Z32" s="29"/>
      <c r="AA32" s="29"/>
      <c r="AB32" s="29"/>
      <c r="AC32" s="29"/>
      <c r="AD32" s="29"/>
      <c r="AE32" s="29"/>
      <c r="AF32" s="29"/>
      <c r="AG32" s="29"/>
      <c r="AH32" s="25"/>
      <c r="AI32" s="25"/>
      <c r="AJ32" s="25"/>
      <c r="AK32" s="25"/>
      <c r="AL32" s="25"/>
      <c r="AM32" s="25"/>
      <c r="AN32" s="25"/>
      <c r="AO32" s="25"/>
      <c r="AP32" s="25"/>
      <c r="AQ32" s="25"/>
      <c r="AR32" s="25"/>
      <c r="AS32" s="29"/>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48"/>
      <c r="BS32" s="88"/>
      <c r="BT32" s="123"/>
    </row>
    <row r="33" spans="1:72" s="20" customFormat="1" ht="15" customHeight="1" x14ac:dyDescent="0.2">
      <c r="A33" s="162" t="s">
        <v>8</v>
      </c>
      <c r="B33" s="162"/>
      <c r="C33" s="162"/>
      <c r="D33" s="162"/>
      <c r="E33" s="162"/>
      <c r="F33" s="162"/>
      <c r="G33" s="47">
        <f t="shared" ref="G33:AL33" si="0">(COUNTBLANK(G12:G31)-1)</f>
        <v>1</v>
      </c>
      <c r="H33" s="47">
        <f t="shared" si="0"/>
        <v>0</v>
      </c>
      <c r="I33" s="47">
        <f t="shared" si="0"/>
        <v>10</v>
      </c>
      <c r="J33" s="47">
        <f t="shared" si="0"/>
        <v>0</v>
      </c>
      <c r="K33" s="47">
        <f t="shared" si="0"/>
        <v>0</v>
      </c>
      <c r="L33" s="47">
        <f t="shared" si="0"/>
        <v>3</v>
      </c>
      <c r="M33" s="47">
        <f t="shared" si="0"/>
        <v>19</v>
      </c>
      <c r="N33" s="47">
        <f t="shared" si="0"/>
        <v>11</v>
      </c>
      <c r="O33" s="47">
        <f t="shared" si="0"/>
        <v>19</v>
      </c>
      <c r="P33" s="47">
        <f t="shared" si="0"/>
        <v>19</v>
      </c>
      <c r="Q33" s="47">
        <f t="shared" si="0"/>
        <v>17</v>
      </c>
      <c r="R33" s="47">
        <f t="shared" si="0"/>
        <v>9</v>
      </c>
      <c r="S33" s="47">
        <f t="shared" si="0"/>
        <v>0</v>
      </c>
      <c r="T33" s="47">
        <f t="shared" si="0"/>
        <v>15</v>
      </c>
      <c r="U33" s="47">
        <f t="shared" si="0"/>
        <v>17</v>
      </c>
      <c r="V33" s="47">
        <f t="shared" si="0"/>
        <v>0</v>
      </c>
      <c r="W33" s="47">
        <f t="shared" si="0"/>
        <v>0</v>
      </c>
      <c r="X33" s="47">
        <f t="shared" si="0"/>
        <v>2</v>
      </c>
      <c r="Y33" s="47">
        <f t="shared" si="0"/>
        <v>16</v>
      </c>
      <c r="Z33" s="47">
        <f t="shared" si="0"/>
        <v>16</v>
      </c>
      <c r="AA33" s="47">
        <f t="shared" si="0"/>
        <v>18</v>
      </c>
      <c r="AB33" s="47">
        <f t="shared" si="0"/>
        <v>16</v>
      </c>
      <c r="AC33" s="47">
        <f t="shared" si="0"/>
        <v>16</v>
      </c>
      <c r="AD33" s="47">
        <f t="shared" si="0"/>
        <v>16</v>
      </c>
      <c r="AE33" s="47">
        <f t="shared" si="0"/>
        <v>16</v>
      </c>
      <c r="AF33" s="47">
        <f t="shared" si="0"/>
        <v>19</v>
      </c>
      <c r="AG33" s="47">
        <f t="shared" si="0"/>
        <v>17</v>
      </c>
      <c r="AH33" s="47">
        <f t="shared" si="0"/>
        <v>16</v>
      </c>
      <c r="AI33" s="47">
        <f t="shared" si="0"/>
        <v>19</v>
      </c>
      <c r="AJ33" s="47">
        <f t="shared" si="0"/>
        <v>17</v>
      </c>
      <c r="AK33" s="47">
        <f t="shared" si="0"/>
        <v>16</v>
      </c>
      <c r="AL33" s="47">
        <f t="shared" si="0"/>
        <v>17</v>
      </c>
      <c r="AM33" s="47">
        <f t="shared" ref="AM33:BT33" si="1">(COUNTBLANK(AM12:AM31)-1)</f>
        <v>19</v>
      </c>
      <c r="AN33" s="47">
        <f t="shared" si="1"/>
        <v>18</v>
      </c>
      <c r="AO33" s="47">
        <f t="shared" si="1"/>
        <v>18</v>
      </c>
      <c r="AP33" s="47">
        <f t="shared" si="1"/>
        <v>19</v>
      </c>
      <c r="AQ33" s="47">
        <f t="shared" si="1"/>
        <v>16</v>
      </c>
      <c r="AR33" s="47">
        <f t="shared" si="1"/>
        <v>17</v>
      </c>
      <c r="AS33" s="47">
        <f t="shared" si="1"/>
        <v>19</v>
      </c>
      <c r="AT33" s="47">
        <f t="shared" si="1"/>
        <v>19</v>
      </c>
      <c r="AU33" s="47">
        <f t="shared" si="1"/>
        <v>19</v>
      </c>
      <c r="AV33" s="47">
        <f t="shared" si="1"/>
        <v>19</v>
      </c>
      <c r="AW33" s="47">
        <f t="shared" si="1"/>
        <v>18</v>
      </c>
      <c r="AX33" s="47">
        <f t="shared" si="1"/>
        <v>19</v>
      </c>
      <c r="AY33" s="47">
        <f t="shared" si="1"/>
        <v>19</v>
      </c>
      <c r="AZ33" s="47">
        <f t="shared" si="1"/>
        <v>19</v>
      </c>
      <c r="BA33" s="47">
        <f t="shared" si="1"/>
        <v>19</v>
      </c>
      <c r="BB33" s="47">
        <f t="shared" si="1"/>
        <v>19</v>
      </c>
      <c r="BC33" s="47">
        <f t="shared" si="1"/>
        <v>19</v>
      </c>
      <c r="BD33" s="47">
        <f t="shared" si="1"/>
        <v>19</v>
      </c>
      <c r="BE33" s="47">
        <f t="shared" si="1"/>
        <v>19</v>
      </c>
      <c r="BF33" s="47">
        <f t="shared" si="1"/>
        <v>19</v>
      </c>
      <c r="BG33" s="47">
        <f t="shared" si="1"/>
        <v>19</v>
      </c>
      <c r="BH33" s="47">
        <f t="shared" si="1"/>
        <v>19</v>
      </c>
      <c r="BI33" s="47">
        <f t="shared" si="1"/>
        <v>19</v>
      </c>
      <c r="BJ33" s="47">
        <f t="shared" si="1"/>
        <v>19</v>
      </c>
      <c r="BK33" s="47">
        <f t="shared" si="1"/>
        <v>19</v>
      </c>
      <c r="BL33" s="47">
        <f t="shared" si="1"/>
        <v>19</v>
      </c>
      <c r="BM33" s="47">
        <f t="shared" si="1"/>
        <v>19</v>
      </c>
      <c r="BN33" s="47">
        <f t="shared" si="1"/>
        <v>18</v>
      </c>
      <c r="BO33" s="47">
        <f t="shared" si="1"/>
        <v>19</v>
      </c>
      <c r="BP33" s="47">
        <f t="shared" si="1"/>
        <v>1</v>
      </c>
      <c r="BQ33" s="47">
        <f t="shared" si="1"/>
        <v>1</v>
      </c>
      <c r="BR33" s="47">
        <f t="shared" si="1"/>
        <v>19</v>
      </c>
      <c r="BS33" s="47">
        <f t="shared" si="1"/>
        <v>19</v>
      </c>
      <c r="BT33" s="47">
        <f t="shared" si="1"/>
        <v>19</v>
      </c>
    </row>
    <row r="34" spans="1:72" s="20" customFormat="1" ht="15" customHeight="1" x14ac:dyDescent="0.2">
      <c r="C34" s="97"/>
      <c r="D34" s="97"/>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2"/>
      <c r="AT34" s="12"/>
      <c r="AU34" s="12"/>
      <c r="AV34" s="12"/>
      <c r="AW34" s="12"/>
      <c r="AX34" s="12"/>
      <c r="AY34" s="12"/>
      <c r="AZ34" s="21"/>
      <c r="BA34" s="21"/>
      <c r="BB34" s="32"/>
      <c r="BC34" s="12"/>
      <c r="BD34" s="12"/>
      <c r="BE34" s="12"/>
      <c r="BF34" s="12"/>
      <c r="BG34" s="12"/>
      <c r="BH34" s="12"/>
      <c r="BI34" s="12"/>
      <c r="BJ34" s="163" t="s">
        <v>230</v>
      </c>
      <c r="BK34" s="163"/>
      <c r="BL34" s="163"/>
      <c r="BM34" s="163"/>
      <c r="BN34" s="163"/>
      <c r="BO34" s="163"/>
      <c r="BP34" s="163"/>
      <c r="BQ34" s="163"/>
      <c r="BR34" s="11"/>
      <c r="BS34" s="22"/>
      <c r="BT34" s="22"/>
    </row>
    <row r="35" spans="1:72" s="20" customFormat="1" ht="15" customHeight="1" x14ac:dyDescent="0.2">
      <c r="C35" s="97"/>
      <c r="D35" s="97"/>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22"/>
      <c r="AN35" s="22"/>
      <c r="AO35" s="22"/>
      <c r="AP35" s="23"/>
      <c r="AQ35" s="23"/>
      <c r="AR35" s="23"/>
      <c r="AS35" s="23"/>
      <c r="AT35" s="23"/>
      <c r="AU35" s="23"/>
      <c r="AV35" s="23"/>
      <c r="AW35" s="24"/>
      <c r="AX35" s="24"/>
      <c r="AY35" s="24"/>
      <c r="AZ35" s="24"/>
      <c r="BA35" s="24"/>
      <c r="BB35" s="11"/>
      <c r="BC35" s="24"/>
      <c r="BD35" s="170" t="s">
        <v>95</v>
      </c>
      <c r="BE35" s="170"/>
      <c r="BF35" s="170"/>
      <c r="BG35" s="170"/>
      <c r="BH35" s="24"/>
      <c r="BI35" s="24"/>
      <c r="BJ35" s="24"/>
      <c r="BK35" s="11"/>
      <c r="BL35" s="23"/>
      <c r="BM35" s="11"/>
      <c r="BN35" s="11"/>
      <c r="BO35" s="11"/>
      <c r="BP35" s="171" t="s">
        <v>73</v>
      </c>
      <c r="BQ35" s="171"/>
      <c r="BR35" s="171"/>
      <c r="BS35" s="171"/>
      <c r="BT35" s="171"/>
    </row>
    <row r="36" spans="1:72" s="20" customFormat="1" ht="15" customHeight="1" x14ac:dyDescent="0.2">
      <c r="C36" s="97"/>
      <c r="D36" s="97"/>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22"/>
      <c r="AN36" s="22"/>
      <c r="AO36" s="22"/>
      <c r="AP36" s="23"/>
      <c r="AQ36" s="23"/>
      <c r="AR36" s="23"/>
      <c r="AS36" s="23"/>
      <c r="AT36" s="23"/>
      <c r="AU36" s="23"/>
      <c r="AV36" s="23"/>
      <c r="AW36" s="24"/>
      <c r="AX36" s="24"/>
      <c r="AY36" s="24"/>
      <c r="AZ36" s="24"/>
      <c r="BA36" s="24"/>
      <c r="BB36" s="11"/>
      <c r="BC36" s="23"/>
      <c r="BD36" s="23"/>
      <c r="BE36" s="23"/>
      <c r="BF36" s="23"/>
      <c r="BG36" s="23"/>
      <c r="BH36" s="23"/>
      <c r="BI36" s="23"/>
      <c r="BJ36" s="11"/>
      <c r="BK36" s="11"/>
      <c r="BL36" s="23"/>
      <c r="BM36" s="11"/>
      <c r="BN36" s="11"/>
      <c r="BO36" s="11"/>
      <c r="BP36" s="11"/>
      <c r="BQ36" s="11"/>
      <c r="BR36" s="11"/>
      <c r="BS36" s="23"/>
      <c r="BT36" s="22"/>
    </row>
    <row r="37" spans="1:72" s="20" customFormat="1" ht="15" customHeight="1" x14ac:dyDescent="0.2">
      <c r="C37" s="97"/>
      <c r="D37" s="97"/>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22"/>
      <c r="AN37" s="22"/>
      <c r="AO37" s="22"/>
      <c r="AP37" s="23"/>
      <c r="AQ37" s="23"/>
      <c r="AR37" s="23"/>
      <c r="AS37" s="23"/>
      <c r="AT37" s="23"/>
      <c r="AU37" s="23"/>
      <c r="AV37" s="23"/>
      <c r="AW37" s="24"/>
      <c r="AX37" s="24"/>
      <c r="AY37" s="24"/>
      <c r="AZ37" s="24"/>
      <c r="BA37" s="24"/>
      <c r="BB37" s="11"/>
      <c r="BC37" s="23"/>
      <c r="BD37" s="23"/>
      <c r="BE37" s="23"/>
      <c r="BF37" s="23"/>
      <c r="BG37" s="23"/>
      <c r="BH37" s="23"/>
      <c r="BI37" s="23"/>
      <c r="BJ37" s="11"/>
      <c r="BK37" s="11"/>
      <c r="BL37" s="23"/>
      <c r="BM37" s="11"/>
      <c r="BN37" s="11"/>
      <c r="BO37" s="11"/>
      <c r="BP37" s="11"/>
      <c r="BQ37" s="11"/>
      <c r="BR37" s="11"/>
      <c r="BS37" s="23"/>
      <c r="BT37" s="22"/>
    </row>
    <row r="38" spans="1:72" s="20" customFormat="1" ht="15" customHeight="1" x14ac:dyDescent="0.2">
      <c r="C38" s="97"/>
      <c r="D38" s="97"/>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2"/>
      <c r="AQ38" s="12"/>
      <c r="AR38" s="12"/>
      <c r="AS38" s="12"/>
      <c r="AT38" s="12"/>
      <c r="AU38" s="12"/>
      <c r="AV38" s="12"/>
      <c r="AW38" s="12"/>
      <c r="AX38" s="12"/>
      <c r="AY38" s="12"/>
      <c r="AZ38" s="12"/>
      <c r="BA38" s="12"/>
      <c r="BB38" s="11"/>
      <c r="BC38" s="24"/>
      <c r="BD38" s="24"/>
      <c r="BE38" s="24"/>
      <c r="BF38" s="24"/>
      <c r="BG38" s="24"/>
      <c r="BH38" s="24"/>
      <c r="BI38" s="24"/>
      <c r="BJ38" s="11"/>
      <c r="BK38" s="11"/>
      <c r="BL38" s="23"/>
      <c r="BM38" s="11"/>
      <c r="BN38" s="11"/>
      <c r="BO38" s="11"/>
      <c r="BP38" s="11"/>
      <c r="BQ38" s="11"/>
      <c r="BR38" s="11"/>
      <c r="BS38" s="23"/>
      <c r="BT38" s="22"/>
    </row>
    <row r="39" spans="1:72" ht="16.5" customHeight="1" x14ac:dyDescent="0.2">
      <c r="BD39" s="171" t="s">
        <v>96</v>
      </c>
      <c r="BE39" s="171"/>
      <c r="BF39" s="171"/>
      <c r="BG39" s="171"/>
      <c r="BH39" s="12"/>
      <c r="BI39" s="12"/>
      <c r="BJ39" s="12"/>
      <c r="BK39" s="12"/>
      <c r="BL39" s="23"/>
      <c r="BM39" s="12"/>
      <c r="BP39" s="170" t="s">
        <v>74</v>
      </c>
      <c r="BQ39" s="170"/>
      <c r="BR39" s="170"/>
      <c r="BS39" s="170"/>
      <c r="BT39" s="170"/>
    </row>
  </sheetData>
  <mergeCells count="33">
    <mergeCell ref="BD35:BG35"/>
    <mergeCell ref="BP35:BT35"/>
    <mergeCell ref="BD39:BG39"/>
    <mergeCell ref="BP39:BT39"/>
    <mergeCell ref="BC10:BD10"/>
    <mergeCell ref="BE10:BF10"/>
    <mergeCell ref="BG10:BI10"/>
    <mergeCell ref="BJ10:BK10"/>
    <mergeCell ref="A33:F33"/>
    <mergeCell ref="BJ34:BQ34"/>
    <mergeCell ref="BA7:BB7"/>
    <mergeCell ref="BC7:BD7"/>
    <mergeCell ref="BE7:BF7"/>
    <mergeCell ref="BG7:BI7"/>
    <mergeCell ref="BJ7:BK7"/>
    <mergeCell ref="BM7:BO7"/>
    <mergeCell ref="F6:F10"/>
    <mergeCell ref="G6:AD6"/>
    <mergeCell ref="AE6:AZ6"/>
    <mergeCell ref="BA6:BT6"/>
    <mergeCell ref="AE7:AF7"/>
    <mergeCell ref="AL7:AM7"/>
    <mergeCell ref="AO7:AP7"/>
    <mergeCell ref="AR7:AS7"/>
    <mergeCell ref="AW7:AX7"/>
    <mergeCell ref="AY7:AZ7"/>
    <mergeCell ref="A1:E1"/>
    <mergeCell ref="A2:E2"/>
    <mergeCell ref="A6:A10"/>
    <mergeCell ref="B6:B10"/>
    <mergeCell ref="C6:C10"/>
    <mergeCell ref="D6:D10"/>
    <mergeCell ref="E6:E10"/>
  </mergeCells>
  <conditionalFormatting sqref="B12">
    <cfRule type="duplicateValues" dxfId="23" priority="13"/>
  </conditionalFormatting>
  <conditionalFormatting sqref="B13:B14">
    <cfRule type="duplicateValues" dxfId="22" priority="11"/>
  </conditionalFormatting>
  <conditionalFormatting sqref="B16:B25 B27:B29">
    <cfRule type="duplicateValues" dxfId="21" priority="12"/>
  </conditionalFormatting>
  <conditionalFormatting sqref="B26">
    <cfRule type="duplicateValues" dxfId="20" priority="9"/>
  </conditionalFormatting>
  <conditionalFormatting sqref="B30">
    <cfRule type="duplicateValues" dxfId="19" priority="10"/>
  </conditionalFormatting>
  <conditionalFormatting sqref="B31">
    <cfRule type="duplicateValues" dxfId="18" priority="5"/>
    <cfRule type="duplicateValues" dxfId="17" priority="6"/>
    <cfRule type="duplicateValues" dxfId="16" priority="7"/>
    <cfRule type="duplicateValues" dxfId="15" priority="8"/>
  </conditionalFormatting>
  <conditionalFormatting sqref="B32">
    <cfRule type="duplicateValues" dxfId="14" priority="1"/>
    <cfRule type="duplicateValues" dxfId="13" priority="2"/>
    <cfRule type="duplicateValues" dxfId="12" priority="3"/>
    <cfRule type="duplicateValues" dxfId="11" priority="4"/>
  </conditionalFormatting>
  <hyperlinks>
    <hyperlink ref="K13" r:id="rId1" xr:uid="{9B4459DC-19A3-4A52-9151-FD1C322F01C4}"/>
    <hyperlink ref="R13" r:id="rId2" xr:uid="{563356AA-5A51-4ADE-9B87-07F63385F0F5}"/>
    <hyperlink ref="U13" r:id="rId3" xr:uid="{0BAC550A-A72A-4B81-A619-6B93E2894CA6}"/>
    <hyperlink ref="Y13" r:id="rId4" xr:uid="{498D5FBA-3BB4-451A-B46E-A3A9D48202EF}"/>
    <hyperlink ref="G14" r:id="rId5" xr:uid="{7F83A066-798C-4903-BB56-40324C17DA6D}"/>
    <hyperlink ref="H14" r:id="rId6" xr:uid="{EA646F42-53FB-46FD-A544-87040B96DBF8}"/>
    <hyperlink ref="J14" r:id="rId7" xr:uid="{E64358DD-EB49-4E77-A15E-ECE88A190AB8}"/>
    <hyperlink ref="K14" r:id="rId8" xr:uid="{0F4A388B-13A2-45D2-80A3-28540E62ED01}"/>
    <hyperlink ref="L14" r:id="rId9" xr:uid="{71DDEAEF-9250-433C-AE1A-A3730243C9DA}"/>
    <hyperlink ref="R14" r:id="rId10" xr:uid="{8982561B-A413-42E8-8774-48D9F0F4644D}"/>
    <hyperlink ref="S14" r:id="rId11" xr:uid="{427ADCF2-2E76-4259-89EE-FFE58DB41A42}"/>
    <hyperlink ref="T14" r:id="rId12" xr:uid="{FE0DF86B-9C3C-4A40-BC52-656561ACB314}"/>
    <hyperlink ref="V14" r:id="rId13" xr:uid="{453E3626-865F-4A72-96C9-B353216428E6}"/>
    <hyperlink ref="W14" r:id="rId14" xr:uid="{234352D4-AF6E-4E69-AC13-1F15B20EC8D0}"/>
    <hyperlink ref="X14" r:id="rId15" xr:uid="{D3B76045-7BCE-4107-A45F-1205D04334F6}"/>
    <hyperlink ref="Y14" r:id="rId16" xr:uid="{5A323607-9F4A-4F3F-8684-07CE015BD0B5}"/>
    <hyperlink ref="Z14" r:id="rId17" xr:uid="{668B5B8D-6B3D-4B9A-8588-D34554B67429}"/>
    <hyperlink ref="AA14" r:id="rId18" xr:uid="{BD96CBA9-DBD1-40A9-8199-19B1F943415B}"/>
    <hyperlink ref="AB14" r:id="rId19" xr:uid="{E7C3DB80-5DF0-44C7-B7B8-E6794FEAF942}"/>
    <hyperlink ref="AC14" r:id="rId20" xr:uid="{FA55306B-B917-4473-8F14-646C40CB5E84}"/>
    <hyperlink ref="AD14" r:id="rId21" xr:uid="{0520A1A2-5CA6-44AD-8157-35B2CB3A45FD}"/>
    <hyperlink ref="AE14" r:id="rId22" xr:uid="{A8AF3AA7-3DD5-49FF-83D0-8C9B4C8C36CC}"/>
    <hyperlink ref="AG14" r:id="rId23" xr:uid="{3993D29F-31E6-4C12-A61F-4EF40EAAF852}"/>
    <hyperlink ref="AH14" r:id="rId24" xr:uid="{1A4EED81-4A61-4EDE-BB44-3D35FFED2D36}"/>
    <hyperlink ref="AJ14" r:id="rId25" xr:uid="{B328E7D0-8B6F-4116-803B-44A3E78487DB}"/>
    <hyperlink ref="AK14" r:id="rId26" xr:uid="{10C16163-7ADC-410A-8BB3-4CC8FFDEBCCF}"/>
    <hyperlink ref="AQ14" r:id="rId27" xr:uid="{9082795C-7874-4C84-8609-61AECC6E7E73}"/>
    <hyperlink ref="AR14" r:id="rId28" xr:uid="{1FBB5666-5272-4B01-B3C2-264897DAC04F}"/>
    <hyperlink ref="L26" r:id="rId29" xr:uid="{EEDDA1AF-134B-47E7-9819-F036BB85A373}"/>
    <hyperlink ref="H30" r:id="rId30" xr:uid="{92BF29B8-0E49-421D-92C1-5A3BE1F58530}"/>
    <hyperlink ref="J30" r:id="rId31" xr:uid="{EF5B1724-7327-42E0-A57D-6F4552D2560F}"/>
    <hyperlink ref="K30" r:id="rId32" xr:uid="{8134A2E4-0B39-4C51-BEBD-021E787C16E6}"/>
    <hyperlink ref="G31" r:id="rId33" xr:uid="{AF98A4BF-0871-40BC-977C-ABCFFA3F8AEC}"/>
    <hyperlink ref="H31" r:id="rId34" xr:uid="{39119734-5320-43AA-AAA8-3E6A8FB794AF}"/>
    <hyperlink ref="J31" r:id="rId35" xr:uid="{ED1D2863-1761-4EB0-B07E-7D0D5AB0D959}"/>
    <hyperlink ref="K31" r:id="rId36" xr:uid="{98002317-D16B-4734-B75E-B155104A01A0}"/>
    <hyperlink ref="L31" r:id="rId37" xr:uid="{4EF19256-F543-4984-A5BD-3A38CBEB5CC8}"/>
    <hyperlink ref="N31" r:id="rId38" xr:uid="{96A7DE85-2CC6-48C9-8B3D-A5B2E1BAD356}"/>
    <hyperlink ref="S31" r:id="rId39" xr:uid="{B3597054-338B-4BC1-9B2D-B85EE4CD4C89}"/>
    <hyperlink ref="V31" r:id="rId40" xr:uid="{9585523B-440B-448B-B73C-84680E8F2EAD}"/>
    <hyperlink ref="W31" r:id="rId41" xr:uid="{C8676A42-1585-46BB-95F2-8ADFAFDBE1AB}"/>
    <hyperlink ref="X31" r:id="rId42" xr:uid="{E6B63357-DFA5-4F9A-A7A5-3926C9386838}"/>
    <hyperlink ref="H12" r:id="rId43" xr:uid="{93F67AC6-3E85-4129-9059-C1E32578007F}"/>
    <hyperlink ref="AW12" r:id="rId44" xr:uid="{A03EB741-8FD4-49A3-B2F5-2E30047E4BD4}"/>
    <hyperlink ref="BP12" r:id="rId45" xr:uid="{E0508F46-6DEC-4803-B3A2-EA027734FFCA}"/>
    <hyperlink ref="J16" r:id="rId46" xr:uid="{60E87055-67F8-4670-9EEB-74248D830C5E}"/>
    <hyperlink ref="G20" r:id="rId47" xr:uid="{E8510B9B-C95A-4AF7-9370-FA1ACC6275AC}"/>
    <hyperlink ref="H20" r:id="rId48" xr:uid="{D644C7C0-387E-4FBB-9015-CC5CCC3F9446}"/>
    <hyperlink ref="J20" r:id="rId49" xr:uid="{C954D596-3F33-474D-B880-F1032F6E9A08}"/>
    <hyperlink ref="K20" r:id="rId50" xr:uid="{1C32E38B-D9E3-4CE9-8893-34E38556B39F}"/>
    <hyperlink ref="L20" r:id="rId51" xr:uid="{9C449338-19FA-4C70-9A78-E5FDC3B4512F}"/>
    <hyperlink ref="R20" r:id="rId52" xr:uid="{B9B605BE-52CF-4771-A155-C81BC703ADDE}"/>
    <hyperlink ref="W20" r:id="rId53" xr:uid="{C1463998-258D-49FA-B301-B92A7DF98C47}"/>
    <hyperlink ref="X20" r:id="rId54" xr:uid="{4999BD57-EFB6-4E30-9FD5-9FCD12712E59}"/>
    <hyperlink ref="G25" r:id="rId55" xr:uid="{569AE02E-1779-41F8-9610-378B1E692499}"/>
    <hyperlink ref="H25" r:id="rId56" xr:uid="{5C83F974-39D1-4F39-BA3B-01AD1555B448}"/>
    <hyperlink ref="I25" r:id="rId57" xr:uid="{4FF9706E-4FEC-4574-B621-B684EBE4F02F}"/>
    <hyperlink ref="J25" r:id="rId58" xr:uid="{2C8A36A6-2440-4F3D-A5DE-48C780F3787C}"/>
    <hyperlink ref="K25" r:id="rId59" xr:uid="{9EC34ACA-0477-4CB6-8235-AFC39337F004}"/>
    <hyperlink ref="L25" r:id="rId60" xr:uid="{EB71B9BF-18C1-40FA-9142-4B72FE64B41D}"/>
    <hyperlink ref="R25" r:id="rId61" xr:uid="{C222280B-86C3-40D8-BA55-4904DB7B6ADA}"/>
    <hyperlink ref="S25" r:id="rId62" xr:uid="{D8FEF414-860A-45A4-A0DE-FB899A855F42}"/>
    <hyperlink ref="T25" r:id="rId63" xr:uid="{E8E11BF2-6D18-4A81-B7B4-90052A043B63}"/>
    <hyperlink ref="V25" r:id="rId64" xr:uid="{419E2210-57BE-4317-9F33-085CD7761080}"/>
    <hyperlink ref="W25" r:id="rId65" xr:uid="{029E65EA-3A65-4B29-B912-B0AB67982431}"/>
    <hyperlink ref="X25" r:id="rId66" xr:uid="{CE241B85-5DE9-42D6-A618-37DA0483C808}"/>
    <hyperlink ref="K28" r:id="rId67" xr:uid="{D7A31A3E-BB11-44A4-A686-A9B6930B4AB1}"/>
    <hyperlink ref="L28" r:id="rId68" xr:uid="{24D5DD8B-0091-49B5-8753-53C5FE885B60}"/>
    <hyperlink ref="S28" r:id="rId69" xr:uid="{BA6B28B9-95C1-4A7F-9736-CFFF54F398AE}"/>
    <hyperlink ref="J29" r:id="rId70" xr:uid="{C3A6E602-C4A7-4241-8F3E-D2EC20F8F555}"/>
    <hyperlink ref="K29" r:id="rId71" xr:uid="{969E3597-094F-4994-93B6-145A4F713875}"/>
    <hyperlink ref="L29" r:id="rId72" xr:uid="{C6808F5C-C15F-4514-A3C1-AB3F04E399F7}"/>
    <hyperlink ref="S29" r:id="rId73" xr:uid="{EDD9C74A-5873-4CB9-B3FD-55AB9DD890EE}"/>
    <hyperlink ref="V29" r:id="rId74" xr:uid="{123AD74A-D61E-4E36-BC75-A8943FD334C2}"/>
    <hyperlink ref="W29" r:id="rId75" xr:uid="{B919E15A-86A6-41E4-914A-25CFDEAFBBA4}"/>
    <hyperlink ref="H27" r:id="rId76" xr:uid="{EF8337C9-4BDA-4830-8764-112F814EECB8}"/>
    <hyperlink ref="J27" r:id="rId77" xr:uid="{360B098C-F3C5-4403-B4F7-FA62D45A81A9}"/>
    <hyperlink ref="K27" r:id="rId78" xr:uid="{4213FFFF-A426-4CCA-967B-23AF994EBB17}"/>
    <hyperlink ref="S27" r:id="rId79" xr:uid="{5D23F478-EE58-42E7-8163-14B37AF0B613}"/>
    <hyperlink ref="S24" r:id="rId80" xr:uid="{9910FFFD-9546-4BF8-82F5-07FEC463386D}"/>
    <hyperlink ref="J23" r:id="rId81" xr:uid="{E666E36D-5E5C-4253-A250-5B90A50512E7}"/>
    <hyperlink ref="W23" r:id="rId82" xr:uid="{BA1264B6-3972-4371-9DE1-5E535002B136}"/>
    <hyperlink ref="G21" r:id="rId83" xr:uid="{84D7DBCB-EBAE-4D1F-BB0B-74B422D9547E}"/>
    <hyperlink ref="H21" r:id="rId84" xr:uid="{E8696D91-900A-44AC-BAB7-EBA0605E5E3E}"/>
    <hyperlink ref="J21" r:id="rId85" xr:uid="{28F5E8FA-FA67-4FF0-97FA-8D8466500C58}"/>
    <hyperlink ref="K21" r:id="rId86" xr:uid="{58CFA4D6-5691-4848-A4FF-44A372B66D13}"/>
    <hyperlink ref="L21" r:id="rId87" xr:uid="{DDF192AD-7C51-4CB6-BE96-C28DF6125FCE}"/>
    <hyperlink ref="S21" r:id="rId88" xr:uid="{24BA5FE6-A439-4B8B-9C4D-D6A50BB42E39}"/>
    <hyperlink ref="V21" r:id="rId89" xr:uid="{EC93C758-E741-4822-87C4-96D38855E129}"/>
    <hyperlink ref="W21" r:id="rId90" xr:uid="{ADD9A3FF-EAE4-4660-B913-4A6AECDA3047}"/>
    <hyperlink ref="X21" r:id="rId91" xr:uid="{7A25A6C1-7010-488B-A235-C5202E0D33D5}"/>
    <hyperlink ref="H19" r:id="rId92" xr:uid="{BF8AD4D0-7428-4EC2-8CAD-0132BE3D8FDD}"/>
    <hyperlink ref="I19" r:id="rId93" xr:uid="{5AC3865F-4614-40C4-86EE-9A600B273733}"/>
    <hyperlink ref="J19" r:id="rId94" xr:uid="{D45D88F9-3460-4191-98DE-7CF5043F387A}"/>
    <hyperlink ref="K19" r:id="rId95" xr:uid="{A5D0B69D-7AA1-4DE4-A8C9-38F1B11ACC75}"/>
    <hyperlink ref="N19" r:id="rId96" xr:uid="{8D767CB8-E603-4517-9898-C5DF107C5ECD}"/>
    <hyperlink ref="S19" r:id="rId97" xr:uid="{E55744E1-11BD-4153-9F3E-38D7C675799D}"/>
    <hyperlink ref="V19" r:id="rId98" xr:uid="{7B32FC0F-5430-4178-A38A-545A41004B7D}"/>
    <hyperlink ref="W19" r:id="rId99" xr:uid="{783F1BAF-93C9-46EB-929F-B69292F69C06}"/>
    <hyperlink ref="G18" r:id="rId100" xr:uid="{12D633D6-B225-4854-87C0-9B270DC26300}"/>
    <hyperlink ref="H18" r:id="rId101" xr:uid="{AE2BB33D-994F-4A5A-941E-4074C3B42734}"/>
    <hyperlink ref="I18" r:id="rId102" xr:uid="{635FDCD1-AAFC-416A-B754-FF59800660B9}"/>
    <hyperlink ref="J18" r:id="rId103" xr:uid="{DD1A47A1-5D3F-40F7-94BE-00EF1E0A821F}"/>
    <hyperlink ref="K18" r:id="rId104" xr:uid="{1621B22B-4AFA-4F18-940A-5DCBED94C426}"/>
    <hyperlink ref="L18" r:id="rId105" xr:uid="{B3614BB7-42EC-4DED-A375-364FEB53F464}"/>
    <hyperlink ref="N18" r:id="rId106" xr:uid="{0AE58DEA-0AF5-4307-8455-024D45452EEA}"/>
    <hyperlink ref="Q18" r:id="rId107" xr:uid="{AC8F52FB-5FDC-4EF5-8A15-222E4154BE65}"/>
    <hyperlink ref="S18" r:id="rId108" xr:uid="{5DBD6A0D-78FD-471A-8AF6-184C8C53167A}"/>
    <hyperlink ref="V18" r:id="rId109" xr:uid="{7224FF17-BE73-490A-B06B-B473B93F4BCB}"/>
    <hyperlink ref="W18" r:id="rId110" xr:uid="{BEBF34C8-E672-44FA-A2D1-6F6A964AF9F8}"/>
    <hyperlink ref="X18" r:id="rId111" xr:uid="{5D1B00C3-558C-46C4-84C6-BC40AE6E3C5C}"/>
    <hyperlink ref="G17" r:id="rId112" xr:uid="{8FEA1663-709A-4D09-8A83-B2A397D0B671}"/>
    <hyperlink ref="H17" r:id="rId113" xr:uid="{441A98CF-8A5B-4005-8966-28823E58E658}"/>
    <hyperlink ref="I17" r:id="rId114" xr:uid="{2A1D5422-AE90-4D14-85F0-2BBA9B38EAD6}"/>
    <hyperlink ref="J17" r:id="rId115" xr:uid="{5B3414CD-8344-4444-80E6-58D3391BAE89}"/>
    <hyperlink ref="K17" r:id="rId116" xr:uid="{D08CB19C-6654-42D2-B691-FE61EEE8CE39}"/>
    <hyperlink ref="L17" r:id="rId117" xr:uid="{4FACC4F6-E655-4FC0-B663-6912B94B7C3D}"/>
    <hyperlink ref="R17" r:id="rId118" xr:uid="{37878F27-2C38-4300-9969-357F9F9E7AA9}"/>
    <hyperlink ref="S17" r:id="rId119" xr:uid="{33C6ED3C-929D-4A70-A6C4-394D116B48FE}"/>
    <hyperlink ref="T17" r:id="rId120" xr:uid="{C4D86D5A-C093-446B-A53C-0BF74E384B92}"/>
    <hyperlink ref="V17" r:id="rId121" xr:uid="{20691C36-F2AA-4C9C-A911-A725FCA739A1}"/>
    <hyperlink ref="W17" r:id="rId122" xr:uid="{10B7096A-BFB1-4228-8577-FBB74F022103}"/>
    <hyperlink ref="X17" r:id="rId123" xr:uid="{C5916397-1595-4C2E-B40E-1B4BFDD05EF3}"/>
  </hyperlinks>
  <pageMargins left="0.3" right="0.2" top="0.4" bottom="0.3" header="0.3" footer="0.3"/>
  <pageSetup paperSize="9" scale="90" orientation="landscape" verticalDpi="0" r:id="rId124"/>
  <drawing r:id="rId1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39"/>
  <sheetViews>
    <sheetView view="pageBreakPreview" topLeftCell="A19" zoomScale="90" zoomScaleNormal="100" zoomScaleSheetLayoutView="90" workbookViewId="0">
      <selection activeCell="X38" sqref="X38"/>
    </sheetView>
  </sheetViews>
  <sheetFormatPr defaultRowHeight="15" x14ac:dyDescent="0.25"/>
  <cols>
    <col min="1" max="1" width="3.75" style="58" customWidth="1"/>
    <col min="2" max="2" width="10.875" style="58" customWidth="1"/>
    <col min="3" max="3" width="13.625" style="121" customWidth="1"/>
    <col min="4" max="4" width="6.25" style="121" customWidth="1"/>
    <col min="5" max="5" width="8.875" style="11" customWidth="1"/>
    <col min="6" max="6" width="22" style="58" customWidth="1"/>
    <col min="7" max="7" width="3.875" style="1" customWidth="1"/>
    <col min="8" max="9" width="3.375" style="1" customWidth="1"/>
    <col min="10" max="10" width="4.625" style="1" customWidth="1"/>
    <col min="11" max="11" width="4.375" style="1" customWidth="1"/>
    <col min="12" max="12" width="3.75" style="1" customWidth="1"/>
    <col min="13" max="13" width="3.875" style="1" customWidth="1"/>
    <col min="14" max="15" width="4.125" style="1" customWidth="1"/>
    <col min="16" max="18" width="3.375" style="1" customWidth="1"/>
    <col min="19" max="19" width="3.875" style="1" customWidth="1"/>
    <col min="20" max="21" width="3.375" style="1" customWidth="1"/>
    <col min="22" max="22" width="4.25" style="1" customWidth="1"/>
    <col min="23" max="24" width="3.875" style="1" customWidth="1"/>
    <col min="25" max="33" width="3.375" style="1" customWidth="1"/>
    <col min="34" max="34" width="3.125" style="1" customWidth="1"/>
    <col min="35" max="41" width="3.375" style="1" customWidth="1"/>
    <col min="42" max="42" width="3.625" style="1" customWidth="1"/>
    <col min="43" max="71" width="3.75" style="1" customWidth="1"/>
    <col min="72" max="72" width="4.75" style="1" customWidth="1"/>
    <col min="73" max="16384" width="9" style="58"/>
  </cols>
  <sheetData>
    <row r="1" spans="1:72" ht="21.75" customHeight="1" x14ac:dyDescent="0.25">
      <c r="A1" s="148" t="s">
        <v>77</v>
      </c>
      <c r="B1" s="148"/>
      <c r="C1" s="148"/>
      <c r="D1" s="148"/>
      <c r="E1" s="148"/>
      <c r="F1" s="9"/>
      <c r="G1" s="10"/>
      <c r="H1" s="10"/>
      <c r="I1" s="24"/>
      <c r="J1" s="24"/>
      <c r="K1" s="24"/>
      <c r="L1" s="24"/>
      <c r="M1" s="24"/>
      <c r="N1" s="11"/>
      <c r="O1" s="24"/>
      <c r="P1" s="24"/>
      <c r="Q1" s="24"/>
      <c r="R1" s="23" t="s">
        <v>0</v>
      </c>
      <c r="S1" s="24"/>
      <c r="T1" s="24"/>
      <c r="U1" s="24"/>
      <c r="V1" s="24"/>
      <c r="W1" s="11"/>
      <c r="X1" s="11"/>
      <c r="Y1" s="11"/>
      <c r="Z1" s="24"/>
      <c r="AA1" s="24"/>
      <c r="AB1" s="11"/>
      <c r="AC1" s="24"/>
      <c r="AD1" s="24"/>
      <c r="AE1" s="24"/>
      <c r="AF1" s="23"/>
      <c r="AG1" s="24"/>
      <c r="AH1" s="24"/>
      <c r="AI1" s="24"/>
      <c r="AJ1" s="24"/>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row>
    <row r="2" spans="1:72" ht="15.75" customHeight="1" x14ac:dyDescent="0.25">
      <c r="A2" s="149" t="s">
        <v>100</v>
      </c>
      <c r="B2" s="149"/>
      <c r="C2" s="149"/>
      <c r="D2" s="149"/>
      <c r="E2" s="149"/>
      <c r="F2" s="59"/>
      <c r="G2" s="60"/>
      <c r="H2" s="60"/>
      <c r="I2" s="24"/>
      <c r="J2" s="24"/>
      <c r="K2" s="24"/>
      <c r="L2" s="24"/>
      <c r="M2" s="24"/>
      <c r="N2" s="11"/>
      <c r="O2" s="24"/>
      <c r="P2" s="24"/>
      <c r="Q2" s="24"/>
      <c r="R2" s="23" t="s">
        <v>1</v>
      </c>
      <c r="S2" s="24"/>
      <c r="T2" s="24"/>
      <c r="U2" s="24"/>
      <c r="V2" s="24"/>
      <c r="W2" s="11"/>
      <c r="X2" s="11"/>
      <c r="Y2" s="11"/>
      <c r="Z2" s="24"/>
      <c r="AA2" s="24"/>
      <c r="AB2" s="11"/>
      <c r="AC2" s="24"/>
      <c r="AD2" s="24"/>
      <c r="AE2" s="24"/>
      <c r="AF2" s="23"/>
      <c r="AG2" s="24"/>
      <c r="AH2" s="24"/>
      <c r="AI2" s="24"/>
      <c r="AJ2" s="24"/>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row>
    <row r="3" spans="1:72" s="105" customFormat="1" ht="24" customHeight="1" x14ac:dyDescent="0.2">
      <c r="A3" s="14"/>
      <c r="B3" s="12"/>
      <c r="C3" s="92"/>
      <c r="D3" s="92"/>
      <c r="E3" s="12"/>
      <c r="F3" s="12"/>
      <c r="G3" s="12"/>
      <c r="H3" s="13"/>
      <c r="I3" s="13"/>
      <c r="J3" s="13"/>
      <c r="K3" s="13"/>
      <c r="L3" s="13"/>
      <c r="M3" s="13"/>
      <c r="N3" s="13" t="s">
        <v>231</v>
      </c>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row>
    <row r="4" spans="1:72" s="62" customFormat="1" ht="21.75" customHeight="1" x14ac:dyDescent="0.25">
      <c r="A4" s="11"/>
      <c r="B4" s="24"/>
      <c r="C4" s="93"/>
      <c r="D4" s="93"/>
      <c r="E4" s="12"/>
      <c r="F4" s="24"/>
      <c r="G4" s="24" t="s">
        <v>17</v>
      </c>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11"/>
      <c r="AS4" s="11"/>
      <c r="AT4" s="11"/>
      <c r="AU4" s="11"/>
      <c r="AV4" s="11"/>
      <c r="AW4" s="11"/>
      <c r="AX4" s="11"/>
      <c r="AY4" s="11"/>
      <c r="AZ4" s="11"/>
      <c r="BA4" s="11"/>
      <c r="BB4" s="11"/>
      <c r="BC4" s="11"/>
      <c r="BD4" s="11"/>
      <c r="BE4" s="11"/>
      <c r="BF4" s="11"/>
      <c r="BG4" s="11"/>
      <c r="BH4" s="11"/>
      <c r="BI4" s="11"/>
      <c r="BJ4" s="11"/>
      <c r="BK4" s="11"/>
      <c r="BL4" s="11"/>
      <c r="BM4" s="11"/>
      <c r="BN4" s="61"/>
      <c r="BO4" s="11"/>
      <c r="BP4" s="11"/>
      <c r="BQ4" s="11"/>
      <c r="BR4" s="11"/>
      <c r="BS4" s="11"/>
      <c r="BT4" s="11"/>
    </row>
    <row r="5" spans="1:72" s="62" customFormat="1" ht="19.5" customHeight="1" x14ac:dyDescent="0.25">
      <c r="A5" s="11"/>
      <c r="B5" s="63" t="s">
        <v>232</v>
      </c>
      <c r="C5" s="94"/>
      <c r="D5" s="94"/>
      <c r="E5" s="65"/>
      <c r="F5" s="64"/>
      <c r="G5" s="64"/>
      <c r="H5" s="63"/>
      <c r="I5" s="63"/>
      <c r="J5" s="11"/>
      <c r="K5" s="63"/>
      <c r="L5" s="63"/>
      <c r="M5" s="63"/>
      <c r="N5" s="63"/>
      <c r="O5" s="63"/>
      <c r="P5" s="64"/>
      <c r="Q5" s="64"/>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11"/>
      <c r="AS5" s="11"/>
      <c r="AT5" s="11"/>
      <c r="AU5" s="11"/>
      <c r="AV5" s="11"/>
      <c r="AW5" s="11"/>
      <c r="AX5" s="11"/>
      <c r="AY5" s="11"/>
      <c r="AZ5" s="11"/>
      <c r="BA5" s="11"/>
      <c r="BB5" s="11"/>
      <c r="BC5" s="11"/>
      <c r="BD5" s="11"/>
      <c r="BE5" s="11"/>
      <c r="BF5" s="11"/>
      <c r="BG5" s="11"/>
      <c r="BH5" s="11"/>
      <c r="BI5" s="11"/>
      <c r="BJ5" s="11"/>
      <c r="BK5" s="11"/>
      <c r="BL5" s="11"/>
      <c r="BM5" s="11"/>
      <c r="BN5" s="61"/>
      <c r="BO5" s="11"/>
      <c r="BP5" s="11"/>
      <c r="BQ5" s="11"/>
      <c r="BR5" s="11"/>
      <c r="BS5" s="11"/>
      <c r="BT5" s="11"/>
    </row>
    <row r="6" spans="1:72" s="106" customFormat="1" ht="22.5" customHeight="1" x14ac:dyDescent="0.2">
      <c r="A6" s="150" t="s">
        <v>2</v>
      </c>
      <c r="B6" s="150" t="s">
        <v>3</v>
      </c>
      <c r="C6" s="153" t="s">
        <v>101</v>
      </c>
      <c r="D6" s="156" t="s">
        <v>102</v>
      </c>
      <c r="E6" s="159" t="s">
        <v>7</v>
      </c>
      <c r="F6" s="159" t="s">
        <v>103</v>
      </c>
      <c r="G6" s="167" t="s">
        <v>104</v>
      </c>
      <c r="H6" s="168"/>
      <c r="I6" s="168"/>
      <c r="J6" s="168"/>
      <c r="K6" s="168"/>
      <c r="L6" s="168"/>
      <c r="M6" s="168"/>
      <c r="N6" s="168"/>
      <c r="O6" s="168"/>
      <c r="P6" s="168"/>
      <c r="Q6" s="168"/>
      <c r="R6" s="168"/>
      <c r="S6" s="168"/>
      <c r="T6" s="168"/>
      <c r="U6" s="168"/>
      <c r="V6" s="168"/>
      <c r="W6" s="168"/>
      <c r="X6" s="168"/>
      <c r="Y6" s="168"/>
      <c r="Z6" s="168"/>
      <c r="AA6" s="168"/>
      <c r="AB6" s="168"/>
      <c r="AC6" s="168"/>
      <c r="AD6" s="169"/>
      <c r="AE6" s="167" t="s">
        <v>104</v>
      </c>
      <c r="AF6" s="168"/>
      <c r="AG6" s="168"/>
      <c r="AH6" s="168"/>
      <c r="AI6" s="168"/>
      <c r="AJ6" s="168"/>
      <c r="AK6" s="168"/>
      <c r="AL6" s="168"/>
      <c r="AM6" s="168"/>
      <c r="AN6" s="168"/>
      <c r="AO6" s="168"/>
      <c r="AP6" s="168"/>
      <c r="AQ6" s="168"/>
      <c r="AR6" s="168"/>
      <c r="AS6" s="168"/>
      <c r="AT6" s="168"/>
      <c r="AU6" s="168"/>
      <c r="AV6" s="168"/>
      <c r="AW6" s="168"/>
      <c r="AX6" s="168"/>
      <c r="AY6" s="168"/>
      <c r="AZ6" s="168"/>
      <c r="BA6" s="168" t="s">
        <v>104</v>
      </c>
      <c r="BB6" s="168"/>
      <c r="BC6" s="168"/>
      <c r="BD6" s="168"/>
      <c r="BE6" s="168"/>
      <c r="BF6" s="168"/>
      <c r="BG6" s="168"/>
      <c r="BH6" s="168"/>
      <c r="BI6" s="168"/>
      <c r="BJ6" s="168"/>
      <c r="BK6" s="168"/>
      <c r="BL6" s="168"/>
      <c r="BM6" s="168"/>
      <c r="BN6" s="168"/>
      <c r="BO6" s="168"/>
      <c r="BP6" s="168"/>
      <c r="BQ6" s="168"/>
      <c r="BR6" s="168"/>
      <c r="BS6" s="168"/>
      <c r="BT6" s="169"/>
    </row>
    <row r="7" spans="1:72" s="1" customFormat="1" ht="12.75" x14ac:dyDescent="0.2">
      <c r="A7" s="151"/>
      <c r="B7" s="151"/>
      <c r="C7" s="154"/>
      <c r="D7" s="157"/>
      <c r="E7" s="160"/>
      <c r="F7" s="160"/>
      <c r="G7" s="66"/>
      <c r="H7" s="66"/>
      <c r="I7" s="66"/>
      <c r="J7" s="66"/>
      <c r="K7" s="66"/>
      <c r="L7" s="66"/>
      <c r="M7" s="66"/>
      <c r="N7" s="66"/>
      <c r="O7" s="66"/>
      <c r="P7" s="67"/>
      <c r="Q7" s="68"/>
      <c r="R7" s="69"/>
      <c r="S7" s="67"/>
      <c r="T7" s="69"/>
      <c r="U7" s="67"/>
      <c r="V7" s="69"/>
      <c r="W7" s="66"/>
      <c r="X7" s="66"/>
      <c r="Y7" s="66"/>
      <c r="Z7" s="70"/>
      <c r="AA7" s="66"/>
      <c r="AB7" s="70"/>
      <c r="AC7" s="66"/>
      <c r="AD7" s="70"/>
      <c r="AE7" s="146" t="s">
        <v>71</v>
      </c>
      <c r="AF7" s="147"/>
      <c r="AG7" s="70"/>
      <c r="AH7" s="66"/>
      <c r="AI7" s="70"/>
      <c r="AJ7" s="66"/>
      <c r="AK7" s="70"/>
      <c r="AL7" s="146" t="s">
        <v>71</v>
      </c>
      <c r="AM7" s="147"/>
      <c r="AN7" s="66"/>
      <c r="AO7" s="146" t="s">
        <v>71</v>
      </c>
      <c r="AP7" s="147"/>
      <c r="AQ7" s="66"/>
      <c r="AR7" s="146" t="s">
        <v>71</v>
      </c>
      <c r="AS7" s="147"/>
      <c r="AT7" s="66"/>
      <c r="AU7" s="66"/>
      <c r="AV7" s="66"/>
      <c r="AW7" s="146" t="s">
        <v>71</v>
      </c>
      <c r="AX7" s="147"/>
      <c r="AY7" s="146" t="s">
        <v>71</v>
      </c>
      <c r="AZ7" s="147"/>
      <c r="BA7" s="146" t="s">
        <v>71</v>
      </c>
      <c r="BB7" s="147"/>
      <c r="BC7" s="146" t="s">
        <v>71</v>
      </c>
      <c r="BD7" s="147"/>
      <c r="BE7" s="146" t="s">
        <v>71</v>
      </c>
      <c r="BF7" s="147"/>
      <c r="BG7" s="164" t="s">
        <v>70</v>
      </c>
      <c r="BH7" s="165"/>
      <c r="BI7" s="166"/>
      <c r="BJ7" s="146" t="s">
        <v>71</v>
      </c>
      <c r="BK7" s="147"/>
      <c r="BL7" s="67"/>
      <c r="BM7" s="164" t="s">
        <v>70</v>
      </c>
      <c r="BN7" s="165"/>
      <c r="BO7" s="166"/>
      <c r="BP7" s="66"/>
      <c r="BQ7" s="66"/>
      <c r="BR7" s="71"/>
      <c r="BS7" s="72"/>
      <c r="BT7" s="107"/>
    </row>
    <row r="8" spans="1:72" s="3" customFormat="1" ht="157.5" x14ac:dyDescent="0.2">
      <c r="A8" s="151"/>
      <c r="B8" s="151"/>
      <c r="C8" s="154"/>
      <c r="D8" s="157"/>
      <c r="E8" s="160"/>
      <c r="F8" s="160"/>
      <c r="G8" s="73" t="s">
        <v>19</v>
      </c>
      <c r="H8" s="73" t="s">
        <v>20</v>
      </c>
      <c r="I8" s="73" t="s">
        <v>4</v>
      </c>
      <c r="J8" s="73" t="s">
        <v>10</v>
      </c>
      <c r="K8" s="73" t="s">
        <v>21</v>
      </c>
      <c r="L8" s="73" t="s">
        <v>5</v>
      </c>
      <c r="M8" s="73" t="s">
        <v>78</v>
      </c>
      <c r="N8" s="73" t="s">
        <v>22</v>
      </c>
      <c r="O8" s="73" t="s">
        <v>23</v>
      </c>
      <c r="P8" s="73" t="s">
        <v>11</v>
      </c>
      <c r="Q8" s="73" t="s">
        <v>79</v>
      </c>
      <c r="R8" s="73" t="s">
        <v>24</v>
      </c>
      <c r="S8" s="73" t="s">
        <v>6</v>
      </c>
      <c r="T8" s="73" t="s">
        <v>25</v>
      </c>
      <c r="U8" s="73" t="s">
        <v>26</v>
      </c>
      <c r="V8" s="73" t="s">
        <v>27</v>
      </c>
      <c r="W8" s="73" t="s">
        <v>28</v>
      </c>
      <c r="X8" s="73" t="s">
        <v>29</v>
      </c>
      <c r="Y8" s="73" t="s">
        <v>30</v>
      </c>
      <c r="Z8" s="73" t="s">
        <v>31</v>
      </c>
      <c r="AA8" s="73" t="s">
        <v>32</v>
      </c>
      <c r="AB8" s="73" t="s">
        <v>33</v>
      </c>
      <c r="AC8" s="73" t="s">
        <v>34</v>
      </c>
      <c r="AD8" s="73" t="s">
        <v>35</v>
      </c>
      <c r="AE8" s="73" t="s">
        <v>80</v>
      </c>
      <c r="AF8" s="73" t="s">
        <v>105</v>
      </c>
      <c r="AG8" s="73" t="s">
        <v>36</v>
      </c>
      <c r="AH8" s="73" t="s">
        <v>37</v>
      </c>
      <c r="AI8" s="73" t="s">
        <v>38</v>
      </c>
      <c r="AJ8" s="73" t="s">
        <v>39</v>
      </c>
      <c r="AK8" s="73" t="s">
        <v>40</v>
      </c>
      <c r="AL8" s="73" t="s">
        <v>41</v>
      </c>
      <c r="AM8" s="73" t="s">
        <v>42</v>
      </c>
      <c r="AN8" s="73" t="s">
        <v>43</v>
      </c>
      <c r="AO8" s="73" t="s">
        <v>44</v>
      </c>
      <c r="AP8" s="73" t="s">
        <v>45</v>
      </c>
      <c r="AQ8" s="73" t="s">
        <v>46</v>
      </c>
      <c r="AR8" s="73" t="s">
        <v>47</v>
      </c>
      <c r="AS8" s="73" t="s">
        <v>48</v>
      </c>
      <c r="AT8" s="73" t="s">
        <v>49</v>
      </c>
      <c r="AU8" s="73" t="s">
        <v>50</v>
      </c>
      <c r="AV8" s="73" t="s">
        <v>51</v>
      </c>
      <c r="AW8" s="73" t="s">
        <v>52</v>
      </c>
      <c r="AX8" s="73" t="s">
        <v>53</v>
      </c>
      <c r="AY8" s="73" t="s">
        <v>54</v>
      </c>
      <c r="AZ8" s="73" t="s">
        <v>55</v>
      </c>
      <c r="BA8" s="73" t="s">
        <v>56</v>
      </c>
      <c r="BB8" s="73" t="s">
        <v>57</v>
      </c>
      <c r="BC8" s="73" t="s">
        <v>106</v>
      </c>
      <c r="BD8" s="73" t="s">
        <v>58</v>
      </c>
      <c r="BE8" s="73" t="s">
        <v>59</v>
      </c>
      <c r="BF8" s="73" t="s">
        <v>60</v>
      </c>
      <c r="BG8" s="73" t="s">
        <v>61</v>
      </c>
      <c r="BH8" s="73" t="s">
        <v>62</v>
      </c>
      <c r="BI8" s="73" t="s">
        <v>63</v>
      </c>
      <c r="BJ8" s="73" t="s">
        <v>64</v>
      </c>
      <c r="BK8" s="73" t="s">
        <v>65</v>
      </c>
      <c r="BL8" s="73" t="s">
        <v>66</v>
      </c>
      <c r="BM8" s="73" t="s">
        <v>67</v>
      </c>
      <c r="BN8" s="73" t="s">
        <v>68</v>
      </c>
      <c r="BO8" s="74" t="s">
        <v>69</v>
      </c>
      <c r="BP8" s="75" t="s">
        <v>12</v>
      </c>
      <c r="BQ8" s="75" t="s">
        <v>13</v>
      </c>
      <c r="BR8" s="76" t="s">
        <v>14</v>
      </c>
      <c r="BS8" s="77" t="s">
        <v>15</v>
      </c>
      <c r="BT8" s="74" t="s">
        <v>9</v>
      </c>
    </row>
    <row r="9" spans="1:72" s="5" customFormat="1" ht="36.75" customHeight="1" x14ac:dyDescent="0.2">
      <c r="A9" s="151"/>
      <c r="B9" s="151"/>
      <c r="C9" s="154"/>
      <c r="D9" s="157"/>
      <c r="E9" s="160"/>
      <c r="F9" s="160"/>
      <c r="G9" s="78">
        <v>196055</v>
      </c>
      <c r="H9" s="78">
        <v>196060</v>
      </c>
      <c r="I9" s="78">
        <v>196065</v>
      </c>
      <c r="J9" s="78">
        <v>197035</v>
      </c>
      <c r="K9" s="78">
        <v>198030</v>
      </c>
      <c r="L9" s="78">
        <v>197030</v>
      </c>
      <c r="M9" s="78">
        <v>197086</v>
      </c>
      <c r="N9" s="78">
        <v>121005</v>
      </c>
      <c r="O9" s="78">
        <v>173200</v>
      </c>
      <c r="P9" s="78">
        <v>154888</v>
      </c>
      <c r="Q9" s="78">
        <v>162036</v>
      </c>
      <c r="R9" s="78">
        <v>111006</v>
      </c>
      <c r="S9" s="78">
        <v>172555</v>
      </c>
      <c r="T9" s="78">
        <v>159051</v>
      </c>
      <c r="U9" s="78">
        <v>172075</v>
      </c>
      <c r="V9" s="78">
        <v>133031</v>
      </c>
      <c r="W9" s="78">
        <v>133032</v>
      </c>
      <c r="X9" s="78">
        <v>133033</v>
      </c>
      <c r="Y9" s="78">
        <v>173081</v>
      </c>
      <c r="Z9" s="78">
        <v>174097</v>
      </c>
      <c r="AA9" s="78">
        <v>173097</v>
      </c>
      <c r="AB9" s="78">
        <v>174030</v>
      </c>
      <c r="AC9" s="78">
        <v>172025</v>
      </c>
      <c r="AD9" s="78">
        <v>172031</v>
      </c>
      <c r="AE9" s="78">
        <v>174089</v>
      </c>
      <c r="AF9" s="78">
        <v>173063</v>
      </c>
      <c r="AG9" s="78">
        <v>172050</v>
      </c>
      <c r="AH9" s="78">
        <v>174037</v>
      </c>
      <c r="AI9" s="78">
        <v>174031</v>
      </c>
      <c r="AJ9" s="78">
        <v>174034</v>
      </c>
      <c r="AK9" s="78">
        <v>174045</v>
      </c>
      <c r="AL9" s="78">
        <v>174082</v>
      </c>
      <c r="AM9" s="78">
        <v>174081</v>
      </c>
      <c r="AN9" s="78">
        <v>173073</v>
      </c>
      <c r="AO9" s="78">
        <v>173095</v>
      </c>
      <c r="AP9" s="78">
        <v>173027</v>
      </c>
      <c r="AQ9" s="78">
        <v>174120</v>
      </c>
      <c r="AR9" s="78">
        <v>174011</v>
      </c>
      <c r="AS9" s="78">
        <v>174052</v>
      </c>
      <c r="AT9" s="78">
        <v>172049</v>
      </c>
      <c r="AU9" s="78">
        <v>172011</v>
      </c>
      <c r="AV9" s="78">
        <v>173092</v>
      </c>
      <c r="AW9" s="78">
        <v>174135</v>
      </c>
      <c r="AX9" s="78">
        <v>174053</v>
      </c>
      <c r="AY9" s="78">
        <v>174056</v>
      </c>
      <c r="AZ9" s="78">
        <v>174057</v>
      </c>
      <c r="BA9" s="78">
        <v>172004</v>
      </c>
      <c r="BB9" s="78">
        <v>172082</v>
      </c>
      <c r="BC9" s="78">
        <v>172056</v>
      </c>
      <c r="BD9" s="78">
        <v>172013</v>
      </c>
      <c r="BE9" s="78">
        <v>173036</v>
      </c>
      <c r="BF9" s="78">
        <v>173044</v>
      </c>
      <c r="BG9" s="78">
        <v>172038</v>
      </c>
      <c r="BH9" s="78">
        <v>172039</v>
      </c>
      <c r="BI9" s="78">
        <v>172041</v>
      </c>
      <c r="BJ9" s="78">
        <v>172042</v>
      </c>
      <c r="BK9" s="78">
        <v>172043</v>
      </c>
      <c r="BL9" s="78">
        <v>174145</v>
      </c>
      <c r="BM9" s="78">
        <v>172110</v>
      </c>
      <c r="BN9" s="78">
        <v>174041</v>
      </c>
      <c r="BO9" s="79">
        <v>172017</v>
      </c>
      <c r="BP9" s="80"/>
      <c r="BQ9" s="80"/>
      <c r="BR9" s="81">
        <f>SUM(G10:BO10)</f>
        <v>132</v>
      </c>
      <c r="BS9" s="82"/>
      <c r="BT9" s="15"/>
    </row>
    <row r="10" spans="1:72" s="2" customFormat="1" ht="19.5" customHeight="1" x14ac:dyDescent="0.2">
      <c r="A10" s="152"/>
      <c r="B10" s="152"/>
      <c r="C10" s="155"/>
      <c r="D10" s="158"/>
      <c r="E10" s="161"/>
      <c r="F10" s="161"/>
      <c r="G10" s="15">
        <v>3</v>
      </c>
      <c r="H10" s="15">
        <v>2</v>
      </c>
      <c r="I10" s="15">
        <v>2</v>
      </c>
      <c r="J10" s="15">
        <v>2</v>
      </c>
      <c r="K10" s="15">
        <v>2</v>
      </c>
      <c r="L10" s="15">
        <v>2</v>
      </c>
      <c r="M10" s="15">
        <v>2</v>
      </c>
      <c r="N10" s="15">
        <v>2</v>
      </c>
      <c r="O10" s="16">
        <v>2</v>
      </c>
      <c r="P10" s="16">
        <v>3</v>
      </c>
      <c r="Q10" s="16">
        <v>2</v>
      </c>
      <c r="R10" s="16">
        <v>4</v>
      </c>
      <c r="S10" s="16">
        <v>3</v>
      </c>
      <c r="T10" s="16">
        <v>3</v>
      </c>
      <c r="U10" s="16">
        <v>3</v>
      </c>
      <c r="V10" s="16">
        <v>4</v>
      </c>
      <c r="W10" s="16">
        <v>3</v>
      </c>
      <c r="X10" s="16">
        <v>3</v>
      </c>
      <c r="Y10" s="16">
        <v>3</v>
      </c>
      <c r="Z10" s="16">
        <v>2</v>
      </c>
      <c r="AA10" s="16">
        <v>2</v>
      </c>
      <c r="AB10" s="16">
        <v>3</v>
      </c>
      <c r="AC10" s="16">
        <v>3</v>
      </c>
      <c r="AD10" s="16">
        <v>2</v>
      </c>
      <c r="AE10" s="40">
        <v>3</v>
      </c>
      <c r="AF10" s="41"/>
      <c r="AG10" s="15">
        <v>3</v>
      </c>
      <c r="AH10" s="15">
        <v>3</v>
      </c>
      <c r="AI10" s="15">
        <v>2</v>
      </c>
      <c r="AJ10" s="15">
        <v>2</v>
      </c>
      <c r="AK10" s="15">
        <v>3</v>
      </c>
      <c r="AL10" s="42">
        <v>3</v>
      </c>
      <c r="AM10" s="43"/>
      <c r="AN10" s="15">
        <v>3</v>
      </c>
      <c r="AO10" s="42">
        <v>3</v>
      </c>
      <c r="AP10" s="43"/>
      <c r="AQ10" s="15">
        <v>3</v>
      </c>
      <c r="AR10" s="42">
        <v>3</v>
      </c>
      <c r="AS10" s="43"/>
      <c r="AT10" s="15">
        <v>3</v>
      </c>
      <c r="AU10" s="15">
        <v>3</v>
      </c>
      <c r="AV10" s="15">
        <v>3</v>
      </c>
      <c r="AW10" s="42">
        <v>2</v>
      </c>
      <c r="AX10" s="43"/>
      <c r="AY10" s="40">
        <v>3</v>
      </c>
      <c r="AZ10" s="41"/>
      <c r="BA10" s="42"/>
      <c r="BB10" s="43">
        <v>2</v>
      </c>
      <c r="BC10" s="172">
        <v>3</v>
      </c>
      <c r="BD10" s="173"/>
      <c r="BE10" s="172">
        <v>3</v>
      </c>
      <c r="BF10" s="173"/>
      <c r="BG10" s="172">
        <v>3</v>
      </c>
      <c r="BH10" s="174"/>
      <c r="BI10" s="173"/>
      <c r="BJ10" s="172">
        <v>3</v>
      </c>
      <c r="BK10" s="173"/>
      <c r="BL10" s="15">
        <v>5</v>
      </c>
      <c r="BM10" s="104"/>
      <c r="BN10" s="104">
        <v>3</v>
      </c>
      <c r="BO10" s="104">
        <v>3</v>
      </c>
      <c r="BP10" s="83">
        <v>2</v>
      </c>
      <c r="BQ10" s="83">
        <v>2</v>
      </c>
      <c r="BR10" s="81"/>
      <c r="BS10" s="82"/>
      <c r="BT10" s="15"/>
    </row>
    <row r="11" spans="1:72" s="109" customFormat="1" ht="18" customHeight="1" x14ac:dyDescent="0.2">
      <c r="A11" s="17" t="s">
        <v>72</v>
      </c>
      <c r="B11" s="33" t="s">
        <v>158</v>
      </c>
      <c r="C11" s="95"/>
      <c r="D11" s="95"/>
      <c r="E11" s="34"/>
      <c r="F11" s="6"/>
      <c r="G11" s="17"/>
      <c r="H11" s="17"/>
      <c r="I11" s="17"/>
      <c r="J11" s="17"/>
      <c r="K11" s="17"/>
      <c r="L11" s="18"/>
      <c r="M11" s="17"/>
      <c r="N11" s="17"/>
      <c r="O11" s="7"/>
      <c r="P11" s="19"/>
      <c r="Q11" s="19"/>
      <c r="R11" s="7"/>
      <c r="S11" s="19"/>
      <c r="T11" s="7"/>
      <c r="U11" s="7"/>
      <c r="V11" s="7"/>
      <c r="W11" s="7"/>
      <c r="X11" s="7"/>
      <c r="Y11" s="7"/>
      <c r="Z11" s="7"/>
      <c r="AA11" s="7"/>
      <c r="AB11" s="7"/>
      <c r="AC11" s="7"/>
      <c r="AD11" s="7"/>
      <c r="AE11" s="7"/>
      <c r="AF11" s="7"/>
      <c r="AG11" s="17"/>
      <c r="AH11" s="17"/>
      <c r="AI11" s="17"/>
      <c r="AJ11" s="17"/>
      <c r="AK11" s="17"/>
      <c r="AL11" s="17"/>
      <c r="AM11" s="17"/>
      <c r="AN11" s="17"/>
      <c r="AO11" s="17"/>
      <c r="AP11" s="17"/>
      <c r="AQ11" s="17"/>
      <c r="AR11" s="17"/>
      <c r="AS11" s="17"/>
      <c r="AT11" s="17"/>
      <c r="AU11" s="17"/>
      <c r="AV11" s="17"/>
      <c r="AW11" s="17"/>
      <c r="AX11" s="17"/>
      <c r="AY11" s="7"/>
      <c r="AZ11" s="7"/>
      <c r="BA11" s="17"/>
      <c r="BB11" s="17"/>
      <c r="BC11" s="17"/>
      <c r="BD11" s="17"/>
      <c r="BE11" s="17"/>
      <c r="BF11" s="17"/>
      <c r="BG11" s="17"/>
      <c r="BH11" s="17"/>
      <c r="BI11" s="17"/>
      <c r="BJ11" s="35"/>
      <c r="BK11" s="35"/>
      <c r="BL11" s="17"/>
      <c r="BM11" s="17"/>
      <c r="BN11" s="17"/>
      <c r="BO11" s="17"/>
      <c r="BP11" s="84"/>
      <c r="BQ11" s="84"/>
      <c r="BR11" s="85"/>
      <c r="BS11" s="86">
        <f>$BR$9-BR11</f>
        <v>132</v>
      </c>
      <c r="BT11" s="108"/>
    </row>
    <row r="12" spans="1:72" s="110" customFormat="1" ht="33.75" customHeight="1" x14ac:dyDescent="0.2">
      <c r="A12" s="50">
        <v>1</v>
      </c>
      <c r="B12" s="52" t="s">
        <v>154</v>
      </c>
      <c r="C12" s="53" t="s">
        <v>155</v>
      </c>
      <c r="D12" s="53" t="s">
        <v>156</v>
      </c>
      <c r="E12" s="55" t="s">
        <v>157</v>
      </c>
      <c r="F12" s="54" t="s">
        <v>233</v>
      </c>
      <c r="G12" s="50">
        <v>6.4</v>
      </c>
      <c r="H12" s="50">
        <v>7</v>
      </c>
      <c r="I12" s="50">
        <v>7.4</v>
      </c>
      <c r="J12" s="50">
        <v>6.9</v>
      </c>
      <c r="K12" s="50">
        <v>6.8</v>
      </c>
      <c r="L12" s="98"/>
      <c r="M12" s="50"/>
      <c r="N12" s="50"/>
      <c r="O12" s="37"/>
      <c r="P12" s="37"/>
      <c r="Q12" s="37"/>
      <c r="R12" s="37"/>
      <c r="S12" s="44">
        <v>6.1</v>
      </c>
      <c r="T12" s="37"/>
      <c r="U12" s="37">
        <v>7.6</v>
      </c>
      <c r="V12" s="37">
        <v>8.25</v>
      </c>
      <c r="W12" s="37">
        <v>8.3000000000000007</v>
      </c>
      <c r="X12" s="37">
        <v>8.5</v>
      </c>
      <c r="Y12" s="37">
        <v>8.3000000000000007</v>
      </c>
      <c r="Z12" s="37">
        <v>7.5</v>
      </c>
      <c r="AA12" s="37"/>
      <c r="AB12" s="37">
        <v>7.9</v>
      </c>
      <c r="AC12" s="37">
        <v>7.9</v>
      </c>
      <c r="AD12" s="37">
        <v>6.8</v>
      </c>
      <c r="AE12" s="37">
        <v>7.5</v>
      </c>
      <c r="AF12" s="37"/>
      <c r="AG12" s="50"/>
      <c r="AH12" s="50">
        <v>7.5</v>
      </c>
      <c r="AI12" s="50"/>
      <c r="AJ12" s="50">
        <v>8.5</v>
      </c>
      <c r="AK12" s="50">
        <v>8.3000000000000007</v>
      </c>
      <c r="AL12" s="50">
        <v>6.7</v>
      </c>
      <c r="AM12" s="50"/>
      <c r="AN12" s="50"/>
      <c r="AO12" s="50"/>
      <c r="AP12" s="50"/>
      <c r="AQ12" s="50">
        <v>6.1</v>
      </c>
      <c r="AR12" s="50">
        <v>8.1999999999999993</v>
      </c>
      <c r="AS12" s="50"/>
      <c r="AT12" s="50"/>
      <c r="AU12" s="50"/>
      <c r="AV12" s="50"/>
      <c r="AW12" s="50">
        <v>9</v>
      </c>
      <c r="AX12" s="50"/>
      <c r="AY12" s="37"/>
      <c r="AZ12" s="37"/>
      <c r="BA12" s="50"/>
      <c r="BB12" s="50"/>
      <c r="BC12" s="50"/>
      <c r="BD12" s="50"/>
      <c r="BE12" s="50"/>
      <c r="BF12" s="50"/>
      <c r="BG12" s="50"/>
      <c r="BH12" s="50"/>
      <c r="BI12" s="50"/>
      <c r="BJ12" s="50"/>
      <c r="BK12" s="50"/>
      <c r="BL12" s="50"/>
      <c r="BM12" s="50"/>
      <c r="BN12" s="50">
        <v>7.5</v>
      </c>
      <c r="BO12" s="48"/>
      <c r="BP12" s="99">
        <v>9</v>
      </c>
      <c r="BQ12" s="99">
        <v>9.1999999999999993</v>
      </c>
      <c r="BR12" s="87">
        <f>SUMIF(G12:BO12,"&gt;0",$G$10:$BO$10)</f>
        <v>65</v>
      </c>
      <c r="BS12" s="88">
        <f>$BR$9-BR12</f>
        <v>67</v>
      </c>
      <c r="BT12" s="122">
        <f>BR12/132*100</f>
        <v>49.242424242424242</v>
      </c>
    </row>
    <row r="13" spans="1:72" s="110" customFormat="1" ht="33.75" customHeight="1" x14ac:dyDescent="0.2">
      <c r="A13" s="37">
        <v>2</v>
      </c>
      <c r="B13" s="52" t="s">
        <v>152</v>
      </c>
      <c r="C13" s="111" t="s">
        <v>84</v>
      </c>
      <c r="D13" s="111" t="s">
        <v>85</v>
      </c>
      <c r="E13" s="112" t="s">
        <v>86</v>
      </c>
      <c r="F13" s="49" t="s">
        <v>87</v>
      </c>
      <c r="G13" s="39">
        <v>6.5</v>
      </c>
      <c r="H13" s="39">
        <v>6.5</v>
      </c>
      <c r="I13" s="39"/>
      <c r="J13" s="39">
        <v>6.3</v>
      </c>
      <c r="K13" s="39">
        <v>6</v>
      </c>
      <c r="L13" s="39"/>
      <c r="M13" s="39"/>
      <c r="N13" s="39"/>
      <c r="O13" s="39"/>
      <c r="P13" s="39"/>
      <c r="Q13" s="39"/>
      <c r="R13" s="39">
        <v>8</v>
      </c>
      <c r="S13" s="39">
        <v>7.1</v>
      </c>
      <c r="T13" s="39"/>
      <c r="U13" s="39">
        <v>8</v>
      </c>
      <c r="V13" s="39">
        <v>6.3</v>
      </c>
      <c r="W13" s="39">
        <v>6.5</v>
      </c>
      <c r="X13" s="39">
        <v>6.8</v>
      </c>
      <c r="Y13" s="39">
        <v>7</v>
      </c>
      <c r="Z13" s="39">
        <v>7.2</v>
      </c>
      <c r="AA13" s="39"/>
      <c r="AB13" s="39">
        <v>6.2</v>
      </c>
      <c r="AC13" s="39">
        <v>7.3</v>
      </c>
      <c r="AD13" s="39">
        <v>9.1999999999999993</v>
      </c>
      <c r="AE13" s="39">
        <v>6.3</v>
      </c>
      <c r="AF13" s="39"/>
      <c r="AG13" s="39">
        <v>5.8</v>
      </c>
      <c r="AH13" s="50">
        <v>7.3</v>
      </c>
      <c r="AI13" s="50"/>
      <c r="AJ13" s="50"/>
      <c r="AK13" s="50">
        <v>8.5</v>
      </c>
      <c r="AL13" s="50">
        <v>5.8</v>
      </c>
      <c r="AM13" s="50"/>
      <c r="AN13" s="50">
        <v>7.5</v>
      </c>
      <c r="AO13" s="50">
        <v>5.7</v>
      </c>
      <c r="AP13" s="50"/>
      <c r="AQ13" s="50">
        <v>7.3</v>
      </c>
      <c r="AR13" s="50"/>
      <c r="AS13" s="39"/>
      <c r="AT13" s="50"/>
      <c r="AU13" s="50"/>
      <c r="AV13" s="50"/>
      <c r="AW13" s="50"/>
      <c r="AX13" s="50"/>
      <c r="AY13" s="50"/>
      <c r="AZ13" s="50"/>
      <c r="BA13" s="50"/>
      <c r="BB13" s="50"/>
      <c r="BC13" s="50"/>
      <c r="BD13" s="50"/>
      <c r="BE13" s="50"/>
      <c r="BF13" s="50"/>
      <c r="BG13" s="50"/>
      <c r="BH13" s="50"/>
      <c r="BI13" s="50"/>
      <c r="BJ13" s="50"/>
      <c r="BK13" s="50"/>
      <c r="BL13" s="50"/>
      <c r="BM13" s="50"/>
      <c r="BN13" s="50"/>
      <c r="BO13" s="50"/>
      <c r="BP13" s="50" t="s">
        <v>16</v>
      </c>
      <c r="BQ13" s="50" t="s">
        <v>16</v>
      </c>
      <c r="BR13" s="89">
        <f>SUMIF(G13:BO13,"&gt;0", $G$10:$BO$10)</f>
        <v>66</v>
      </c>
      <c r="BS13" s="88">
        <f>$BR$9-BR13</f>
        <v>66</v>
      </c>
      <c r="BT13" s="122">
        <f>BR13/132*100</f>
        <v>50</v>
      </c>
    </row>
    <row r="14" spans="1:72" s="110" customFormat="1" ht="33.75" customHeight="1" x14ac:dyDescent="0.2">
      <c r="A14" s="37">
        <v>3</v>
      </c>
      <c r="B14" s="52" t="s">
        <v>153</v>
      </c>
      <c r="C14" s="111" t="s">
        <v>75</v>
      </c>
      <c r="D14" s="111" t="s">
        <v>81</v>
      </c>
      <c r="E14" s="113" t="s">
        <v>82</v>
      </c>
      <c r="F14" s="49" t="s">
        <v>83</v>
      </c>
      <c r="G14" s="39">
        <v>7</v>
      </c>
      <c r="H14" s="39">
        <v>7</v>
      </c>
      <c r="I14" s="39"/>
      <c r="J14" s="39">
        <v>6</v>
      </c>
      <c r="K14" s="39">
        <v>6</v>
      </c>
      <c r="L14" s="39">
        <v>8</v>
      </c>
      <c r="M14" s="39"/>
      <c r="N14" s="39"/>
      <c r="O14" s="39"/>
      <c r="P14" s="39"/>
      <c r="Q14" s="39"/>
      <c r="R14" s="39">
        <v>7</v>
      </c>
      <c r="S14" s="39">
        <v>8</v>
      </c>
      <c r="T14" s="39">
        <v>8</v>
      </c>
      <c r="U14" s="39"/>
      <c r="V14" s="39">
        <v>8</v>
      </c>
      <c r="W14" s="39">
        <v>7</v>
      </c>
      <c r="X14" s="39">
        <v>8</v>
      </c>
      <c r="Y14" s="39">
        <v>6</v>
      </c>
      <c r="Z14" s="39">
        <v>6</v>
      </c>
      <c r="AA14" s="39">
        <v>9</v>
      </c>
      <c r="AB14" s="39">
        <v>9</v>
      </c>
      <c r="AC14" s="39">
        <v>7</v>
      </c>
      <c r="AD14" s="39">
        <v>6</v>
      </c>
      <c r="AE14" s="39">
        <v>6</v>
      </c>
      <c r="AF14" s="39"/>
      <c r="AG14" s="39">
        <v>8</v>
      </c>
      <c r="AH14" s="39">
        <v>7</v>
      </c>
      <c r="AI14" s="39"/>
      <c r="AJ14" s="39">
        <v>7</v>
      </c>
      <c r="AK14" s="39">
        <v>7</v>
      </c>
      <c r="AL14" s="39"/>
      <c r="AM14" s="39"/>
      <c r="AN14" s="39"/>
      <c r="AO14" s="39"/>
      <c r="AP14" s="39"/>
      <c r="AQ14" s="39">
        <v>8</v>
      </c>
      <c r="AR14" s="39">
        <v>8</v>
      </c>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t="s">
        <v>16</v>
      </c>
      <c r="BQ14" s="50" t="s">
        <v>16</v>
      </c>
      <c r="BR14" s="89">
        <f>SUMIF(G14:BO14,"&gt;0", $G$10:$BO$10)</f>
        <v>66</v>
      </c>
      <c r="BS14" s="88">
        <f>$BR$9-BR14</f>
        <v>66</v>
      </c>
      <c r="BT14" s="122">
        <f>BR14/132*100</f>
        <v>50</v>
      </c>
    </row>
    <row r="15" spans="1:72" s="109" customFormat="1" ht="18" customHeight="1" x14ac:dyDescent="0.2">
      <c r="A15" s="17" t="s">
        <v>18</v>
      </c>
      <c r="B15" s="33" t="s">
        <v>159</v>
      </c>
      <c r="C15" s="95"/>
      <c r="D15" s="95"/>
      <c r="E15" s="34"/>
      <c r="F15" s="6"/>
      <c r="G15" s="17"/>
      <c r="H15" s="17"/>
      <c r="I15" s="17"/>
      <c r="J15" s="17"/>
      <c r="K15" s="17"/>
      <c r="L15" s="17"/>
      <c r="M15" s="17"/>
      <c r="N15" s="17"/>
      <c r="O15" s="7"/>
      <c r="P15" s="19"/>
      <c r="Q15" s="19"/>
      <c r="R15" s="7"/>
      <c r="S15" s="19"/>
      <c r="T15" s="7"/>
      <c r="U15" s="7"/>
      <c r="V15" s="7"/>
      <c r="W15" s="7"/>
      <c r="X15" s="7"/>
      <c r="Y15" s="7"/>
      <c r="Z15" s="7"/>
      <c r="AA15" s="7"/>
      <c r="AB15" s="7"/>
      <c r="AC15" s="7"/>
      <c r="AD15" s="7"/>
      <c r="AE15" s="7"/>
      <c r="AF15" s="7"/>
      <c r="AG15" s="17"/>
      <c r="AH15" s="17"/>
      <c r="AI15" s="17"/>
      <c r="AJ15" s="17"/>
      <c r="AK15" s="17"/>
      <c r="AL15" s="17"/>
      <c r="AM15" s="17"/>
      <c r="AN15" s="17"/>
      <c r="AO15" s="17"/>
      <c r="AP15" s="17"/>
      <c r="AQ15" s="17"/>
      <c r="AR15" s="17"/>
      <c r="AS15" s="17"/>
      <c r="AT15" s="17"/>
      <c r="AU15" s="17"/>
      <c r="AV15" s="17"/>
      <c r="AW15" s="17"/>
      <c r="AX15" s="17"/>
      <c r="AY15" s="7"/>
      <c r="AZ15" s="7"/>
      <c r="BA15" s="17"/>
      <c r="BB15" s="17"/>
      <c r="BC15" s="17"/>
      <c r="BD15" s="17"/>
      <c r="BE15" s="17"/>
      <c r="BF15" s="17"/>
      <c r="BG15" s="17"/>
      <c r="BH15" s="17"/>
      <c r="BI15" s="17"/>
      <c r="BJ15" s="35"/>
      <c r="BK15" s="35"/>
      <c r="BL15" s="17"/>
      <c r="BM15" s="17"/>
      <c r="BN15" s="17"/>
      <c r="BO15" s="17"/>
      <c r="BP15" s="35"/>
      <c r="BQ15" s="35"/>
      <c r="BR15" s="100"/>
      <c r="BS15" s="86"/>
      <c r="BT15" s="101"/>
    </row>
    <row r="16" spans="1:72" s="109" customFormat="1" ht="24" x14ac:dyDescent="0.2">
      <c r="A16" s="90">
        <v>4</v>
      </c>
      <c r="B16" s="52" t="s">
        <v>160</v>
      </c>
      <c r="C16" s="53" t="s">
        <v>161</v>
      </c>
      <c r="D16" s="53" t="s">
        <v>162</v>
      </c>
      <c r="E16" s="55" t="s">
        <v>163</v>
      </c>
      <c r="F16" s="57" t="s">
        <v>217</v>
      </c>
      <c r="G16" s="50">
        <v>5.9</v>
      </c>
      <c r="H16" s="50">
        <v>5.6</v>
      </c>
      <c r="I16" s="50">
        <v>6.7</v>
      </c>
      <c r="J16" s="50">
        <v>8</v>
      </c>
      <c r="K16" s="50">
        <v>6.6</v>
      </c>
      <c r="L16" s="50">
        <v>6.3</v>
      </c>
      <c r="M16" s="50"/>
      <c r="N16" s="50">
        <v>5.0999999999999996</v>
      </c>
      <c r="O16" s="50"/>
      <c r="P16" s="50"/>
      <c r="Q16" s="50">
        <v>7.5</v>
      </c>
      <c r="R16" s="50"/>
      <c r="S16" s="39">
        <v>6.8</v>
      </c>
      <c r="T16" s="39"/>
      <c r="U16" s="50"/>
      <c r="V16" s="39">
        <v>6.75</v>
      </c>
      <c r="W16" s="39">
        <v>7.5</v>
      </c>
      <c r="X16" s="39">
        <v>7.9</v>
      </c>
      <c r="Y16" s="39"/>
      <c r="Z16" s="50"/>
      <c r="AA16" s="50"/>
      <c r="AB16" s="50"/>
      <c r="AC16" s="50"/>
      <c r="AD16" s="50"/>
      <c r="AE16" s="50"/>
      <c r="AF16" s="50"/>
      <c r="AG16" s="50"/>
      <c r="AH16" s="50"/>
      <c r="AI16" s="50"/>
      <c r="AJ16" s="50"/>
      <c r="AK16" s="50"/>
      <c r="AL16" s="50"/>
      <c r="AM16" s="50"/>
      <c r="AN16" s="37"/>
      <c r="AO16" s="50"/>
      <c r="AP16" s="50"/>
      <c r="AQ16" s="50"/>
      <c r="AR16" s="39"/>
      <c r="AS16" s="39"/>
      <c r="AT16" s="50"/>
      <c r="AU16" s="50"/>
      <c r="AV16" s="50"/>
      <c r="AW16" s="50"/>
      <c r="AX16" s="50"/>
      <c r="AY16" s="50"/>
      <c r="AZ16" s="50"/>
      <c r="BA16" s="50"/>
      <c r="BB16" s="50"/>
      <c r="BC16" s="50"/>
      <c r="BD16" s="50"/>
      <c r="BE16" s="50"/>
      <c r="BF16" s="39"/>
      <c r="BG16" s="50"/>
      <c r="BH16" s="50"/>
      <c r="BI16" s="50"/>
      <c r="BJ16" s="50"/>
      <c r="BK16" s="50"/>
      <c r="BL16" s="50"/>
      <c r="BM16" s="50"/>
      <c r="BN16" s="50"/>
      <c r="BO16" s="50"/>
      <c r="BP16" s="50" t="s">
        <v>16</v>
      </c>
      <c r="BQ16" s="50" t="s">
        <v>16</v>
      </c>
      <c r="BR16" s="89">
        <f t="shared" ref="BR16:BR25" si="0">SUMIF(G16:BO16,"&gt;0", $G$10:$BO$10)</f>
        <v>30</v>
      </c>
      <c r="BS16" s="88">
        <f t="shared" ref="BS16:BS25" si="1">$BR$9-BR16</f>
        <v>102</v>
      </c>
      <c r="BT16" s="123">
        <f t="shared" ref="BT16:BT25" si="2">BR16/132*100</f>
        <v>22.727272727272727</v>
      </c>
    </row>
    <row r="17" spans="1:72" s="109" customFormat="1" ht="24" x14ac:dyDescent="0.2">
      <c r="A17" s="90">
        <v>5</v>
      </c>
      <c r="B17" s="52" t="s">
        <v>164</v>
      </c>
      <c r="C17" s="96" t="s">
        <v>165</v>
      </c>
      <c r="D17" s="96" t="s">
        <v>166</v>
      </c>
      <c r="E17" s="56" t="s">
        <v>167</v>
      </c>
      <c r="F17" s="57" t="s">
        <v>218</v>
      </c>
      <c r="G17" s="39">
        <v>6</v>
      </c>
      <c r="H17" s="39">
        <v>6</v>
      </c>
      <c r="I17" s="39">
        <v>8</v>
      </c>
      <c r="J17" s="39">
        <v>7</v>
      </c>
      <c r="K17" s="39">
        <v>6</v>
      </c>
      <c r="L17" s="39">
        <v>5</v>
      </c>
      <c r="M17" s="39"/>
      <c r="N17" s="39"/>
      <c r="O17" s="39"/>
      <c r="P17" s="39"/>
      <c r="Q17" s="39"/>
      <c r="R17" s="39">
        <v>5</v>
      </c>
      <c r="S17" s="39">
        <v>6</v>
      </c>
      <c r="T17" s="39">
        <v>7</v>
      </c>
      <c r="U17" s="39"/>
      <c r="V17" s="39">
        <v>6</v>
      </c>
      <c r="W17" s="39">
        <v>5</v>
      </c>
      <c r="X17" s="39">
        <v>7</v>
      </c>
      <c r="Y17" s="39"/>
      <c r="Z17" s="39"/>
      <c r="AA17" s="39"/>
      <c r="AB17" s="39"/>
      <c r="AC17" s="39"/>
      <c r="AD17" s="39"/>
      <c r="AE17" s="39"/>
      <c r="AF17" s="39"/>
      <c r="AG17" s="39"/>
      <c r="AH17" s="50"/>
      <c r="AI17" s="50"/>
      <c r="AJ17" s="50"/>
      <c r="AK17" s="50"/>
      <c r="AL17" s="50"/>
      <c r="AM17" s="50"/>
      <c r="AN17" s="50"/>
      <c r="AO17" s="50"/>
      <c r="AP17" s="50"/>
      <c r="AQ17" s="50"/>
      <c r="AR17" s="50"/>
      <c r="AS17" s="39"/>
      <c r="AT17" s="50"/>
      <c r="AU17" s="50"/>
      <c r="AV17" s="50"/>
      <c r="AW17" s="50"/>
      <c r="AX17" s="50"/>
      <c r="AY17" s="50"/>
      <c r="AZ17" s="50"/>
      <c r="BA17" s="50"/>
      <c r="BB17" s="50"/>
      <c r="BC17" s="50"/>
      <c r="BD17" s="50"/>
      <c r="BE17" s="50"/>
      <c r="BF17" s="50"/>
      <c r="BG17" s="50"/>
      <c r="BH17" s="50"/>
      <c r="BI17" s="50"/>
      <c r="BJ17" s="50"/>
      <c r="BK17" s="50"/>
      <c r="BL17" s="50"/>
      <c r="BM17" s="50"/>
      <c r="BN17" s="50"/>
      <c r="BO17" s="50"/>
      <c r="BP17" s="50" t="s">
        <v>16</v>
      </c>
      <c r="BQ17" s="50" t="s">
        <v>16</v>
      </c>
      <c r="BR17" s="89">
        <f t="shared" si="0"/>
        <v>33</v>
      </c>
      <c r="BS17" s="88">
        <f t="shared" si="1"/>
        <v>99</v>
      </c>
      <c r="BT17" s="123">
        <f t="shared" si="2"/>
        <v>25</v>
      </c>
    </row>
    <row r="18" spans="1:72" s="109" customFormat="1" ht="45" customHeight="1" x14ac:dyDescent="0.2">
      <c r="A18" s="90">
        <v>6</v>
      </c>
      <c r="B18" s="52" t="s">
        <v>168</v>
      </c>
      <c r="C18" s="96" t="s">
        <v>169</v>
      </c>
      <c r="D18" s="96" t="s">
        <v>170</v>
      </c>
      <c r="E18" s="56" t="s">
        <v>171</v>
      </c>
      <c r="F18" s="16" t="s">
        <v>219</v>
      </c>
      <c r="G18" s="39">
        <v>8</v>
      </c>
      <c r="H18" s="39">
        <v>8</v>
      </c>
      <c r="I18" s="39">
        <v>6</v>
      </c>
      <c r="J18" s="39">
        <v>7</v>
      </c>
      <c r="K18" s="39">
        <v>7</v>
      </c>
      <c r="L18" s="39">
        <v>7</v>
      </c>
      <c r="M18" s="39"/>
      <c r="N18" s="39">
        <v>6</v>
      </c>
      <c r="O18" s="39"/>
      <c r="P18" s="39"/>
      <c r="Q18" s="39">
        <v>8</v>
      </c>
      <c r="R18" s="39"/>
      <c r="S18" s="39">
        <v>8</v>
      </c>
      <c r="T18" s="39"/>
      <c r="U18" s="39"/>
      <c r="V18" s="39">
        <v>7</v>
      </c>
      <c r="W18" s="39">
        <v>5</v>
      </c>
      <c r="X18" s="39">
        <v>7</v>
      </c>
      <c r="Y18" s="39"/>
      <c r="Z18" s="39"/>
      <c r="AA18" s="39"/>
      <c r="AB18" s="39"/>
      <c r="AC18" s="39"/>
      <c r="AD18" s="39"/>
      <c r="AE18" s="39"/>
      <c r="AF18" s="39"/>
      <c r="AG18" s="39"/>
      <c r="AH18" s="50"/>
      <c r="AI18" s="50"/>
      <c r="AJ18" s="50"/>
      <c r="AK18" s="50"/>
      <c r="AL18" s="50"/>
      <c r="AM18" s="50"/>
      <c r="AN18" s="50"/>
      <c r="AO18" s="50"/>
      <c r="AP18" s="50"/>
      <c r="AQ18" s="50"/>
      <c r="AR18" s="50"/>
      <c r="AS18" s="39"/>
      <c r="AT18" s="50"/>
      <c r="AU18" s="50"/>
      <c r="AV18" s="50"/>
      <c r="AW18" s="50"/>
      <c r="AX18" s="50"/>
      <c r="AY18" s="50"/>
      <c r="AZ18" s="50"/>
      <c r="BA18" s="50"/>
      <c r="BB18" s="50"/>
      <c r="BC18" s="50"/>
      <c r="BD18" s="50"/>
      <c r="BE18" s="50"/>
      <c r="BF18" s="50"/>
      <c r="BG18" s="50"/>
      <c r="BH18" s="50"/>
      <c r="BI18" s="50"/>
      <c r="BJ18" s="50"/>
      <c r="BK18" s="50"/>
      <c r="BL18" s="50"/>
      <c r="BM18" s="50"/>
      <c r="BN18" s="50"/>
      <c r="BO18" s="50"/>
      <c r="BP18" s="50" t="s">
        <v>16</v>
      </c>
      <c r="BQ18" s="50" t="s">
        <v>16</v>
      </c>
      <c r="BR18" s="89">
        <f t="shared" si="0"/>
        <v>30</v>
      </c>
      <c r="BS18" s="88">
        <f t="shared" si="1"/>
        <v>102</v>
      </c>
      <c r="BT18" s="123">
        <f t="shared" si="2"/>
        <v>22.727272727272727</v>
      </c>
    </row>
    <row r="19" spans="1:72" s="109" customFormat="1" ht="32.25" customHeight="1" x14ac:dyDescent="0.2">
      <c r="A19" s="90">
        <v>7</v>
      </c>
      <c r="B19" s="52" t="s">
        <v>172</v>
      </c>
      <c r="C19" s="96" t="s">
        <v>173</v>
      </c>
      <c r="D19" s="96" t="s">
        <v>174</v>
      </c>
      <c r="E19" s="56" t="s">
        <v>175</v>
      </c>
      <c r="F19" s="16" t="s">
        <v>220</v>
      </c>
      <c r="G19" s="44">
        <v>5.5</v>
      </c>
      <c r="H19" s="44">
        <v>8</v>
      </c>
      <c r="I19" s="44">
        <v>7</v>
      </c>
      <c r="J19" s="44">
        <v>5</v>
      </c>
      <c r="K19" s="44">
        <v>7</v>
      </c>
      <c r="L19" s="44">
        <v>6.4</v>
      </c>
      <c r="M19" s="44"/>
      <c r="N19" s="44">
        <v>5</v>
      </c>
      <c r="O19" s="44"/>
      <c r="P19" s="44"/>
      <c r="Q19" s="114"/>
      <c r="R19" s="44"/>
      <c r="S19" s="44">
        <v>5</v>
      </c>
      <c r="T19" s="44"/>
      <c r="U19" s="44"/>
      <c r="V19" s="44">
        <v>9</v>
      </c>
      <c r="W19" s="39">
        <v>5</v>
      </c>
      <c r="X19" s="39"/>
      <c r="Y19" s="39"/>
      <c r="Z19" s="39"/>
      <c r="AA19" s="39"/>
      <c r="AB19" s="39"/>
      <c r="AC19" s="39"/>
      <c r="AD19" s="39"/>
      <c r="AE19" s="39"/>
      <c r="AF19" s="39"/>
      <c r="AG19" s="39"/>
      <c r="AH19" s="50"/>
      <c r="AI19" s="50"/>
      <c r="AJ19" s="50"/>
      <c r="AK19" s="50"/>
      <c r="AL19" s="50"/>
      <c r="AM19" s="50"/>
      <c r="AN19" s="50"/>
      <c r="AO19" s="50"/>
      <c r="AP19" s="50"/>
      <c r="AQ19" s="50"/>
      <c r="AR19" s="50"/>
      <c r="AS19" s="39"/>
      <c r="AT19" s="50"/>
      <c r="AU19" s="50"/>
      <c r="AV19" s="50"/>
      <c r="AW19" s="50"/>
      <c r="AX19" s="50"/>
      <c r="AY19" s="50"/>
      <c r="AZ19" s="50"/>
      <c r="BA19" s="50"/>
      <c r="BB19" s="50"/>
      <c r="BC19" s="50"/>
      <c r="BD19" s="50"/>
      <c r="BE19" s="50"/>
      <c r="BF19" s="50"/>
      <c r="BG19" s="50"/>
      <c r="BH19" s="50"/>
      <c r="BI19" s="50"/>
      <c r="BJ19" s="50"/>
      <c r="BK19" s="50"/>
      <c r="BL19" s="50"/>
      <c r="BM19" s="50"/>
      <c r="BN19" s="50"/>
      <c r="BO19" s="50"/>
      <c r="BP19" s="50" t="s">
        <v>16</v>
      </c>
      <c r="BQ19" s="50" t="s">
        <v>16</v>
      </c>
      <c r="BR19" s="89">
        <f t="shared" si="0"/>
        <v>25</v>
      </c>
      <c r="BS19" s="88">
        <f t="shared" si="1"/>
        <v>107</v>
      </c>
      <c r="BT19" s="123">
        <f t="shared" si="2"/>
        <v>18.939393939393938</v>
      </c>
    </row>
    <row r="20" spans="1:72" s="109" customFormat="1" ht="32.25" customHeight="1" x14ac:dyDescent="0.2">
      <c r="A20" s="90">
        <v>8</v>
      </c>
      <c r="B20" s="52" t="s">
        <v>176</v>
      </c>
      <c r="C20" s="96" t="s">
        <v>84</v>
      </c>
      <c r="D20" s="96" t="s">
        <v>177</v>
      </c>
      <c r="E20" s="56" t="s">
        <v>178</v>
      </c>
      <c r="F20" s="16" t="s">
        <v>221</v>
      </c>
      <c r="G20" s="44">
        <v>6</v>
      </c>
      <c r="H20" s="44">
        <v>7</v>
      </c>
      <c r="I20" s="44"/>
      <c r="J20" s="44">
        <v>6</v>
      </c>
      <c r="K20" s="44">
        <v>8</v>
      </c>
      <c r="L20" s="44">
        <v>6</v>
      </c>
      <c r="M20" s="44"/>
      <c r="N20" s="44"/>
      <c r="O20" s="44"/>
      <c r="P20" s="44"/>
      <c r="Q20" s="114"/>
      <c r="R20" s="44">
        <v>6</v>
      </c>
      <c r="S20" s="44">
        <v>6.5</v>
      </c>
      <c r="T20" s="44"/>
      <c r="U20" s="44"/>
      <c r="V20" s="44">
        <v>5.4</v>
      </c>
      <c r="W20" s="39">
        <v>6</v>
      </c>
      <c r="X20" s="39">
        <v>6</v>
      </c>
      <c r="Y20" s="39"/>
      <c r="Z20" s="39"/>
      <c r="AA20" s="39"/>
      <c r="AB20" s="39"/>
      <c r="AC20" s="39"/>
      <c r="AD20" s="39"/>
      <c r="AE20" s="39"/>
      <c r="AF20" s="39"/>
      <c r="AG20" s="39"/>
      <c r="AH20" s="50"/>
      <c r="AI20" s="50"/>
      <c r="AJ20" s="50"/>
      <c r="AK20" s="50"/>
      <c r="AL20" s="50"/>
      <c r="AM20" s="50"/>
      <c r="AN20" s="50"/>
      <c r="AO20" s="50"/>
      <c r="AP20" s="50"/>
      <c r="AQ20" s="50"/>
      <c r="AR20" s="50"/>
      <c r="AS20" s="39"/>
      <c r="AT20" s="50"/>
      <c r="AU20" s="50"/>
      <c r="AV20" s="50"/>
      <c r="AW20" s="50"/>
      <c r="AX20" s="50"/>
      <c r="AY20" s="50"/>
      <c r="AZ20" s="50"/>
      <c r="BA20" s="50"/>
      <c r="BB20" s="50"/>
      <c r="BC20" s="50"/>
      <c r="BD20" s="50"/>
      <c r="BE20" s="50"/>
      <c r="BF20" s="50"/>
      <c r="BG20" s="50"/>
      <c r="BH20" s="50"/>
      <c r="BI20" s="50"/>
      <c r="BJ20" s="50"/>
      <c r="BK20" s="50"/>
      <c r="BL20" s="50"/>
      <c r="BM20" s="50"/>
      <c r="BN20" s="50"/>
      <c r="BO20" s="50"/>
      <c r="BP20" s="50" t="s">
        <v>16</v>
      </c>
      <c r="BQ20" s="50" t="s">
        <v>16</v>
      </c>
      <c r="BR20" s="89">
        <f t="shared" si="0"/>
        <v>28</v>
      </c>
      <c r="BS20" s="88">
        <f t="shared" si="1"/>
        <v>104</v>
      </c>
      <c r="BT20" s="123">
        <f t="shared" si="2"/>
        <v>21.212121212121211</v>
      </c>
    </row>
    <row r="21" spans="1:72" s="109" customFormat="1" ht="32.25" customHeight="1" x14ac:dyDescent="0.2">
      <c r="A21" s="90">
        <v>9</v>
      </c>
      <c r="B21" s="52" t="s">
        <v>179</v>
      </c>
      <c r="C21" s="96" t="s">
        <v>180</v>
      </c>
      <c r="D21" s="96" t="s">
        <v>181</v>
      </c>
      <c r="E21" s="115" t="s">
        <v>182</v>
      </c>
      <c r="F21" s="16" t="s">
        <v>222</v>
      </c>
      <c r="G21" s="124">
        <v>6</v>
      </c>
      <c r="H21" s="124">
        <v>8</v>
      </c>
      <c r="I21" s="124"/>
      <c r="J21" s="124">
        <v>6</v>
      </c>
      <c r="K21" s="124">
        <v>6</v>
      </c>
      <c r="L21" s="124">
        <v>8</v>
      </c>
      <c r="M21" s="124"/>
      <c r="N21" s="124"/>
      <c r="O21" s="124"/>
      <c r="P21" s="124"/>
      <c r="Q21" s="124"/>
      <c r="R21" s="124"/>
      <c r="S21" s="124">
        <v>6</v>
      </c>
      <c r="T21" s="124"/>
      <c r="U21" s="124"/>
      <c r="V21" s="124">
        <v>7</v>
      </c>
      <c r="W21" s="124">
        <v>6</v>
      </c>
      <c r="X21" s="124">
        <v>8</v>
      </c>
      <c r="Y21" s="39"/>
      <c r="Z21" s="39"/>
      <c r="AA21" s="39"/>
      <c r="AB21" s="39"/>
      <c r="AC21" s="39"/>
      <c r="AD21" s="39"/>
      <c r="AE21" s="39"/>
      <c r="AF21" s="39"/>
      <c r="AG21" s="39"/>
      <c r="AH21" s="50"/>
      <c r="AI21" s="50"/>
      <c r="AJ21" s="50"/>
      <c r="AK21" s="50"/>
      <c r="AL21" s="50"/>
      <c r="AM21" s="50"/>
      <c r="AN21" s="50"/>
      <c r="AO21" s="50"/>
      <c r="AP21" s="50"/>
      <c r="AQ21" s="50"/>
      <c r="AR21" s="50"/>
      <c r="AS21" s="39"/>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89">
        <f t="shared" si="0"/>
        <v>24</v>
      </c>
      <c r="BS21" s="88">
        <f t="shared" si="1"/>
        <v>108</v>
      </c>
      <c r="BT21" s="123">
        <f t="shared" si="2"/>
        <v>18.181818181818183</v>
      </c>
    </row>
    <row r="22" spans="1:72" s="109" customFormat="1" ht="32.25" customHeight="1" x14ac:dyDescent="0.2">
      <c r="A22" s="90">
        <v>10</v>
      </c>
      <c r="B22" s="52" t="s">
        <v>183</v>
      </c>
      <c r="C22" s="96" t="s">
        <v>184</v>
      </c>
      <c r="D22" s="96" t="s">
        <v>185</v>
      </c>
      <c r="E22" s="56" t="s">
        <v>186</v>
      </c>
      <c r="F22" s="16" t="s">
        <v>223</v>
      </c>
      <c r="G22" s="44">
        <v>7.2</v>
      </c>
      <c r="H22" s="44">
        <v>6.3</v>
      </c>
      <c r="I22" s="44">
        <v>7.4</v>
      </c>
      <c r="J22" s="44">
        <v>6.4</v>
      </c>
      <c r="K22" s="44">
        <v>7.1</v>
      </c>
      <c r="L22" s="44">
        <v>6.9</v>
      </c>
      <c r="M22" s="44"/>
      <c r="N22" s="44">
        <v>6.5</v>
      </c>
      <c r="O22" s="44"/>
      <c r="P22" s="44"/>
      <c r="Q22" s="114"/>
      <c r="R22" s="44"/>
      <c r="S22" s="44">
        <v>6.9</v>
      </c>
      <c r="T22" s="44"/>
      <c r="U22" s="44"/>
      <c r="V22" s="44">
        <v>5.8</v>
      </c>
      <c r="W22" s="39">
        <v>6.1</v>
      </c>
      <c r="X22" s="39">
        <v>5.8</v>
      </c>
      <c r="Y22" s="39"/>
      <c r="Z22" s="39"/>
      <c r="AA22" s="39"/>
      <c r="AB22" s="39"/>
      <c r="AC22" s="39"/>
      <c r="AD22" s="39"/>
      <c r="AE22" s="39"/>
      <c r="AF22" s="39"/>
      <c r="AG22" s="39"/>
      <c r="AH22" s="50"/>
      <c r="AI22" s="50"/>
      <c r="AJ22" s="50"/>
      <c r="AK22" s="50"/>
      <c r="AL22" s="50"/>
      <c r="AM22" s="50"/>
      <c r="AN22" s="50"/>
      <c r="AO22" s="50"/>
      <c r="AP22" s="50"/>
      <c r="AQ22" s="50"/>
      <c r="AR22" s="50"/>
      <c r="AS22" s="39"/>
      <c r="AT22" s="50"/>
      <c r="AU22" s="50"/>
      <c r="AV22" s="50"/>
      <c r="AW22" s="50"/>
      <c r="AX22" s="50"/>
      <c r="AY22" s="50"/>
      <c r="AZ22" s="50"/>
      <c r="BA22" s="50"/>
      <c r="BB22" s="50"/>
      <c r="BC22" s="50"/>
      <c r="BD22" s="50"/>
      <c r="BE22" s="50"/>
      <c r="BF22" s="50"/>
      <c r="BG22" s="50"/>
      <c r="BH22" s="50"/>
      <c r="BI22" s="50"/>
      <c r="BJ22" s="50"/>
      <c r="BK22" s="50"/>
      <c r="BL22" s="50"/>
      <c r="BM22" s="50"/>
      <c r="BN22" s="50"/>
      <c r="BO22" s="50"/>
      <c r="BP22" s="50" t="s">
        <v>16</v>
      </c>
      <c r="BQ22" s="50" t="s">
        <v>16</v>
      </c>
      <c r="BR22" s="89">
        <f t="shared" si="0"/>
        <v>28</v>
      </c>
      <c r="BS22" s="88">
        <f t="shared" si="1"/>
        <v>104</v>
      </c>
      <c r="BT22" s="123">
        <f t="shared" si="2"/>
        <v>21.212121212121211</v>
      </c>
    </row>
    <row r="23" spans="1:72" s="109" customFormat="1" ht="32.25" customHeight="1" x14ac:dyDescent="0.2">
      <c r="A23" s="90">
        <v>11</v>
      </c>
      <c r="B23" s="52" t="s">
        <v>187</v>
      </c>
      <c r="C23" s="96" t="s">
        <v>188</v>
      </c>
      <c r="D23" s="96" t="s">
        <v>189</v>
      </c>
      <c r="E23" s="56" t="s">
        <v>190</v>
      </c>
      <c r="F23" s="16" t="s">
        <v>224</v>
      </c>
      <c r="G23" s="103">
        <v>5.5</v>
      </c>
      <c r="H23" s="44">
        <v>6.7</v>
      </c>
      <c r="I23" s="44"/>
      <c r="J23" s="44">
        <v>5</v>
      </c>
      <c r="K23" s="44">
        <v>5.7</v>
      </c>
      <c r="L23" s="103">
        <v>6.5</v>
      </c>
      <c r="M23" s="44"/>
      <c r="N23" s="102">
        <v>8.18</v>
      </c>
      <c r="O23" s="44"/>
      <c r="P23" s="44"/>
      <c r="Q23" s="114"/>
      <c r="R23" s="103">
        <v>6.4</v>
      </c>
      <c r="S23" s="103">
        <v>5.8</v>
      </c>
      <c r="T23" s="44"/>
      <c r="U23" s="44"/>
      <c r="V23" s="44">
        <v>6.4</v>
      </c>
      <c r="W23" s="39">
        <v>6</v>
      </c>
      <c r="X23" s="39">
        <v>7.1</v>
      </c>
      <c r="Y23" s="39"/>
      <c r="Z23" s="39"/>
      <c r="AA23" s="39"/>
      <c r="AB23" s="39"/>
      <c r="AC23" s="39"/>
      <c r="AD23" s="39"/>
      <c r="AE23" s="39"/>
      <c r="AF23" s="39"/>
      <c r="AG23" s="39"/>
      <c r="AH23" s="50"/>
      <c r="AI23" s="50"/>
      <c r="AJ23" s="50"/>
      <c r="AK23" s="50"/>
      <c r="AL23" s="50"/>
      <c r="AM23" s="50"/>
      <c r="AN23" s="50"/>
      <c r="AO23" s="50"/>
      <c r="AP23" s="50"/>
      <c r="AQ23" s="50"/>
      <c r="AR23" s="50"/>
      <c r="AS23" s="39"/>
      <c r="AT23" s="50"/>
      <c r="AU23" s="50"/>
      <c r="AV23" s="50"/>
      <c r="AW23" s="50"/>
      <c r="AX23" s="50"/>
      <c r="AY23" s="50"/>
      <c r="AZ23" s="50"/>
      <c r="BA23" s="50"/>
      <c r="BB23" s="50"/>
      <c r="BC23" s="50"/>
      <c r="BD23" s="50"/>
      <c r="BE23" s="50"/>
      <c r="BF23" s="50"/>
      <c r="BG23" s="50"/>
      <c r="BH23" s="50"/>
      <c r="BI23" s="50"/>
      <c r="BJ23" s="50"/>
      <c r="BK23" s="50"/>
      <c r="BL23" s="50"/>
      <c r="BM23" s="50"/>
      <c r="BN23" s="50"/>
      <c r="BO23" s="50"/>
      <c r="BP23" s="50" t="s">
        <v>16</v>
      </c>
      <c r="BQ23" s="50" t="s">
        <v>16</v>
      </c>
      <c r="BR23" s="89">
        <f t="shared" si="0"/>
        <v>30</v>
      </c>
      <c r="BS23" s="88">
        <f t="shared" si="1"/>
        <v>102</v>
      </c>
      <c r="BT23" s="123">
        <f t="shared" si="2"/>
        <v>22.727272727272727</v>
      </c>
    </row>
    <row r="24" spans="1:72" s="109" customFormat="1" ht="44.25" customHeight="1" x14ac:dyDescent="0.2">
      <c r="A24" s="90">
        <v>12</v>
      </c>
      <c r="B24" s="52" t="s">
        <v>191</v>
      </c>
      <c r="C24" s="96" t="s">
        <v>192</v>
      </c>
      <c r="D24" s="96" t="s">
        <v>193</v>
      </c>
      <c r="E24" s="56" t="s">
        <v>194</v>
      </c>
      <c r="F24" s="16" t="s">
        <v>225</v>
      </c>
      <c r="G24" s="102">
        <v>6.86</v>
      </c>
      <c r="H24" s="44">
        <v>6.5</v>
      </c>
      <c r="I24" s="44"/>
      <c r="J24" s="102">
        <v>7.42</v>
      </c>
      <c r="K24" s="102">
        <v>6.78</v>
      </c>
      <c r="L24" s="44"/>
      <c r="M24" s="44"/>
      <c r="N24" s="44"/>
      <c r="O24" s="44"/>
      <c r="P24" s="44"/>
      <c r="Q24" s="114"/>
      <c r="R24" s="44"/>
      <c r="S24" s="44">
        <v>6</v>
      </c>
      <c r="T24" s="44"/>
      <c r="U24" s="44"/>
      <c r="V24" s="102">
        <v>7.24</v>
      </c>
      <c r="W24" s="102">
        <v>7.24</v>
      </c>
      <c r="X24" s="102">
        <v>7.24</v>
      </c>
      <c r="Y24" s="39"/>
      <c r="Z24" s="39"/>
      <c r="AA24" s="39"/>
      <c r="AB24" s="39"/>
      <c r="AC24" s="39"/>
      <c r="AD24" s="39"/>
      <c r="AE24" s="39"/>
      <c r="AF24" s="39"/>
      <c r="AG24" s="39"/>
      <c r="AH24" s="50"/>
      <c r="AI24" s="50"/>
      <c r="AJ24" s="50"/>
      <c r="AK24" s="50"/>
      <c r="AL24" s="50"/>
      <c r="AM24" s="50"/>
      <c r="AN24" s="50"/>
      <c r="AO24" s="50"/>
      <c r="AP24" s="50"/>
      <c r="AQ24" s="50"/>
      <c r="AR24" s="50"/>
      <c r="AS24" s="39"/>
      <c r="AT24" s="50"/>
      <c r="AU24" s="50"/>
      <c r="AV24" s="50"/>
      <c r="AW24" s="50"/>
      <c r="AX24" s="50"/>
      <c r="AY24" s="50"/>
      <c r="AZ24" s="50"/>
      <c r="BA24" s="50"/>
      <c r="BB24" s="50"/>
      <c r="BC24" s="50"/>
      <c r="BD24" s="50"/>
      <c r="BE24" s="50"/>
      <c r="BF24" s="50"/>
      <c r="BG24" s="50"/>
      <c r="BH24" s="50"/>
      <c r="BI24" s="50"/>
      <c r="BJ24" s="50"/>
      <c r="BK24" s="50"/>
      <c r="BL24" s="50"/>
      <c r="BM24" s="50"/>
      <c r="BN24" s="50"/>
      <c r="BO24" s="50"/>
      <c r="BP24" s="50" t="s">
        <v>16</v>
      </c>
      <c r="BQ24" s="50" t="s">
        <v>16</v>
      </c>
      <c r="BR24" s="89">
        <f t="shared" si="0"/>
        <v>22</v>
      </c>
      <c r="BS24" s="88">
        <f t="shared" si="1"/>
        <v>110</v>
      </c>
      <c r="BT24" s="123">
        <f t="shared" si="2"/>
        <v>16.666666666666664</v>
      </c>
    </row>
    <row r="25" spans="1:72" s="109" customFormat="1" ht="24" x14ac:dyDescent="0.2">
      <c r="A25" s="90">
        <v>13</v>
      </c>
      <c r="B25" s="52" t="s">
        <v>195</v>
      </c>
      <c r="C25" s="96" t="s">
        <v>196</v>
      </c>
      <c r="D25" s="96" t="s">
        <v>197</v>
      </c>
      <c r="E25" s="56" t="s">
        <v>198</v>
      </c>
      <c r="F25" s="16" t="s">
        <v>226</v>
      </c>
      <c r="G25" s="44">
        <v>5</v>
      </c>
      <c r="H25" s="44">
        <v>7</v>
      </c>
      <c r="I25" s="44">
        <v>6</v>
      </c>
      <c r="J25" s="44">
        <v>6</v>
      </c>
      <c r="K25" s="44">
        <v>5</v>
      </c>
      <c r="L25" s="44">
        <v>6</v>
      </c>
      <c r="M25" s="44"/>
      <c r="N25" s="44"/>
      <c r="O25" s="44"/>
      <c r="P25" s="44"/>
      <c r="Q25" s="114"/>
      <c r="R25" s="44">
        <v>5</v>
      </c>
      <c r="S25" s="44">
        <v>5</v>
      </c>
      <c r="T25" s="44">
        <v>7</v>
      </c>
      <c r="U25" s="44"/>
      <c r="V25" s="44">
        <v>5</v>
      </c>
      <c r="W25" s="39">
        <v>6</v>
      </c>
      <c r="X25" s="39">
        <v>7</v>
      </c>
      <c r="Y25" s="39"/>
      <c r="Z25" s="39"/>
      <c r="AA25" s="39"/>
      <c r="AB25" s="39"/>
      <c r="AC25" s="39"/>
      <c r="AD25" s="39"/>
      <c r="AE25" s="39"/>
      <c r="AF25" s="39"/>
      <c r="AG25" s="39"/>
      <c r="AH25" s="50"/>
      <c r="AI25" s="50"/>
      <c r="AJ25" s="50"/>
      <c r="AK25" s="50"/>
      <c r="AL25" s="50"/>
      <c r="AM25" s="50"/>
      <c r="AN25" s="50"/>
      <c r="AO25" s="50"/>
      <c r="AP25" s="50"/>
      <c r="AQ25" s="50"/>
      <c r="AR25" s="50"/>
      <c r="AS25" s="39"/>
      <c r="AT25" s="50"/>
      <c r="AU25" s="50"/>
      <c r="AV25" s="50"/>
      <c r="AW25" s="50"/>
      <c r="AX25" s="50"/>
      <c r="AY25" s="50"/>
      <c r="AZ25" s="50"/>
      <c r="BA25" s="50"/>
      <c r="BB25" s="50"/>
      <c r="BC25" s="50"/>
      <c r="BD25" s="50"/>
      <c r="BE25" s="50"/>
      <c r="BF25" s="50"/>
      <c r="BG25" s="50"/>
      <c r="BH25" s="50"/>
      <c r="BI25" s="50"/>
      <c r="BJ25" s="50"/>
      <c r="BK25" s="50"/>
      <c r="BL25" s="50"/>
      <c r="BM25" s="50"/>
      <c r="BN25" s="50"/>
      <c r="BO25" s="50"/>
      <c r="BP25" s="50" t="s">
        <v>16</v>
      </c>
      <c r="BQ25" s="50" t="s">
        <v>16</v>
      </c>
      <c r="BR25" s="89">
        <f t="shared" si="0"/>
        <v>33</v>
      </c>
      <c r="BS25" s="88">
        <f t="shared" si="1"/>
        <v>99</v>
      </c>
      <c r="BT25" s="123">
        <f t="shared" si="2"/>
        <v>25</v>
      </c>
    </row>
    <row r="26" spans="1:72" s="109" customFormat="1" ht="32.25" customHeight="1" x14ac:dyDescent="0.2">
      <c r="A26" s="90">
        <v>14</v>
      </c>
      <c r="B26" s="52" t="s">
        <v>199</v>
      </c>
      <c r="C26" s="53" t="s">
        <v>91</v>
      </c>
      <c r="D26" s="53" t="s">
        <v>92</v>
      </c>
      <c r="E26" s="55" t="s">
        <v>200</v>
      </c>
      <c r="F26" s="49" t="s">
        <v>215</v>
      </c>
      <c r="G26" s="44">
        <v>7.8</v>
      </c>
      <c r="H26" s="51">
        <v>7.8</v>
      </c>
      <c r="I26" s="51">
        <v>6.6</v>
      </c>
      <c r="J26" s="51">
        <v>6.8</v>
      </c>
      <c r="K26" s="51">
        <v>6.2</v>
      </c>
      <c r="L26" s="51">
        <v>9</v>
      </c>
      <c r="M26" s="51"/>
      <c r="N26" s="51">
        <v>7.4</v>
      </c>
      <c r="O26" s="51"/>
      <c r="P26" s="51"/>
      <c r="R26" s="51">
        <v>8.1999999999999993</v>
      </c>
      <c r="S26" s="51">
        <v>7.9</v>
      </c>
      <c r="T26" s="51"/>
      <c r="U26" s="51"/>
      <c r="V26" s="44">
        <v>7.6</v>
      </c>
      <c r="W26" s="39">
        <v>7.5</v>
      </c>
      <c r="X26" s="39">
        <v>7.6</v>
      </c>
      <c r="Y26" s="39"/>
      <c r="Z26" s="39"/>
      <c r="AA26" s="39"/>
      <c r="AB26" s="39"/>
      <c r="AC26" s="39"/>
      <c r="AD26" s="39"/>
      <c r="AE26" s="39"/>
      <c r="AF26" s="39"/>
      <c r="AG26" s="39"/>
      <c r="AH26" s="50"/>
      <c r="AI26" s="50"/>
      <c r="AJ26" s="50"/>
      <c r="AK26" s="50"/>
      <c r="AL26" s="50"/>
      <c r="AM26" s="50"/>
      <c r="AN26" s="50"/>
      <c r="AO26" s="50"/>
      <c r="AP26" s="50"/>
      <c r="AQ26" s="50"/>
      <c r="AR26" s="50"/>
      <c r="AS26" s="39"/>
      <c r="AT26" s="50"/>
      <c r="AU26" s="50"/>
      <c r="AV26" s="50"/>
      <c r="AW26" s="50"/>
      <c r="AX26" s="50"/>
      <c r="AY26" s="50"/>
      <c r="AZ26" s="50"/>
      <c r="BA26" s="50"/>
      <c r="BB26" s="50"/>
      <c r="BC26" s="50"/>
      <c r="BD26" s="50"/>
      <c r="BE26" s="50"/>
      <c r="BF26" s="50"/>
      <c r="BG26" s="50"/>
      <c r="BH26" s="50"/>
      <c r="BI26" s="50"/>
      <c r="BJ26" s="50"/>
      <c r="BK26" s="50"/>
      <c r="BL26" s="50"/>
      <c r="BM26" s="50"/>
      <c r="BN26" s="50"/>
      <c r="BO26" s="50"/>
      <c r="BP26" s="50" t="s">
        <v>16</v>
      </c>
      <c r="BQ26" s="50" t="s">
        <v>16</v>
      </c>
      <c r="BR26" s="48">
        <f t="shared" ref="BR26" si="3">SUMIF(G26:BO26,"&gt;0", $G$10:$BO$10)</f>
        <v>32</v>
      </c>
      <c r="BS26" s="88">
        <f t="shared" ref="BS26" si="4">$BR$9-BR26</f>
        <v>100</v>
      </c>
      <c r="BT26" s="123">
        <f t="shared" ref="BT26" si="5">BR26/132*100</f>
        <v>24.242424242424242</v>
      </c>
    </row>
    <row r="27" spans="1:72" s="109" customFormat="1" ht="44.25" customHeight="1" x14ac:dyDescent="0.2">
      <c r="A27" s="90">
        <v>15</v>
      </c>
      <c r="B27" s="52" t="s">
        <v>201</v>
      </c>
      <c r="C27" s="96" t="s">
        <v>202</v>
      </c>
      <c r="D27" s="96" t="s">
        <v>203</v>
      </c>
      <c r="E27" s="56" t="s">
        <v>204</v>
      </c>
      <c r="F27" s="57" t="s">
        <v>227</v>
      </c>
      <c r="G27" s="44">
        <v>5.5</v>
      </c>
      <c r="H27" s="44">
        <v>7</v>
      </c>
      <c r="I27" s="44"/>
      <c r="J27" s="44">
        <v>7</v>
      </c>
      <c r="K27" s="44">
        <v>6</v>
      </c>
      <c r="L27" s="44">
        <v>6.1</v>
      </c>
      <c r="M27" s="44"/>
      <c r="N27" s="44"/>
      <c r="O27" s="44"/>
      <c r="P27" s="44"/>
      <c r="Q27" s="114"/>
      <c r="R27" s="44">
        <v>5.7</v>
      </c>
      <c r="S27" s="44">
        <v>7</v>
      </c>
      <c r="T27" s="44">
        <v>5.2</v>
      </c>
      <c r="U27" s="44"/>
      <c r="V27" s="44">
        <v>6.6</v>
      </c>
      <c r="W27" s="39">
        <v>4.7</v>
      </c>
      <c r="X27" s="39">
        <v>6.5</v>
      </c>
      <c r="Y27" s="39"/>
      <c r="Z27" s="39"/>
      <c r="AA27" s="39"/>
      <c r="AB27" s="39"/>
      <c r="AC27" s="39"/>
      <c r="AD27" s="39"/>
      <c r="AE27" s="39"/>
      <c r="AF27" s="39"/>
      <c r="AG27" s="39"/>
      <c r="AH27" s="50"/>
      <c r="AI27" s="50"/>
      <c r="AJ27" s="50"/>
      <c r="AK27" s="50"/>
      <c r="AL27" s="50"/>
      <c r="AM27" s="50"/>
      <c r="AN27" s="50"/>
      <c r="AO27" s="50"/>
      <c r="AP27" s="50"/>
      <c r="AQ27" s="50"/>
      <c r="AR27" s="50"/>
      <c r="AS27" s="39"/>
      <c r="AT27" s="50"/>
      <c r="AU27" s="50"/>
      <c r="AV27" s="50"/>
      <c r="AW27" s="50"/>
      <c r="AX27" s="50"/>
      <c r="AY27" s="50"/>
      <c r="AZ27" s="50"/>
      <c r="BA27" s="50"/>
      <c r="BB27" s="50"/>
      <c r="BC27" s="50"/>
      <c r="BD27" s="50"/>
      <c r="BE27" s="50"/>
      <c r="BF27" s="50"/>
      <c r="BG27" s="50"/>
      <c r="BH27" s="50"/>
      <c r="BI27" s="50"/>
      <c r="BJ27" s="50"/>
      <c r="BK27" s="50"/>
      <c r="BL27" s="50"/>
      <c r="BM27" s="50"/>
      <c r="BN27" s="50"/>
      <c r="BO27" s="50"/>
      <c r="BP27" s="50" t="s">
        <v>16</v>
      </c>
      <c r="BQ27" s="50" t="s">
        <v>16</v>
      </c>
      <c r="BR27" s="48">
        <f t="shared" ref="BR27:BR29" si="6">SUMIF(G27:BO27,"&gt;0", $G$10:$BO$10)</f>
        <v>31</v>
      </c>
      <c r="BS27" s="88">
        <f t="shared" ref="BS27:BS29" si="7">$BR$9-BR27</f>
        <v>101</v>
      </c>
      <c r="BT27" s="123">
        <f t="shared" ref="BT27:BT29" si="8">BR27/132*100</f>
        <v>23.484848484848484</v>
      </c>
    </row>
    <row r="28" spans="1:72" s="109" customFormat="1" ht="24" x14ac:dyDescent="0.2">
      <c r="A28" s="90">
        <v>16</v>
      </c>
      <c r="B28" s="52" t="s">
        <v>205</v>
      </c>
      <c r="C28" s="96" t="s">
        <v>206</v>
      </c>
      <c r="D28" s="96" t="s">
        <v>207</v>
      </c>
      <c r="E28" s="56" t="s">
        <v>208</v>
      </c>
      <c r="F28" s="16" t="s">
        <v>228</v>
      </c>
      <c r="G28" s="44">
        <v>5.9</v>
      </c>
      <c r="H28" s="44">
        <v>6.1</v>
      </c>
      <c r="I28" s="44">
        <v>8.1</v>
      </c>
      <c r="J28" s="44">
        <v>8.3000000000000007</v>
      </c>
      <c r="K28" s="44">
        <v>8</v>
      </c>
      <c r="L28" s="44">
        <v>8</v>
      </c>
      <c r="M28" s="44"/>
      <c r="N28" s="44">
        <v>9.1</v>
      </c>
      <c r="O28" s="44"/>
      <c r="P28" s="44"/>
      <c r="Q28" s="114"/>
      <c r="R28" s="44">
        <v>7.4</v>
      </c>
      <c r="S28" s="44">
        <v>9</v>
      </c>
      <c r="T28" s="44"/>
      <c r="U28" s="44"/>
      <c r="V28" s="44">
        <v>8.1</v>
      </c>
      <c r="W28" s="39">
        <v>7.3</v>
      </c>
      <c r="X28" s="39">
        <v>6.5</v>
      </c>
      <c r="Y28" s="39"/>
      <c r="Z28" s="39"/>
      <c r="AA28" s="39"/>
      <c r="AB28" s="91"/>
      <c r="AC28" s="39"/>
      <c r="AD28" s="39"/>
      <c r="AE28" s="39"/>
      <c r="AF28" s="39"/>
      <c r="AG28" s="39"/>
      <c r="AH28" s="50"/>
      <c r="AI28" s="50"/>
      <c r="AJ28" s="50"/>
      <c r="AK28" s="50"/>
      <c r="AL28" s="50"/>
      <c r="AM28" s="50"/>
      <c r="AN28" s="50"/>
      <c r="AO28" s="50"/>
      <c r="AP28" s="50"/>
      <c r="AQ28" s="50"/>
      <c r="AR28" s="50"/>
      <c r="AS28" s="39"/>
      <c r="AT28" s="50"/>
      <c r="AU28" s="50"/>
      <c r="AV28" s="50"/>
      <c r="AW28" s="50"/>
      <c r="AX28" s="50"/>
      <c r="AY28" s="50"/>
      <c r="AZ28" s="50"/>
      <c r="BA28" s="50"/>
      <c r="BB28" s="50"/>
      <c r="BC28" s="50"/>
      <c r="BD28" s="50"/>
      <c r="BE28" s="50"/>
      <c r="BF28" s="50"/>
      <c r="BG28" s="50"/>
      <c r="BH28" s="50"/>
      <c r="BI28" s="50"/>
      <c r="BJ28" s="50"/>
      <c r="BK28" s="50"/>
      <c r="BL28" s="50"/>
      <c r="BM28" s="50"/>
      <c r="BN28" s="50"/>
      <c r="BO28" s="50"/>
      <c r="BP28" s="50" t="s">
        <v>16</v>
      </c>
      <c r="BQ28" s="50" t="s">
        <v>16</v>
      </c>
      <c r="BR28" s="48">
        <f t="shared" si="6"/>
        <v>32</v>
      </c>
      <c r="BS28" s="88">
        <f t="shared" si="7"/>
        <v>100</v>
      </c>
      <c r="BT28" s="123">
        <f t="shared" si="8"/>
        <v>24.242424242424242</v>
      </c>
    </row>
    <row r="29" spans="1:72" s="109" customFormat="1" ht="24" x14ac:dyDescent="0.2">
      <c r="A29" s="90">
        <v>17</v>
      </c>
      <c r="B29" s="52" t="s">
        <v>209</v>
      </c>
      <c r="C29" s="96" t="s">
        <v>84</v>
      </c>
      <c r="D29" s="96" t="s">
        <v>210</v>
      </c>
      <c r="E29" s="56" t="s">
        <v>211</v>
      </c>
      <c r="F29" s="57" t="s">
        <v>229</v>
      </c>
      <c r="G29" s="44"/>
      <c r="H29" s="44">
        <v>7</v>
      </c>
      <c r="I29" s="44"/>
      <c r="J29" s="44">
        <v>7</v>
      </c>
      <c r="K29" s="44">
        <v>7</v>
      </c>
      <c r="L29" s="44">
        <v>7</v>
      </c>
      <c r="M29" s="44"/>
      <c r="N29" s="44"/>
      <c r="O29" s="44"/>
      <c r="P29" s="44"/>
      <c r="Q29" s="114"/>
      <c r="R29" s="44"/>
      <c r="S29" s="44">
        <v>7</v>
      </c>
      <c r="T29" s="44"/>
      <c r="U29" s="44"/>
      <c r="V29" s="44">
        <v>8</v>
      </c>
      <c r="W29" s="39">
        <v>8</v>
      </c>
      <c r="X29" s="39"/>
      <c r="Y29" s="39"/>
      <c r="Z29" s="39"/>
      <c r="AA29" s="39"/>
      <c r="AB29" s="91"/>
      <c r="AC29" s="39"/>
      <c r="AD29" s="39"/>
      <c r="AE29" s="39"/>
      <c r="AF29" s="39"/>
      <c r="AG29" s="39"/>
      <c r="AH29" s="50"/>
      <c r="AI29" s="50"/>
      <c r="AJ29" s="50"/>
      <c r="AK29" s="50"/>
      <c r="AL29" s="50"/>
      <c r="AM29" s="50"/>
      <c r="AN29" s="50"/>
      <c r="AO29" s="50"/>
      <c r="AP29" s="50"/>
      <c r="AQ29" s="50"/>
      <c r="AR29" s="50"/>
      <c r="AS29" s="39"/>
      <c r="AT29" s="50"/>
      <c r="AU29" s="50"/>
      <c r="AV29" s="50"/>
      <c r="AW29" s="50"/>
      <c r="AX29" s="50"/>
      <c r="AY29" s="50"/>
      <c r="AZ29" s="50"/>
      <c r="BA29" s="50"/>
      <c r="BB29" s="50"/>
      <c r="BC29" s="50"/>
      <c r="BD29" s="50"/>
      <c r="BE29" s="50"/>
      <c r="BF29" s="50"/>
      <c r="BG29" s="50"/>
      <c r="BH29" s="50"/>
      <c r="BI29" s="50"/>
      <c r="BJ29" s="50"/>
      <c r="BK29" s="50"/>
      <c r="BL29" s="50"/>
      <c r="BM29" s="50"/>
      <c r="BN29" s="50"/>
      <c r="BO29" s="50"/>
      <c r="BP29" s="50" t="s">
        <v>16</v>
      </c>
      <c r="BQ29" s="50" t="s">
        <v>16</v>
      </c>
      <c r="BR29" s="48">
        <f t="shared" si="6"/>
        <v>18</v>
      </c>
      <c r="BS29" s="88">
        <f t="shared" si="7"/>
        <v>114</v>
      </c>
      <c r="BT29" s="123">
        <f t="shared" si="8"/>
        <v>13.636363636363635</v>
      </c>
    </row>
    <row r="30" spans="1:72" s="109" customFormat="1" ht="45" customHeight="1" x14ac:dyDescent="0.2">
      <c r="A30" s="90">
        <v>18</v>
      </c>
      <c r="B30" s="52" t="s">
        <v>212</v>
      </c>
      <c r="C30" s="96" t="s">
        <v>213</v>
      </c>
      <c r="D30" s="96" t="s">
        <v>76</v>
      </c>
      <c r="E30" s="56" t="s">
        <v>214</v>
      </c>
      <c r="F30" s="49" t="s">
        <v>216</v>
      </c>
      <c r="G30" s="39">
        <v>6.4</v>
      </c>
      <c r="H30" s="39">
        <v>6</v>
      </c>
      <c r="I30" s="39"/>
      <c r="J30" s="39">
        <v>7</v>
      </c>
      <c r="K30" s="39">
        <v>6</v>
      </c>
      <c r="L30" s="39">
        <v>5.6</v>
      </c>
      <c r="M30" s="39"/>
      <c r="N30" s="39"/>
      <c r="O30" s="39"/>
      <c r="P30" s="39"/>
      <c r="Q30" s="39"/>
      <c r="R30" s="39">
        <v>6.3</v>
      </c>
      <c r="S30" s="39">
        <v>8.5</v>
      </c>
      <c r="T30" s="39"/>
      <c r="U30" s="39"/>
      <c r="V30" s="39">
        <v>6.5</v>
      </c>
      <c r="W30" s="39">
        <v>6.3</v>
      </c>
      <c r="X30" s="39">
        <v>5.5</v>
      </c>
      <c r="Y30" s="39"/>
      <c r="Z30" s="39"/>
      <c r="AA30" s="39"/>
      <c r="AB30" s="39"/>
      <c r="AC30" s="39"/>
      <c r="AD30" s="39"/>
      <c r="AE30" s="39"/>
      <c r="AF30" s="39"/>
      <c r="AG30" s="39"/>
      <c r="AH30" s="50"/>
      <c r="AI30" s="50"/>
      <c r="AJ30" s="50"/>
      <c r="AK30" s="50"/>
      <c r="AL30" s="50"/>
      <c r="AM30" s="50"/>
      <c r="AN30" s="50"/>
      <c r="AO30" s="50"/>
      <c r="AP30" s="50"/>
      <c r="AQ30" s="50"/>
      <c r="AR30" s="50"/>
      <c r="AS30" s="39"/>
      <c r="AT30" s="50"/>
      <c r="AU30" s="50"/>
      <c r="AV30" s="50"/>
      <c r="AW30" s="50"/>
      <c r="AX30" s="50"/>
      <c r="AY30" s="50"/>
      <c r="AZ30" s="50"/>
      <c r="BA30" s="50"/>
      <c r="BB30" s="50"/>
      <c r="BC30" s="50"/>
      <c r="BD30" s="50"/>
      <c r="BE30" s="50"/>
      <c r="BF30" s="50"/>
      <c r="BG30" s="50"/>
      <c r="BH30" s="50"/>
      <c r="BI30" s="50"/>
      <c r="BJ30" s="50"/>
      <c r="BK30" s="50"/>
      <c r="BL30" s="50"/>
      <c r="BM30" s="50"/>
      <c r="BN30" s="50"/>
      <c r="BO30" s="50"/>
      <c r="BP30" s="50" t="s">
        <v>16</v>
      </c>
      <c r="BQ30" s="50" t="s">
        <v>16</v>
      </c>
      <c r="BR30" s="89">
        <f>SUMIF(G30:BO30,"&gt;0", $G$10:$BO$10)</f>
        <v>28</v>
      </c>
      <c r="BS30" s="88">
        <f>$BR$9-BR30</f>
        <v>104</v>
      </c>
      <c r="BT30" s="123">
        <f>BR30/132*100</f>
        <v>21.212121212121211</v>
      </c>
    </row>
    <row r="31" spans="1:72" s="8" customFormat="1" ht="44.25" customHeight="1" x14ac:dyDescent="0.2">
      <c r="A31" s="90">
        <v>19</v>
      </c>
      <c r="B31" s="135" t="s">
        <v>315</v>
      </c>
      <c r="C31" s="136" t="s">
        <v>97</v>
      </c>
      <c r="D31" s="136" t="s">
        <v>98</v>
      </c>
      <c r="E31" s="137">
        <v>34014</v>
      </c>
      <c r="F31" s="138" t="s">
        <v>99</v>
      </c>
      <c r="G31" s="51">
        <v>9</v>
      </c>
      <c r="H31" s="51">
        <v>9</v>
      </c>
      <c r="I31" s="51"/>
      <c r="J31" s="51">
        <v>6</v>
      </c>
      <c r="K31" s="51">
        <v>7</v>
      </c>
      <c r="L31" s="51">
        <v>5</v>
      </c>
      <c r="M31" s="51"/>
      <c r="N31" s="51">
        <v>7</v>
      </c>
      <c r="O31" s="51"/>
      <c r="P31" s="51"/>
      <c r="Q31" s="139"/>
      <c r="R31" s="51"/>
      <c r="S31" s="51">
        <v>8</v>
      </c>
      <c r="T31" s="51"/>
      <c r="U31" s="51"/>
      <c r="V31" s="51">
        <v>7</v>
      </c>
      <c r="W31" s="140">
        <v>7</v>
      </c>
      <c r="X31" s="140">
        <v>7</v>
      </c>
      <c r="Y31" s="140"/>
      <c r="Z31" s="140"/>
      <c r="AA31" s="140"/>
      <c r="AB31" s="140"/>
      <c r="AC31" s="140"/>
      <c r="AD31" s="140"/>
      <c r="AE31" s="140"/>
      <c r="AF31" s="140"/>
      <c r="AG31" s="140"/>
      <c r="AH31" s="31"/>
      <c r="AI31" s="31"/>
      <c r="AJ31" s="31"/>
      <c r="AK31" s="31"/>
      <c r="AL31" s="31"/>
      <c r="AM31" s="31"/>
      <c r="AN31" s="31"/>
      <c r="AO31" s="31"/>
      <c r="AP31" s="31"/>
      <c r="AQ31" s="31"/>
      <c r="AR31" s="31"/>
      <c r="AS31" s="140"/>
      <c r="AT31" s="31"/>
      <c r="AU31" s="31"/>
      <c r="AV31" s="31"/>
      <c r="AW31" s="31"/>
      <c r="AX31" s="31"/>
      <c r="AY31" s="31"/>
      <c r="AZ31" s="31"/>
      <c r="BA31" s="31"/>
      <c r="BB31" s="31"/>
      <c r="BC31" s="31"/>
      <c r="BD31" s="31"/>
      <c r="BE31" s="31"/>
      <c r="BF31" s="31"/>
      <c r="BG31" s="31"/>
      <c r="BH31" s="31"/>
      <c r="BI31" s="31"/>
      <c r="BJ31" s="31"/>
      <c r="BK31" s="31"/>
      <c r="BL31" s="31"/>
      <c r="BM31" s="31"/>
      <c r="BN31" s="31"/>
      <c r="BO31" s="31"/>
      <c r="BP31" s="31" t="s">
        <v>16</v>
      </c>
      <c r="BQ31" s="31" t="s">
        <v>16</v>
      </c>
      <c r="BR31" s="141">
        <f t="shared" ref="BR31" si="9">SUMIF(G31:BO31,"&gt;0", $G$10:$BO$10)</f>
        <v>26</v>
      </c>
      <c r="BS31" s="142">
        <f t="shared" ref="BS31" si="10">$BR$9-BR31</f>
        <v>106</v>
      </c>
      <c r="BT31" s="143">
        <f t="shared" ref="BT31" si="11">BR31/132*100</f>
        <v>19.696969696969695</v>
      </c>
    </row>
    <row r="32" spans="1:72" s="8" customFormat="1" ht="44.25" customHeight="1" x14ac:dyDescent="0.2">
      <c r="A32" s="90">
        <v>20</v>
      </c>
      <c r="B32" s="134" t="s">
        <v>316</v>
      </c>
      <c r="C32" s="145" t="s">
        <v>317</v>
      </c>
      <c r="D32" s="96" t="s">
        <v>318</v>
      </c>
      <c r="E32" s="144" t="s">
        <v>319</v>
      </c>
      <c r="F32" s="45" t="s">
        <v>321</v>
      </c>
      <c r="G32" s="44"/>
      <c r="H32" s="44">
        <v>7.6</v>
      </c>
      <c r="I32" s="44"/>
      <c r="J32" s="44"/>
      <c r="K32" s="44"/>
      <c r="L32" s="44">
        <v>7.25</v>
      </c>
      <c r="M32" s="44"/>
      <c r="N32" s="44"/>
      <c r="O32" s="44"/>
      <c r="P32" s="44"/>
      <c r="Q32" s="46"/>
      <c r="R32" s="44"/>
      <c r="S32" s="102">
        <v>6.59</v>
      </c>
      <c r="T32" s="44"/>
      <c r="U32" s="44"/>
      <c r="V32" s="195">
        <v>6.44</v>
      </c>
      <c r="W32" s="44">
        <v>7.1</v>
      </c>
      <c r="X32" s="29">
        <v>5.3</v>
      </c>
      <c r="Y32" s="29"/>
      <c r="Z32" s="29"/>
      <c r="AA32" s="29"/>
      <c r="AB32" s="29"/>
      <c r="AC32" s="29"/>
      <c r="AD32" s="29"/>
      <c r="AE32" s="29"/>
      <c r="AF32" s="29"/>
      <c r="AG32" s="29"/>
      <c r="AH32" s="25"/>
      <c r="AI32" s="25"/>
      <c r="AJ32" s="25"/>
      <c r="AK32" s="25"/>
      <c r="AL32" s="25"/>
      <c r="AM32" s="25"/>
      <c r="AN32" s="25"/>
      <c r="AO32" s="25"/>
      <c r="AP32" s="25"/>
      <c r="AQ32" s="25"/>
      <c r="AR32" s="25"/>
      <c r="AS32" s="29"/>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141">
        <f t="shared" ref="BR32" si="12">SUMIF(G32:BO32,"&gt;0", $G$10:$BO$10)</f>
        <v>17</v>
      </c>
      <c r="BS32" s="142">
        <f t="shared" ref="BS32" si="13">$BR$9-BR32</f>
        <v>115</v>
      </c>
      <c r="BT32" s="143">
        <f t="shared" ref="BT32" si="14">BR32/132*100</f>
        <v>12.878787878787879</v>
      </c>
    </row>
    <row r="33" spans="1:72" s="116" customFormat="1" ht="15" customHeight="1" x14ac:dyDescent="0.2">
      <c r="A33" s="162" t="s">
        <v>8</v>
      </c>
      <c r="B33" s="162"/>
      <c r="C33" s="162"/>
      <c r="D33" s="162"/>
      <c r="E33" s="162"/>
      <c r="F33" s="162"/>
      <c r="G33" s="47">
        <f>(COUNTBLANK(G12:G32)-1)</f>
        <v>2</v>
      </c>
      <c r="H33" s="47">
        <f t="shared" ref="H33:BN33" si="15">(COUNTBLANK(H12:H32)-1)</f>
        <v>0</v>
      </c>
      <c r="I33" s="47">
        <f t="shared" si="15"/>
        <v>11</v>
      </c>
      <c r="J33" s="47">
        <f t="shared" si="15"/>
        <v>1</v>
      </c>
      <c r="K33" s="47">
        <f t="shared" si="15"/>
        <v>1</v>
      </c>
      <c r="L33" s="47">
        <f t="shared" si="15"/>
        <v>3</v>
      </c>
      <c r="M33" s="47">
        <f t="shared" si="15"/>
        <v>20</v>
      </c>
      <c r="N33" s="47">
        <f t="shared" si="15"/>
        <v>12</v>
      </c>
      <c r="O33" s="47">
        <f t="shared" si="15"/>
        <v>20</v>
      </c>
      <c r="P33" s="47">
        <f t="shared" si="15"/>
        <v>20</v>
      </c>
      <c r="Q33" s="47">
        <f t="shared" si="15"/>
        <v>18</v>
      </c>
      <c r="R33" s="47">
        <f t="shared" si="15"/>
        <v>10</v>
      </c>
      <c r="S33" s="47">
        <f t="shared" si="15"/>
        <v>0</v>
      </c>
      <c r="T33" s="47">
        <f t="shared" si="15"/>
        <v>16</v>
      </c>
      <c r="U33" s="47">
        <f t="shared" si="15"/>
        <v>18</v>
      </c>
      <c r="V33" s="47">
        <f t="shared" si="15"/>
        <v>0</v>
      </c>
      <c r="W33" s="47">
        <f t="shared" si="15"/>
        <v>0</v>
      </c>
      <c r="X33" s="47">
        <f>(COUNTBLANK(X12:X32)-1)</f>
        <v>2</v>
      </c>
      <c r="Y33" s="47">
        <f t="shared" si="15"/>
        <v>17</v>
      </c>
      <c r="Z33" s="47">
        <f t="shared" si="15"/>
        <v>17</v>
      </c>
      <c r="AA33" s="47">
        <f t="shared" si="15"/>
        <v>19</v>
      </c>
      <c r="AB33" s="47">
        <f t="shared" si="15"/>
        <v>17</v>
      </c>
      <c r="AC33" s="47">
        <f t="shared" si="15"/>
        <v>17</v>
      </c>
      <c r="AD33" s="47">
        <f t="shared" si="15"/>
        <v>17</v>
      </c>
      <c r="AE33" s="47">
        <f t="shared" si="15"/>
        <v>17</v>
      </c>
      <c r="AF33" s="47">
        <f t="shared" si="15"/>
        <v>20</v>
      </c>
      <c r="AG33" s="47">
        <f t="shared" si="15"/>
        <v>18</v>
      </c>
      <c r="AH33" s="47">
        <f t="shared" si="15"/>
        <v>17</v>
      </c>
      <c r="AI33" s="47">
        <f t="shared" si="15"/>
        <v>20</v>
      </c>
      <c r="AJ33" s="47">
        <f t="shared" si="15"/>
        <v>18</v>
      </c>
      <c r="AK33" s="47">
        <f t="shared" si="15"/>
        <v>17</v>
      </c>
      <c r="AL33" s="47">
        <f t="shared" si="15"/>
        <v>18</v>
      </c>
      <c r="AM33" s="47">
        <f t="shared" si="15"/>
        <v>20</v>
      </c>
      <c r="AN33" s="47">
        <f t="shared" si="15"/>
        <v>19</v>
      </c>
      <c r="AO33" s="47">
        <f t="shared" si="15"/>
        <v>19</v>
      </c>
      <c r="AP33" s="47">
        <f t="shared" si="15"/>
        <v>20</v>
      </c>
      <c r="AQ33" s="47">
        <f t="shared" si="15"/>
        <v>17</v>
      </c>
      <c r="AR33" s="47">
        <f t="shared" si="15"/>
        <v>18</v>
      </c>
      <c r="AS33" s="47">
        <f t="shared" si="15"/>
        <v>20</v>
      </c>
      <c r="AT33" s="47">
        <f t="shared" si="15"/>
        <v>20</v>
      </c>
      <c r="AU33" s="47">
        <f t="shared" si="15"/>
        <v>20</v>
      </c>
      <c r="AV33" s="47">
        <f t="shared" si="15"/>
        <v>20</v>
      </c>
      <c r="AW33" s="47">
        <f t="shared" si="15"/>
        <v>19</v>
      </c>
      <c r="AX33" s="47">
        <f t="shared" si="15"/>
        <v>20</v>
      </c>
      <c r="AY33" s="47">
        <f t="shared" si="15"/>
        <v>20</v>
      </c>
      <c r="AZ33" s="47">
        <f t="shared" si="15"/>
        <v>20</v>
      </c>
      <c r="BA33" s="47">
        <f t="shared" si="15"/>
        <v>20</v>
      </c>
      <c r="BB33" s="47">
        <f t="shared" si="15"/>
        <v>20</v>
      </c>
      <c r="BC33" s="47">
        <f t="shared" si="15"/>
        <v>20</v>
      </c>
      <c r="BD33" s="47">
        <f t="shared" si="15"/>
        <v>20</v>
      </c>
      <c r="BE33" s="47">
        <f t="shared" si="15"/>
        <v>20</v>
      </c>
      <c r="BF33" s="47">
        <f t="shared" si="15"/>
        <v>20</v>
      </c>
      <c r="BG33" s="47">
        <f t="shared" si="15"/>
        <v>20</v>
      </c>
      <c r="BH33" s="47">
        <f t="shared" si="15"/>
        <v>20</v>
      </c>
      <c r="BI33" s="47">
        <f t="shared" si="15"/>
        <v>20</v>
      </c>
      <c r="BJ33" s="47">
        <f t="shared" si="15"/>
        <v>20</v>
      </c>
      <c r="BK33" s="47">
        <f t="shared" si="15"/>
        <v>20</v>
      </c>
      <c r="BL33" s="47">
        <f t="shared" si="15"/>
        <v>20</v>
      </c>
      <c r="BM33" s="47">
        <f t="shared" si="15"/>
        <v>20</v>
      </c>
      <c r="BN33" s="47">
        <f t="shared" si="15"/>
        <v>19</v>
      </c>
      <c r="BO33" s="47">
        <f>(COUNTBLANK(BO12:BO32)-1)</f>
        <v>20</v>
      </c>
      <c r="BP33" s="47">
        <f>(COUNTBLANK(BP12:BP31)-1)</f>
        <v>1</v>
      </c>
      <c r="BQ33" s="47">
        <f>(COUNTBLANK(BQ12:BQ31)-1)</f>
        <v>1</v>
      </c>
      <c r="BR33" s="47">
        <f>(COUNTBLANK(BR12:BR31)-1)</f>
        <v>0</v>
      </c>
      <c r="BS33" s="47">
        <f>(COUNTBLANK(BS12:BS31)-1)</f>
        <v>0</v>
      </c>
      <c r="BT33" s="47">
        <f>(COUNTBLANK(BT12:BT31)-1)</f>
        <v>0</v>
      </c>
    </row>
    <row r="34" spans="1:72" s="117" customFormat="1" ht="15" customHeight="1" x14ac:dyDescent="0.25">
      <c r="A34" s="20"/>
      <c r="B34" s="20"/>
      <c r="C34" s="97"/>
      <c r="D34" s="97"/>
      <c r="E34" s="20"/>
      <c r="F34" s="20"/>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2"/>
      <c r="AT34" s="12"/>
      <c r="AU34" s="12"/>
      <c r="AV34" s="12"/>
      <c r="AW34" s="12"/>
      <c r="AX34" s="12"/>
      <c r="AY34" s="12"/>
      <c r="AZ34" s="21"/>
      <c r="BA34" s="21"/>
      <c r="BB34" s="32"/>
      <c r="BC34" s="12"/>
      <c r="BD34" s="12"/>
      <c r="BE34" s="12"/>
      <c r="BF34" s="12"/>
      <c r="BG34" s="12"/>
      <c r="BH34" s="12"/>
      <c r="BI34" s="12"/>
      <c r="BJ34" s="163" t="s">
        <v>320</v>
      </c>
      <c r="BK34" s="163"/>
      <c r="BL34" s="163"/>
      <c r="BM34" s="163"/>
      <c r="BN34" s="163"/>
      <c r="BO34" s="163"/>
      <c r="BP34" s="163"/>
      <c r="BQ34" s="163"/>
      <c r="BR34" s="11"/>
      <c r="BS34" s="22"/>
      <c r="BT34" s="22"/>
    </row>
    <row r="35" spans="1:72" s="117" customFormat="1" ht="15" customHeight="1" x14ac:dyDescent="0.25">
      <c r="A35" s="20"/>
      <c r="B35" s="20"/>
      <c r="C35" s="97"/>
      <c r="D35" s="97"/>
      <c r="E35" s="20"/>
      <c r="F35" s="20"/>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22"/>
      <c r="AN35" s="22"/>
      <c r="AO35" s="22"/>
      <c r="AP35" s="23"/>
      <c r="AQ35" s="23"/>
      <c r="AR35" s="23"/>
      <c r="AS35" s="23"/>
      <c r="AT35" s="23"/>
      <c r="AU35" s="23"/>
      <c r="AV35" s="23"/>
      <c r="AW35" s="24"/>
      <c r="AX35" s="24"/>
      <c r="AY35" s="24"/>
      <c r="AZ35" s="24"/>
      <c r="BA35" s="24"/>
      <c r="BB35" s="11"/>
      <c r="BC35" s="24"/>
      <c r="BD35" s="170" t="s">
        <v>95</v>
      </c>
      <c r="BE35" s="170"/>
      <c r="BF35" s="170"/>
      <c r="BG35" s="170"/>
      <c r="BH35" s="24"/>
      <c r="BI35" s="24"/>
      <c r="BJ35" s="24"/>
      <c r="BK35" s="11"/>
      <c r="BL35" s="23"/>
      <c r="BM35" s="11"/>
      <c r="BN35" s="11"/>
      <c r="BO35" s="11"/>
      <c r="BP35" s="171" t="s">
        <v>73</v>
      </c>
      <c r="BQ35" s="171"/>
      <c r="BR35" s="171"/>
      <c r="BS35" s="171"/>
      <c r="BT35" s="171"/>
    </row>
    <row r="36" spans="1:72" s="117" customFormat="1" ht="15" customHeight="1" x14ac:dyDescent="0.3">
      <c r="B36" s="118"/>
      <c r="C36" s="119"/>
      <c r="D36" s="120"/>
      <c r="E36" s="20"/>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4"/>
      <c r="AN36" s="4"/>
      <c r="AO36" s="4"/>
      <c r="AP36" s="2"/>
      <c r="AQ36" s="2"/>
      <c r="AR36" s="2"/>
      <c r="AS36" s="2"/>
      <c r="AT36" s="2"/>
      <c r="AU36" s="2"/>
      <c r="AV36" s="2"/>
      <c r="AW36" s="5"/>
      <c r="AX36" s="5"/>
      <c r="AY36" s="5"/>
      <c r="AZ36" s="5"/>
      <c r="BA36" s="5"/>
      <c r="BB36" s="1"/>
      <c r="BC36" s="2"/>
      <c r="BD36" s="2"/>
      <c r="BE36" s="2"/>
      <c r="BF36" s="2"/>
      <c r="BG36" s="2"/>
      <c r="BH36" s="2"/>
      <c r="BI36" s="2"/>
      <c r="BJ36" s="1"/>
      <c r="BK36" s="1"/>
      <c r="BL36" s="2"/>
      <c r="BM36" s="1"/>
      <c r="BN36" s="1"/>
      <c r="BO36" s="1"/>
      <c r="BP36" s="1"/>
      <c r="BQ36" s="1"/>
      <c r="BR36" s="1"/>
      <c r="BS36" s="2"/>
      <c r="BT36" s="4"/>
    </row>
    <row r="37" spans="1:72" s="117" customFormat="1" ht="15" customHeight="1" x14ac:dyDescent="0.3">
      <c r="B37" s="118"/>
      <c r="C37" s="119"/>
      <c r="D37" s="120"/>
      <c r="E37" s="20"/>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4"/>
      <c r="AN37" s="4"/>
      <c r="AO37" s="4"/>
      <c r="AP37" s="2"/>
      <c r="AQ37" s="2"/>
      <c r="AR37" s="2"/>
      <c r="AS37" s="2"/>
      <c r="AT37" s="2"/>
      <c r="AU37" s="2"/>
      <c r="AV37" s="2"/>
      <c r="AW37" s="5"/>
      <c r="AX37" s="5"/>
      <c r="AY37" s="5"/>
      <c r="AZ37" s="5"/>
      <c r="BA37" s="5"/>
      <c r="BB37" s="1"/>
      <c r="BC37" s="2"/>
      <c r="BD37" s="2"/>
      <c r="BE37" s="2"/>
      <c r="BF37" s="2"/>
      <c r="BG37" s="2"/>
      <c r="BH37" s="2"/>
      <c r="BI37" s="2"/>
      <c r="BJ37" s="1"/>
      <c r="BK37" s="1"/>
      <c r="BL37" s="2"/>
      <c r="BM37" s="1"/>
      <c r="BN37" s="1"/>
      <c r="BO37" s="1"/>
      <c r="BP37" s="1"/>
      <c r="BQ37" s="1"/>
      <c r="BR37" s="1"/>
      <c r="BS37" s="2"/>
      <c r="BT37" s="4"/>
    </row>
    <row r="38" spans="1:72" s="117" customFormat="1" ht="15" customHeight="1" x14ac:dyDescent="0.3">
      <c r="B38" s="118"/>
      <c r="C38" s="119"/>
      <c r="D38" s="120"/>
      <c r="E38" s="20"/>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3"/>
      <c r="AQ38" s="3"/>
      <c r="AR38" s="3"/>
      <c r="AS38" s="3"/>
      <c r="AT38" s="3"/>
      <c r="AU38" s="3"/>
      <c r="AV38" s="3"/>
      <c r="AW38" s="3"/>
      <c r="AX38" s="3"/>
      <c r="AY38" s="3"/>
      <c r="AZ38" s="3"/>
      <c r="BA38" s="3"/>
      <c r="BB38" s="1"/>
      <c r="BC38" s="5"/>
      <c r="BD38" s="5"/>
      <c r="BE38" s="5"/>
      <c r="BF38" s="5"/>
      <c r="BG38" s="5"/>
      <c r="BH38" s="5"/>
      <c r="BI38" s="5"/>
      <c r="BJ38" s="1"/>
      <c r="BK38" s="1"/>
      <c r="BL38" s="2"/>
      <c r="BM38" s="1"/>
      <c r="BN38" s="1"/>
      <c r="BO38" s="1"/>
      <c r="BP38" s="1"/>
      <c r="BQ38" s="1"/>
      <c r="BR38" s="1"/>
      <c r="BS38" s="2"/>
      <c r="BT38" s="4"/>
    </row>
    <row r="39" spans="1:72" ht="16.5" customHeight="1" x14ac:dyDescent="0.25">
      <c r="BD39" s="175" t="s">
        <v>96</v>
      </c>
      <c r="BE39" s="175"/>
      <c r="BF39" s="175"/>
      <c r="BG39" s="175"/>
      <c r="BH39" s="3"/>
      <c r="BI39" s="3"/>
      <c r="BJ39" s="3"/>
      <c r="BK39" s="3"/>
      <c r="BL39" s="2"/>
      <c r="BM39" s="3"/>
      <c r="BP39" s="176" t="s">
        <v>74</v>
      </c>
      <c r="BQ39" s="176"/>
      <c r="BR39" s="176"/>
      <c r="BS39" s="176"/>
      <c r="BT39" s="176"/>
    </row>
  </sheetData>
  <mergeCells count="33">
    <mergeCell ref="BD35:BG35"/>
    <mergeCell ref="BD39:BG39"/>
    <mergeCell ref="BP35:BT35"/>
    <mergeCell ref="BP39:BT39"/>
    <mergeCell ref="BC7:BD7"/>
    <mergeCell ref="BJ34:BQ34"/>
    <mergeCell ref="BC10:BD10"/>
    <mergeCell ref="BE10:BF10"/>
    <mergeCell ref="BG10:BI10"/>
    <mergeCell ref="BJ10:BK10"/>
    <mergeCell ref="A33:F33"/>
    <mergeCell ref="AL7:AM7"/>
    <mergeCell ref="A6:A10"/>
    <mergeCell ref="B6:B10"/>
    <mergeCell ref="G6:AD6"/>
    <mergeCell ref="C6:C10"/>
    <mergeCell ref="D6:D10"/>
    <mergeCell ref="E6:E10"/>
    <mergeCell ref="F6:F10"/>
    <mergeCell ref="A1:E1"/>
    <mergeCell ref="AE7:AF7"/>
    <mergeCell ref="AE6:AZ6"/>
    <mergeCell ref="AO7:AP7"/>
    <mergeCell ref="AR7:AS7"/>
    <mergeCell ref="AW7:AX7"/>
    <mergeCell ref="AY7:AZ7"/>
    <mergeCell ref="A2:E2"/>
    <mergeCell ref="BA6:BT6"/>
    <mergeCell ref="BE7:BF7"/>
    <mergeCell ref="BG7:BI7"/>
    <mergeCell ref="BJ7:BK7"/>
    <mergeCell ref="BM7:BO7"/>
    <mergeCell ref="BA7:BB7"/>
  </mergeCells>
  <phoneticPr fontId="34" type="noConversion"/>
  <conditionalFormatting sqref="B12">
    <cfRule type="duplicateValues" dxfId="10" priority="10"/>
  </conditionalFormatting>
  <conditionalFormatting sqref="B13:B14">
    <cfRule type="duplicateValues" dxfId="9" priority="11"/>
  </conditionalFormatting>
  <conditionalFormatting sqref="B16:B30">
    <cfRule type="duplicateValues" dxfId="8" priority="9"/>
  </conditionalFormatting>
  <conditionalFormatting sqref="B31">
    <cfRule type="duplicateValues" dxfId="7" priority="5"/>
    <cfRule type="duplicateValues" dxfId="6" priority="6"/>
    <cfRule type="duplicateValues" dxfId="5" priority="7"/>
    <cfRule type="duplicateValues" dxfId="4" priority="8"/>
  </conditionalFormatting>
  <conditionalFormatting sqref="B32">
    <cfRule type="duplicateValues" dxfId="3" priority="12"/>
    <cfRule type="duplicateValues" dxfId="2" priority="13"/>
    <cfRule type="duplicateValues" dxfId="1" priority="14"/>
    <cfRule type="duplicateValues" dxfId="0" priority="15"/>
  </conditionalFormatting>
  <pageMargins left="0.3" right="0.2" top="0.4" bottom="0.3" header="0.3" footer="0.3"/>
  <pageSetup paperSize="9" scale="9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K28B - CNTT (@)</vt:lpstr>
      <vt:lpstr>K28B - CNTT</vt:lpstr>
      <vt:lpstr>'K28B - CNTT'!Print_Titles</vt:lpstr>
      <vt:lpstr>'K28B - CNTT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cp:lastPrinted>2025-05-30T02:22:18Z</cp:lastPrinted>
  <dcterms:created xsi:type="dcterms:W3CDTF">2023-02-28T15:33:01Z</dcterms:created>
  <dcterms:modified xsi:type="dcterms:W3CDTF">2025-09-09T01:53:59Z</dcterms:modified>
</cp:coreProperties>
</file>