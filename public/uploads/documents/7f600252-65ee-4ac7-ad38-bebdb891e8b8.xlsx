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filterPrivacy="1" defaultThemeVersion="124226"/>
  <xr:revisionPtr revIDLastSave="0" documentId="13_ncr:1_{4BE3F7DA-B5C2-4AA3-A29F-7F06EBDA0F4B}" xr6:coauthVersionLast="47" xr6:coauthVersionMax="47" xr10:uidLastSave="{00000000-0000-0000-0000-000000000000}"/>
  <bookViews>
    <workbookView xWindow="0" yWindow="60" windowWidth="13485" windowHeight="15180" firstSheet="1" activeTab="4" xr2:uid="{00000000-000D-0000-FFFF-FFFF00000000}"/>
  </bookViews>
  <sheets>
    <sheet name="Kangatang" sheetId="7" state="veryHidden" r:id="rId1"/>
    <sheet name="Tong hop" sheetId="2" r:id="rId2"/>
    <sheet name="Danh sach" sheetId="3" r:id="rId3"/>
    <sheet name="TK Họp" sheetId="4" r:id="rId4"/>
    <sheet name="DS gửi các khoa" sheetId="6" r:id="rId5"/>
  </sheets>
  <definedNames>
    <definedName name="_xlnm._FilterDatabase" localSheetId="2" hidden="1">'Danh sach'!$A$1:$BQ$582</definedName>
    <definedName name="_xlnm._FilterDatabase" localSheetId="4" hidden="1">'DS gửi các khoa'!$A$1:$AD$40</definedName>
    <definedName name="_xlnm._FilterDatabase" localSheetId="3" hidden="1">'TK Họp'!$B$6:$V$25</definedName>
  </definedNames>
  <calcPr calcId="191029"/>
</workbook>
</file>

<file path=xl/calcChain.xml><?xml version="1.0" encoding="utf-8"?>
<calcChain xmlns="http://schemas.openxmlformats.org/spreadsheetml/2006/main">
  <c r="N10" i="4" l="1"/>
  <c r="I25" i="4"/>
  <c r="N11" i="4"/>
  <c r="N12" i="4"/>
  <c r="N13" i="4"/>
  <c r="N14" i="4"/>
  <c r="N15" i="4"/>
  <c r="N16" i="4"/>
  <c r="N17" i="4"/>
  <c r="N18" i="4"/>
  <c r="N19" i="4"/>
  <c r="N20" i="4"/>
  <c r="N21" i="4"/>
  <c r="N22" i="4"/>
  <c r="N23" i="4"/>
  <c r="N24" i="4"/>
  <c r="N25" i="4" l="1"/>
  <c r="S25" i="4"/>
  <c r="A40" i="6"/>
  <c r="A39" i="6"/>
  <c r="A38" i="6"/>
  <c r="A37" i="6"/>
  <c r="A36" i="6"/>
  <c r="A35" i="6"/>
  <c r="A34" i="6"/>
  <c r="A33" i="6"/>
  <c r="A32" i="6"/>
  <c r="A31" i="6"/>
  <c r="A30" i="6"/>
  <c r="A28" i="6"/>
  <c r="A27" i="6"/>
  <c r="A26" i="6"/>
  <c r="A25" i="6"/>
  <c r="A24" i="6"/>
  <c r="A23" i="6"/>
  <c r="A22" i="6"/>
  <c r="A20" i="6"/>
  <c r="A19" i="6"/>
  <c r="A18" i="6"/>
  <c r="A17" i="6"/>
  <c r="A16" i="6"/>
  <c r="A15" i="6"/>
  <c r="A14" i="6"/>
  <c r="A13" i="6"/>
  <c r="A12" i="6"/>
  <c r="A11" i="6"/>
  <c r="A10" i="6"/>
  <c r="A9" i="6"/>
  <c r="A8" i="6"/>
  <c r="A7" i="6"/>
  <c r="A6" i="6"/>
  <c r="A5" i="6"/>
  <c r="A4" i="6"/>
  <c r="A3" i="6"/>
  <c r="P25" i="4" l="1"/>
  <c r="D25" i="4"/>
  <c r="R25" i="4"/>
  <c r="Q11" i="4"/>
  <c r="Q12" i="4"/>
  <c r="Q13" i="4"/>
  <c r="Q14" i="4"/>
  <c r="Q15" i="4"/>
  <c r="Q16" i="4"/>
  <c r="Q17" i="4"/>
  <c r="Q18" i="4"/>
  <c r="Q19" i="4"/>
  <c r="Q20" i="4"/>
  <c r="Q21" i="4"/>
  <c r="Q22" i="4"/>
  <c r="Q23" i="4"/>
  <c r="Q24" i="4"/>
  <c r="Q10" i="4"/>
  <c r="Q25" i="4" s="1"/>
  <c r="B584" i="3" l="1"/>
  <c r="B583" i="3"/>
  <c r="B582" i="3"/>
  <c r="B581" i="3"/>
  <c r="B580" i="3"/>
  <c r="B579" i="3"/>
  <c r="B578" i="3"/>
  <c r="B577" i="3"/>
  <c r="B576" i="3"/>
  <c r="B575" i="3"/>
  <c r="B574" i="3"/>
  <c r="B573" i="3"/>
  <c r="B572" i="3"/>
  <c r="B571" i="3"/>
  <c r="B570" i="3"/>
  <c r="B569" i="3"/>
  <c r="B567" i="3"/>
  <c r="B566" i="3"/>
  <c r="B565" i="3"/>
  <c r="B564" i="3"/>
  <c r="B563" i="3"/>
  <c r="B562" i="3"/>
  <c r="B561" i="3"/>
  <c r="B560" i="3"/>
  <c r="B559" i="3"/>
  <c r="B558" i="3"/>
  <c r="B557" i="3"/>
  <c r="B555" i="3"/>
  <c r="B554" i="3"/>
  <c r="B553" i="3"/>
  <c r="B552" i="3"/>
  <c r="B551" i="3"/>
  <c r="B550" i="3"/>
  <c r="B549" i="3"/>
  <c r="B547" i="3"/>
  <c r="B546" i="3"/>
  <c r="B545" i="3"/>
  <c r="B544" i="3"/>
  <c r="B543" i="3"/>
  <c r="B542" i="3"/>
  <c r="B541" i="3"/>
  <c r="B540" i="3"/>
  <c r="B539" i="3"/>
  <c r="B538" i="3"/>
  <c r="B537" i="3"/>
  <c r="B536" i="3"/>
  <c r="B535" i="3"/>
  <c r="B534" i="3"/>
  <c r="B533" i="3"/>
  <c r="B532" i="3"/>
  <c r="B531" i="3"/>
  <c r="B530"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2" i="3"/>
  <c r="B501" i="3"/>
  <c r="B500" i="3"/>
  <c r="B499" i="3"/>
  <c r="B498" i="3"/>
  <c r="B497" i="3"/>
  <c r="B496" i="3"/>
  <c r="B495" i="3"/>
  <c r="B494" i="3"/>
  <c r="B493" i="3"/>
  <c r="B492" i="3"/>
  <c r="B491" i="3"/>
  <c r="B490" i="3"/>
  <c r="B489" i="3"/>
  <c r="B488" i="3"/>
  <c r="B487" i="3"/>
  <c r="B486" i="3"/>
  <c r="B485" i="3"/>
  <c r="B484" i="3"/>
  <c r="B483" i="3"/>
  <c r="B482" i="3"/>
  <c r="B481" i="3"/>
  <c r="B480" i="3"/>
  <c r="B478" i="3"/>
  <c r="B477" i="3"/>
  <c r="B476" i="3"/>
  <c r="B475" i="3"/>
  <c r="B474" i="3"/>
  <c r="B473" i="3"/>
  <c r="B472" i="3"/>
  <c r="B471" i="3"/>
  <c r="B470" i="3"/>
  <c r="B469" i="3"/>
  <c r="B468" i="3"/>
  <c r="B467" i="3"/>
  <c r="B465" i="3"/>
  <c r="B464" i="3"/>
  <c r="B463" i="3"/>
  <c r="B462"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6" i="3"/>
  <c r="B365" i="3"/>
  <c r="B364" i="3"/>
  <c r="B363" i="3"/>
  <c r="B362" i="3"/>
  <c r="B361" i="3"/>
  <c r="B360" i="3"/>
  <c r="B359" i="3"/>
  <c r="B357" i="3"/>
  <c r="B356" i="3"/>
  <c r="B355" i="3"/>
  <c r="B354" i="3"/>
  <c r="B353" i="3"/>
  <c r="B352" i="3"/>
  <c r="B351" i="3"/>
  <c r="B350" i="3"/>
  <c r="B349" i="3"/>
  <c r="B348" i="3"/>
  <c r="B347" i="3"/>
  <c r="B346"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1" i="3"/>
  <c r="B290" i="3"/>
  <c r="B289" i="3"/>
  <c r="B288" i="3"/>
  <c r="B287" i="3"/>
  <c r="B286" i="3"/>
  <c r="B285" i="3"/>
  <c r="B284" i="3"/>
  <c r="B283" i="3"/>
  <c r="B282" i="3"/>
  <c r="B281" i="3"/>
  <c r="B280" i="3"/>
  <c r="B279" i="3"/>
  <c r="B278" i="3"/>
  <c r="B277" i="3"/>
  <c r="B276" i="3"/>
  <c r="B275" i="3"/>
  <c r="B274" i="3"/>
  <c r="B273" i="3"/>
  <c r="B272" i="3"/>
  <c r="B271" i="3"/>
  <c r="B269" i="3"/>
  <c r="B268" i="3"/>
  <c r="B267" i="3"/>
  <c r="B266" i="3"/>
  <c r="B265" i="3"/>
  <c r="B264" i="3"/>
  <c r="B263" i="3"/>
  <c r="B262" i="3"/>
  <c r="B260" i="3"/>
  <c r="B259" i="3"/>
  <c r="B258" i="3"/>
  <c r="B257"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alcChain>
</file>

<file path=xl/sharedStrings.xml><?xml version="1.0" encoding="utf-8"?>
<sst xmlns="http://schemas.openxmlformats.org/spreadsheetml/2006/main" count="17205" uniqueCount="5051">
  <si>
    <t>TRƯỜNG ĐẠI HỌC HỒNG ĐỨC</t>
  </si>
  <si>
    <t xml:space="preserve">BẢNG TỔNG HỢP </t>
  </si>
  <si>
    <t>HĐTS LT, VLVH năm 2025</t>
  </si>
  <si>
    <t>PHƯƠNG ÁN TUYỂN SINH ĐÀO TẠO LT, VLVH ĐỢT 2 NĂM 2025</t>
  </si>
  <si>
    <t>Phương thức: Xét tuyển</t>
  </si>
  <si>
    <t>TT</t>
  </si>
  <si>
    <t>Mã ngành</t>
  </si>
  <si>
    <t>Ngành đào tạo</t>
  </si>
  <si>
    <t>Nhóm/ Lĩnh vực</t>
  </si>
  <si>
    <t>Hồ sơ đăng ký</t>
  </si>
  <si>
    <t>Tổng hồ sơ ĐKXT</t>
  </si>
  <si>
    <t>Số lượng trúng tuyển (dự kiến)</t>
  </si>
  <si>
    <t>LKĐT</t>
  </si>
  <si>
    <t>Tại trường</t>
  </si>
  <si>
    <t>Đơn vị liên kết</t>
  </si>
  <si>
    <t>Ghi chú</t>
  </si>
  <si>
    <t>Chỉ tiêu LTCQ</t>
  </si>
  <si>
    <t>LTCQ</t>
  </si>
  <si>
    <t>LT VLVH</t>
  </si>
  <si>
    <t>VLVH</t>
  </si>
  <si>
    <t>Tổng trúng tuyển</t>
  </si>
  <si>
    <t>Điểm</t>
  </si>
  <si>
    <t>Số lượng</t>
  </si>
  <si>
    <t>Giáo dục Mầm non</t>
  </si>
  <si>
    <t>Giáo viên</t>
  </si>
  <si>
    <t>Lớp mới</t>
  </si>
  <si>
    <t>Giáo dục Tiểu học</t>
  </si>
  <si>
    <t>Giáo dục Thể chất</t>
  </si>
  <si>
    <t>Ghép lớp với K28A</t>
  </si>
  <si>
    <t>Sư phạm Toán học</t>
  </si>
  <si>
    <t>Sư phạm Vật lý</t>
  </si>
  <si>
    <t>Sư phạm Hóa học</t>
  </si>
  <si>
    <t>Sư phạm Sinh học</t>
  </si>
  <si>
    <t>Sư phạm KHTN</t>
  </si>
  <si>
    <t>Sư phạm Tin học</t>
  </si>
  <si>
    <t>Sư phạm Ngữ văn</t>
  </si>
  <si>
    <t>Sư phạm Lịch sử</t>
  </si>
  <si>
    <t>Sư phạm Địa lý</t>
  </si>
  <si>
    <t>Sư phạm Lịch sử - Địa lý</t>
  </si>
  <si>
    <t>Sư phạm Tiếng anh</t>
  </si>
  <si>
    <t>Lớp mới (LK), Tại Trường (Ghép lớp)</t>
  </si>
  <si>
    <t>Tổng Nhóm ngành đào tạo giáo viên</t>
  </si>
  <si>
    <t>Văn học</t>
  </si>
  <si>
    <t>Nhân văn</t>
  </si>
  <si>
    <t>Ngôn ngữ anh</t>
  </si>
  <si>
    <t>Tổng Nhóm ngành đào tạo Nhân văn</t>
  </si>
  <si>
    <t>Kinh tế</t>
  </si>
  <si>
    <t>KHXH, HV</t>
  </si>
  <si>
    <t>Tâm lý học</t>
  </si>
  <si>
    <t>Ghép lớp K28A</t>
  </si>
  <si>
    <t>Chính trị học</t>
  </si>
  <si>
    <t>Tổng Nhóm ngành đào tạo KHXH, HV</t>
  </si>
  <si>
    <t>Truyền thông đa phương tiện</t>
  </si>
  <si>
    <t>Báo chí và TT</t>
  </si>
  <si>
    <t>Quản trị kinh doanh</t>
  </si>
  <si>
    <t>KD và QL</t>
  </si>
  <si>
    <t>Kế toán</t>
  </si>
  <si>
    <t>Tài chính Ngân hàng</t>
  </si>
  <si>
    <t>Kiểm toán</t>
  </si>
  <si>
    <t>Tổng Nhóm ngành đào tạo KD và QL</t>
  </si>
  <si>
    <t>Luật</t>
  </si>
  <si>
    <t>PL</t>
  </si>
  <si>
    <t>Luật kinh tế</t>
  </si>
  <si>
    <t>Tổng Nhóm ngành đào tạo PL</t>
  </si>
  <si>
    <t>Toán học</t>
  </si>
  <si>
    <t>Toán và TK</t>
  </si>
  <si>
    <t>Công nghệ thông tin</t>
  </si>
  <si>
    <t>MT và CNTT</t>
  </si>
  <si>
    <t>Xin ý kiến CQ, VLVH</t>
  </si>
  <si>
    <t>Logictics và Quản trị công ứng</t>
  </si>
  <si>
    <t>CNKT</t>
  </si>
  <si>
    <t>Khoa học Vật liệu</t>
  </si>
  <si>
    <t>Tổng Nhóm ngành đào tạo CNKT</t>
  </si>
  <si>
    <t>Kỹ thuật điện</t>
  </si>
  <si>
    <t>KT</t>
  </si>
  <si>
    <t>Kỹ thuật xây dựng</t>
  </si>
  <si>
    <t>Kiến trúc và XD</t>
  </si>
  <si>
    <t>Tổng Nhóm ngành đào tạo KT và XD</t>
  </si>
  <si>
    <t>Chăn nuôi thú y</t>
  </si>
  <si>
    <t>NLNN, TS</t>
  </si>
  <si>
    <t>Khoa học Cây trồng</t>
  </si>
  <si>
    <t>Kinh tế Nông nghiệp</t>
  </si>
  <si>
    <t>Lâm học</t>
  </si>
  <si>
    <t>Chăn nuôi</t>
  </si>
  <si>
    <t>Nông học</t>
  </si>
  <si>
    <t>Tổng Nhóm ngành đào tạo NLNN, TS</t>
  </si>
  <si>
    <t>Công tác xã hội</t>
  </si>
  <si>
    <t>DV-XH</t>
  </si>
  <si>
    <t>Du lịch</t>
  </si>
  <si>
    <t>DL, KS, TT</t>
  </si>
  <si>
    <t>Quản trị khách sạn</t>
  </si>
  <si>
    <t>Huấn luyện Thể thao</t>
  </si>
  <si>
    <t>Tổng Nhóm ngành đào tạo DL, KS, TT</t>
  </si>
  <si>
    <t>Quản lý đất đai</t>
  </si>
  <si>
    <t>MT và BVMT</t>
  </si>
  <si>
    <t>Tổng Nhóm ngành đào tạo MT và BVMT</t>
  </si>
  <si>
    <t>Tổng cộng</t>
  </si>
  <si>
    <t>* Xin ý kiến Hội đồng tuyển sinh:</t>
  </si>
  <si>
    <t>- Đối với những ngành số lượng ít đề nghị khoa đào tạo phối hợp với Phòng QLĐT tổ chức lớp HP theo quy định</t>
  </si>
  <si>
    <t>Hà Nội (52)</t>
  </si>
  <si>
    <t>Tuyển đợt 1 LTCQ 2025</t>
  </si>
  <si>
    <t>Chỉ tiêu LT, VLVH</t>
  </si>
  <si>
    <t>Tuyển đợt 1 LT, VLVH</t>
  </si>
  <si>
    <t>Chỉ tiêu còn lại</t>
  </si>
  <si>
    <t>TC</t>
  </si>
  <si>
    <t>CĐ</t>
  </si>
  <si>
    <t>ĐH</t>
  </si>
  <si>
    <t>Xin ý kiến</t>
  </si>
  <si>
    <t>- Tiếp tục thu hồ sơ đến hết ngày: 23/8/2025</t>
  </si>
  <si>
    <t>- Dự kiến nhập học: 24/8/2025</t>
  </si>
  <si>
    <t>- Dự kiến thi năng khiếu: 23/8/2025. Đối với ngành GDMN &amp; GDTC</t>
  </si>
  <si>
    <t>Hà Nội (12)</t>
  </si>
  <si>
    <t>TTN</t>
  </si>
  <si>
    <t>Họ lót</t>
  </si>
  <si>
    <t>Tên</t>
  </si>
  <si>
    <t>Ngày sinh</t>
  </si>
  <si>
    <t>GT</t>
  </si>
  <si>
    <t>Dân tộc</t>
  </si>
  <si>
    <t>Ngành đã TN</t>
  </si>
  <si>
    <t>Trình độ TN</t>
  </si>
  <si>
    <t>Năm TN</t>
  </si>
  <si>
    <t>Xếp loại</t>
  </si>
  <si>
    <t>TBC bảng điểm
(hệ 10)</t>
  </si>
  <si>
    <t>TBC bảng điểm
(hệ 4)</t>
  </si>
  <si>
    <t>Điểm lớp 12</t>
  </si>
  <si>
    <t>Học lực lớp 12</t>
  </si>
  <si>
    <t>Tổ hợp môn</t>
  </si>
  <si>
    <t>Tổng
 điểm
 tổ 
hợp</t>
  </si>
  <si>
    <t>Đăng ký hình thức đào tạo</t>
  </si>
  <si>
    <t>Nơi Sinh</t>
  </si>
  <si>
    <t>Tiêu chí</t>
  </si>
  <si>
    <t>Bằng THPT</t>
  </si>
  <si>
    <t>Học bạ THPT</t>
  </si>
  <si>
    <t>Năm kinh nghiệm</t>
  </si>
  <si>
    <t>Trường đã TN</t>
  </si>
  <si>
    <t>HTĐT ngành đã TN</t>
  </si>
  <si>
    <t>Bằng CĐ, ĐH,TC có thêm</t>
  </si>
  <si>
    <t>Số CMND/
CCCD</t>
  </si>
  <si>
    <t>Tên Tỉnh</t>
  </si>
  <si>
    <t>Tên Quận/
Huyện</t>
  </si>
  <si>
    <t>Địa chỉ liên hệ</t>
  </si>
  <si>
    <t>ĐT liên hệ</t>
  </si>
  <si>
    <t>Lệ phí</t>
  </si>
  <si>
    <t>s ng</t>
  </si>
  <si>
    <t>điểm</t>
  </si>
  <si>
    <t>ĐH Công nghệ thông tin</t>
  </si>
  <si>
    <t>1</t>
  </si>
  <si>
    <t xml:space="preserve">Trịnh Minh </t>
  </si>
  <si>
    <t>Hiếu</t>
  </si>
  <si>
    <t>Nam</t>
  </si>
  <si>
    <t>Kinh</t>
  </si>
  <si>
    <t>Ứng dụng phần mềm</t>
  </si>
  <si>
    <t>2024</t>
  </si>
  <si>
    <t>Khá</t>
  </si>
  <si>
    <t>7,9</t>
  </si>
  <si>
    <t>CQ</t>
  </si>
  <si>
    <t>Thanh Hóa</t>
  </si>
  <si>
    <t>x</t>
  </si>
  <si>
    <t>HDU</t>
  </si>
  <si>
    <t>Đại học FPT</t>
  </si>
  <si>
    <t>038203005753</t>
  </si>
  <si>
    <t>Nga Sơn</t>
  </si>
  <si>
    <t>Thị trấn Nga Sơn, Nga Sơn, Thanh Hóa</t>
  </si>
  <si>
    <t>0911103945</t>
  </si>
  <si>
    <t>200k</t>
  </si>
  <si>
    <t>Thiếu BĐ Cao đẳng</t>
  </si>
  <si>
    <t>09.06.25</t>
  </si>
  <si>
    <t>2</t>
  </si>
  <si>
    <t>Trịnh Thị</t>
  </si>
  <si>
    <t>Loan</t>
  </si>
  <si>
    <t>Nữ</t>
  </si>
  <si>
    <t>Tin học ứng dụng</t>
  </si>
  <si>
    <t>7,06</t>
  </si>
  <si>
    <t>7,5</t>
  </si>
  <si>
    <t>Đại học Công nghệp Hà Nội</t>
  </si>
  <si>
    <t>038192000644</t>
  </si>
  <si>
    <t>TX Bỉm Sơn</t>
  </si>
  <si>
    <t>Lam Sơn, Tx Bỉm Sơn, Thanh Hóa</t>
  </si>
  <si>
    <t>0365721832</t>
  </si>
  <si>
    <t>Bằng CĐ công chứng</t>
  </si>
  <si>
    <t>11.6.2025</t>
  </si>
  <si>
    <t>3</t>
  </si>
  <si>
    <t>Nguyễn Thị</t>
  </si>
  <si>
    <t>Nhung</t>
  </si>
  <si>
    <t>2012</t>
  </si>
  <si>
    <t>7.17</t>
  </si>
  <si>
    <t>7,6</t>
  </si>
  <si>
    <t>Đại học Chu Văn An</t>
  </si>
  <si>
    <t>001191019443</t>
  </si>
  <si>
    <t>Như Xuân</t>
  </si>
  <si>
    <t>TT Yên Cát, Như Xuân, Thanh Hóa</t>
  </si>
  <si>
    <t>0941256812</t>
  </si>
  <si>
    <t>Thiếu bằng THPT</t>
  </si>
  <si>
    <t>6.6.25</t>
  </si>
  <si>
    <t>4</t>
  </si>
  <si>
    <t>Nguyễn Danh</t>
  </si>
  <si>
    <t>Hiệu</t>
  </si>
  <si>
    <t>TBK</t>
  </si>
  <si>
    <t>Đại học Luật Hà Nội</t>
  </si>
  <si>
    <t>93 Nguyễn Tĩnh, Đông Hương, TP Thanh Hóa, Thanh Hóa</t>
  </si>
  <si>
    <t>0902102727</t>
  </si>
  <si>
    <t>HB THPT</t>
  </si>
  <si>
    <t>31.3.25</t>
  </si>
  <si>
    <t>5</t>
  </si>
  <si>
    <t>Phạm Văn</t>
  </si>
  <si>
    <t>Lâm</t>
  </si>
  <si>
    <t>Đại học Vinh</t>
  </si>
  <si>
    <t>038079009057</t>
  </si>
  <si>
    <t>Quan Hóa</t>
  </si>
  <si>
    <t>Phú Nghiêm, Quan Hóa, Thanh Hóa</t>
  </si>
  <si>
    <t>0979856099</t>
  </si>
  <si>
    <t>Thiếu Bằng THPT, BĐTC, CCCD công chứng</t>
  </si>
  <si>
    <t>6</t>
  </si>
  <si>
    <t>Hoàng Văn</t>
  </si>
  <si>
    <t>Long</t>
  </si>
  <si>
    <t>Ngôn ngữ Anh</t>
  </si>
  <si>
    <t>2,98</t>
  </si>
  <si>
    <t>ĐH Kinh doanh và Công nghệ Hà Nội</t>
  </si>
  <si>
    <t>thạc sỹ, đại học kế toán</t>
  </si>
  <si>
    <t>038092014892</t>
  </si>
  <si>
    <t>Hoằng Hóa</t>
  </si>
  <si>
    <t>Phố Đạo Sơn, xã Hoằng Hóa, tỉnh Thanh Hóa</t>
  </si>
  <si>
    <t>0964975569</t>
  </si>
  <si>
    <t>Bằng và học bạ THPT</t>
  </si>
  <si>
    <t>15.7.25</t>
  </si>
  <si>
    <t>7</t>
  </si>
  <si>
    <t>Nguyễn Đăng</t>
  </si>
  <si>
    <t>Quy</t>
  </si>
  <si>
    <t>Đại học Hồng Đức</t>
  </si>
  <si>
    <t>TP. Thanh Hóa</t>
  </si>
  <si>
    <t>Chung cư CT2, Phú Sơn, TP Thanh Hóa, Thanh Hóa</t>
  </si>
  <si>
    <t>0974954611</t>
  </si>
  <si>
    <t>Thiếu HB THPT</t>
  </si>
  <si>
    <t>8</t>
  </si>
  <si>
    <t>Hoàng Ngọc</t>
  </si>
  <si>
    <t>Quý</t>
  </si>
  <si>
    <t>Giỏi</t>
  </si>
  <si>
    <t>7,86</t>
  </si>
  <si>
    <t>3,34</t>
  </si>
  <si>
    <t>7,2</t>
  </si>
  <si>
    <t>038201010698</t>
  </si>
  <si>
    <t>TP. Sầm Sơn</t>
  </si>
  <si>
    <t>Trung Sơn, TP Sầm Sơn, Thanh Hóa</t>
  </si>
  <si>
    <t>0868368602</t>
  </si>
  <si>
    <t>9</t>
  </si>
  <si>
    <t xml:space="preserve">Nguyễn Mạnh </t>
  </si>
  <si>
    <t>Tùng</t>
  </si>
  <si>
    <t>Công nghệ Kỹ thuật xây dựng</t>
  </si>
  <si>
    <t>TB</t>
  </si>
  <si>
    <t>5,98</t>
  </si>
  <si>
    <t>6,5</t>
  </si>
  <si>
    <t>Đại học Thuỷ lợi</t>
  </si>
  <si>
    <t>038091023502</t>
  </si>
  <si>
    <t>Hà Nội</t>
  </si>
  <si>
    <t>Hoàng Mai</t>
  </si>
  <si>
    <t>Đại Kim, Hoàng Mai, Hà Nội</t>
  </si>
  <si>
    <t>0949123136</t>
  </si>
  <si>
    <t>10</t>
  </si>
  <si>
    <t>Phạm Quang</t>
  </si>
  <si>
    <t>Thành</t>
  </si>
  <si>
    <t>7,79</t>
  </si>
  <si>
    <t>3,27</t>
  </si>
  <si>
    <t>6,7</t>
  </si>
  <si>
    <t>038095027015</t>
  </si>
  <si>
    <t>Sầm Sơn</t>
  </si>
  <si>
    <t>Trường Sơn, Sầm Sơn, Thanh Hóa</t>
  </si>
  <si>
    <t>0989569469</t>
  </si>
  <si>
    <t>29.07.25</t>
  </si>
  <si>
    <t>11</t>
  </si>
  <si>
    <t>Thảo</t>
  </si>
  <si>
    <t xml:space="preserve">Kế toán </t>
  </si>
  <si>
    <t>7,31</t>
  </si>
  <si>
    <t>5,2</t>
  </si>
  <si>
    <t>Đại học Công nghệ Đông Á</t>
  </si>
  <si>
    <t>038190001948</t>
  </si>
  <si>
    <t>Đông Sơn, TP Thanh Hóa, Thanh Hóa</t>
  </si>
  <si>
    <t>0888686368</t>
  </si>
  <si>
    <t>11.7.25</t>
  </si>
  <si>
    <t>12</t>
  </si>
  <si>
    <t xml:space="preserve">Lường Viết </t>
  </si>
  <si>
    <t>Thắng</t>
  </si>
  <si>
    <t>Tài chính - Ngân hàng</t>
  </si>
  <si>
    <t>7,4</t>
  </si>
  <si>
    <t>5,9</t>
  </si>
  <si>
    <t>Đại học Kinh tế quốc dân</t>
  </si>
  <si>
    <t>BĐ cao đẳng</t>
  </si>
  <si>
    <t>038090044602</t>
  </si>
  <si>
    <t>Đông Thọ, TP.Thanh Hoá, Thanh Hóa</t>
  </si>
  <si>
    <t>0905008698</t>
  </si>
  <si>
    <t>Thiếu bằng cao đẳng</t>
  </si>
  <si>
    <t>ĐH Chăn nuôi thú y</t>
  </si>
  <si>
    <t>Hoa</t>
  </si>
  <si>
    <t>Dịch vụ thú y</t>
  </si>
  <si>
    <t>2,22</t>
  </si>
  <si>
    <t>Hà Tĩnh</t>
  </si>
  <si>
    <t>Học viện Nông nghiệp Việt Nam</t>
  </si>
  <si>
    <t>184259524</t>
  </si>
  <si>
    <t>Thạch Thành</t>
  </si>
  <si>
    <t>Thạch Thành, Thành Hóa</t>
  </si>
  <si>
    <t>0966088970</t>
  </si>
  <si>
    <t>Linh thu (2023)</t>
  </si>
  <si>
    <t>Thiếu CCCD, Bằng và HB THPT</t>
  </si>
  <si>
    <t>cũ</t>
  </si>
  <si>
    <t>Lê Tùng</t>
  </si>
  <si>
    <t>Linh</t>
  </si>
  <si>
    <t>Công nghệ kỹ thuật điện tử</t>
  </si>
  <si>
    <t>2009</t>
  </si>
  <si>
    <t>Cao đẳng Công nghiệp Nam Định</t>
  </si>
  <si>
    <t>038088010677</t>
  </si>
  <si>
    <t>Nông Cống</t>
  </si>
  <si>
    <t>Vạn Hòa, Nông Cống, Thanh Hóa</t>
  </si>
  <si>
    <t>0917959558</t>
  </si>
  <si>
    <t>Thiếu hồ sơ công chứng</t>
  </si>
  <si>
    <t>5.6.25</t>
  </si>
  <si>
    <t xml:space="preserve">Nguyễn Thị </t>
  </si>
  <si>
    <t>Công nghệ kỹ thuật hoá học</t>
  </si>
  <si>
    <t>2011</t>
  </si>
  <si>
    <t>7,51</t>
  </si>
  <si>
    <t>ĐH Công nghiệp Việt trì</t>
  </si>
  <si>
    <t>038190057163</t>
  </si>
  <si>
    <t>Xuân Hòa, Như Xuân, Thanh Hóa</t>
  </si>
  <si>
    <t>Châm</t>
  </si>
  <si>
    <t>Bắc Giang</t>
  </si>
  <si>
    <t>024198000052</t>
  </si>
  <si>
    <t>Quảng Tâm, TP.Thanh Hoá, Thanh Hóa</t>
  </si>
  <si>
    <t>07.7.25</t>
  </si>
  <si>
    <t>Đào</t>
  </si>
  <si>
    <t>7,64</t>
  </si>
  <si>
    <t>8,2</t>
  </si>
  <si>
    <t>038302017710</t>
  </si>
  <si>
    <t>Nghi Sơn</t>
  </si>
  <si>
    <t>Tùng Lâm, Nghi Sơn, Thanh Hóa</t>
  </si>
  <si>
    <t>0912020760</t>
  </si>
  <si>
    <t>Thiểu ảnh 3x4</t>
  </si>
  <si>
    <t>08.7.25</t>
  </si>
  <si>
    <t>Lê Huy</t>
  </si>
  <si>
    <t>Huấn</t>
  </si>
  <si>
    <t>TB Khá</t>
  </si>
  <si>
    <t>6,58</t>
  </si>
  <si>
    <t>038088018225</t>
  </si>
  <si>
    <t>Như Thanh</t>
  </si>
  <si>
    <t>Phú Nhuận, Như Thanh, Thanh Hóa</t>
  </si>
  <si>
    <t>Hương</t>
  </si>
  <si>
    <t>2021</t>
  </si>
  <si>
    <t>7,15</t>
  </si>
  <si>
    <t>2,86</t>
  </si>
  <si>
    <t>038198012972</t>
  </si>
  <si>
    <t>TP Thanh Hóa</t>
  </si>
  <si>
    <t>Đông Nam, TP.Thanh Hoá, Thanh Hóa</t>
  </si>
  <si>
    <t>0387348999</t>
  </si>
  <si>
    <t>Thiếu bằng và học bạ THPT, GKS</t>
  </si>
  <si>
    <t>Bùi Thế</t>
  </si>
  <si>
    <t>Sơn</t>
  </si>
  <si>
    <t>An toàn Hàng Hải</t>
  </si>
  <si>
    <t>6,01</t>
  </si>
  <si>
    <t>Đại học Nha Trang</t>
  </si>
  <si>
    <t>038083031396</t>
  </si>
  <si>
    <t>Hà Trung</t>
  </si>
  <si>
    <t>Thôn Đa Quả 1, xã Hà Trung, Thanh Hóa</t>
  </si>
  <si>
    <t>0976470646</t>
  </si>
  <si>
    <t>12.8.25</t>
  </si>
  <si>
    <t xml:space="preserve">Bùi Văn </t>
  </si>
  <si>
    <t>6,56</t>
  </si>
  <si>
    <t>Đại học Kinh tế Quốc dân</t>
  </si>
  <si>
    <t>ĐH Dược</t>
  </si>
  <si>
    <t>038088004289</t>
  </si>
  <si>
    <t>Yên Định</t>
  </si>
  <si>
    <t>Yên Trường, Yên Định, Thanh Hoá</t>
  </si>
  <si>
    <t>17.7.25</t>
  </si>
  <si>
    <t>Lương Thị</t>
  </si>
  <si>
    <t>Trang</t>
  </si>
  <si>
    <t>2020</t>
  </si>
  <si>
    <t>7,07</t>
  </si>
  <si>
    <t>2,85</t>
  </si>
  <si>
    <t>038198029343</t>
  </si>
  <si>
    <t>Phú Sơn, TP.Thanh Hoá, Thanh Hoá</t>
  </si>
  <si>
    <t xml:space="preserve">Mai Chí </t>
  </si>
  <si>
    <t>Trường</t>
  </si>
  <si>
    <t>7,23</t>
  </si>
  <si>
    <t>Đắk Lắc</t>
  </si>
  <si>
    <t>Chưa có HS công chứng</t>
  </si>
  <si>
    <t>Lương Văn</t>
  </si>
  <si>
    <t>Mạnh</t>
  </si>
  <si>
    <t>Chăn nuôi - Thú Y</t>
  </si>
  <si>
    <t>7,1</t>
  </si>
  <si>
    <t>Cao đẳng Nông lâm Thanh Hoá</t>
  </si>
  <si>
    <t>038090034788</t>
  </si>
  <si>
    <t>Thường Xuân</t>
  </si>
  <si>
    <t>TT Thường Xuân, Thường Xuân, Thanh Hóa</t>
  </si>
  <si>
    <t>0976779958</t>
  </si>
  <si>
    <t>13</t>
  </si>
  <si>
    <t>Phạm Trọng</t>
  </si>
  <si>
    <t>Nghĩa</t>
  </si>
  <si>
    <t>CĐ Nông nghiệp Thanh Hóa</t>
  </si>
  <si>
    <t>038207003670</t>
  </si>
  <si>
    <t>Yên Phú, Yên Định, Thanh Hóa</t>
  </si>
  <si>
    <t>Tuyet GDTX</t>
  </si>
  <si>
    <t>Thiếu Bằng và học bạ THPT, ảnh 3x4</t>
  </si>
  <si>
    <t>14</t>
  </si>
  <si>
    <t>Phạm Thị Minh</t>
  </si>
  <si>
    <t>Phương</t>
  </si>
  <si>
    <t>6,2</t>
  </si>
  <si>
    <t>7,21</t>
  </si>
  <si>
    <t>038307028157</t>
  </si>
  <si>
    <t>Lương Sơn, Thường Xuân, Thanh Hóa</t>
  </si>
  <si>
    <t>Ảnh</t>
  </si>
  <si>
    <t>04.08.25</t>
  </si>
  <si>
    <t>15</t>
  </si>
  <si>
    <t>Hà Trọng</t>
  </si>
  <si>
    <t>Toàn</t>
  </si>
  <si>
    <t>2019</t>
  </si>
  <si>
    <t>6,9</t>
  </si>
  <si>
    <t>038201016127</t>
  </si>
  <si>
    <t>Thọ Xuân</t>
  </si>
  <si>
    <t>Xuân Lập, Thọ Xuân, Thanh Hóa</t>
  </si>
  <si>
    <t>16</t>
  </si>
  <si>
    <t xml:space="preserve">Nguyễn Tiến </t>
  </si>
  <si>
    <t>038092016494</t>
  </si>
  <si>
    <t>Phú Nhuận, Như Thanh, Thanh Hoá</t>
  </si>
  <si>
    <t>ĐHGD Mầm non</t>
  </si>
  <si>
    <t>Trần Thị</t>
  </si>
  <si>
    <t>Dung</t>
  </si>
  <si>
    <t>3,0</t>
  </si>
  <si>
    <t>6,0</t>
  </si>
  <si>
    <t>Cao đẳng Vĩnh Phúc</t>
  </si>
  <si>
    <t>Bằng và BĐ TCMN, 2019</t>
  </si>
  <si>
    <t>038186016684</t>
  </si>
  <si>
    <t>Thuận Minh, Thọ Xuân, Thanh Hoá</t>
  </si>
  <si>
    <t>0919762586</t>
  </si>
  <si>
    <t>16.6.25</t>
  </si>
  <si>
    <t>Duyên</t>
  </si>
  <si>
    <t>2017</t>
  </si>
  <si>
    <t>6,72</t>
  </si>
  <si>
    <t>2,58</t>
  </si>
  <si>
    <t>6,8</t>
  </si>
  <si>
    <t>038195005487</t>
  </si>
  <si>
    <t>Hậu Lộc</t>
  </si>
  <si>
    <t>Phong Lộc, Hậu Lộc, Thanh Hóa</t>
  </si>
  <si>
    <t>0976434316</t>
  </si>
  <si>
    <t>Dương Thị</t>
  </si>
  <si>
    <t>Hằng</t>
  </si>
  <si>
    <t>Mường</t>
  </si>
  <si>
    <t>7,93</t>
  </si>
  <si>
    <t>3,38</t>
  </si>
  <si>
    <t>Đại học Hải Dương</t>
  </si>
  <si>
    <t>038198021588</t>
  </si>
  <si>
    <t>Ngọc Lặc</t>
  </si>
  <si>
    <t>Phùng Giáo, Ngọc Lặc, Thanh Hóa</t>
  </si>
  <si>
    <t>0962240622</t>
  </si>
  <si>
    <t>14.7.25</t>
  </si>
  <si>
    <t>Hồng</t>
  </si>
  <si>
    <t>7,84</t>
  </si>
  <si>
    <t>3,36</t>
  </si>
  <si>
    <t>7,0</t>
  </si>
  <si>
    <t>038195005412</t>
  </si>
  <si>
    <t>Định Tân, Yên Định, Thanh Hóa</t>
  </si>
  <si>
    <t>0985041915</t>
  </si>
  <si>
    <t>GKS</t>
  </si>
  <si>
    <t>Hoàng Thị</t>
  </si>
  <si>
    <t>Huệ</t>
  </si>
  <si>
    <t>7,83</t>
  </si>
  <si>
    <t>3,26</t>
  </si>
  <si>
    <t>038196010600</t>
  </si>
  <si>
    <t>Thuần Lộc, Hậu Lộc, Thanh Hóa</t>
  </si>
  <si>
    <t>0972404361</t>
  </si>
  <si>
    <t xml:space="preserve">Quách Thị </t>
  </si>
  <si>
    <t>2,71</t>
  </si>
  <si>
    <t>Cao đẳng SP Trung Ương</t>
  </si>
  <si>
    <t>038199006825</t>
  </si>
  <si>
    <t>Thành Công, Thạch Thành, Thanh Hóa</t>
  </si>
  <si>
    <t>0986671005</t>
  </si>
  <si>
    <t>20.6.25</t>
  </si>
  <si>
    <t>Lê Thị</t>
  </si>
  <si>
    <t>Huyền</t>
  </si>
  <si>
    <t>7,13</t>
  </si>
  <si>
    <t>2,82</t>
  </si>
  <si>
    <t>038199005401</t>
  </si>
  <si>
    <t>Xuân Sinh, Thọ Xuân, Thanh Hoá</t>
  </si>
  <si>
    <t>0981112884</t>
  </si>
  <si>
    <t>Vương Thị</t>
  </si>
  <si>
    <t>6,86</t>
  </si>
  <si>
    <t>2,67</t>
  </si>
  <si>
    <t>038300016234</t>
  </si>
  <si>
    <t>Quảng Xương</t>
  </si>
  <si>
    <t>Quảng Văn, Quảng Xương, Thanh Hóa</t>
  </si>
  <si>
    <t>0337375330</t>
  </si>
  <si>
    <t>Lanh</t>
  </si>
  <si>
    <t>7,47</t>
  </si>
  <si>
    <t>038193013493</t>
  </si>
  <si>
    <t>Quảng Hưng, TP. Thanh Hóa, Thanh Hóa</t>
  </si>
  <si>
    <t>0984687859</t>
  </si>
  <si>
    <t>XNCT</t>
  </si>
  <si>
    <t>Lê Thị Ngọc</t>
  </si>
  <si>
    <t>CĐ Sư phạm Trung Ương</t>
  </si>
  <si>
    <t>038301017129</t>
  </si>
  <si>
    <t>Triệu Sơn</t>
  </si>
  <si>
    <t>Tổ dân phố 3 Nưa, Triệu Sơn, Thanh Hóa</t>
  </si>
  <si>
    <t>0357487091</t>
  </si>
  <si>
    <t>Thiếu GKS</t>
  </si>
  <si>
    <t>Lê Ngọc</t>
  </si>
  <si>
    <t>Mai</t>
  </si>
  <si>
    <t>6,81</t>
  </si>
  <si>
    <t>2,66</t>
  </si>
  <si>
    <t>038197028088</t>
  </si>
  <si>
    <t>Nga Trường, Nga Sơn, Thanh Hóa</t>
  </si>
  <si>
    <t>0966071431</t>
  </si>
  <si>
    <t>Giấy khai sinh</t>
  </si>
  <si>
    <t xml:space="preserve">Lô Thị </t>
  </si>
  <si>
    <t>Tâm</t>
  </si>
  <si>
    <t>Thái</t>
  </si>
  <si>
    <t>7,77</t>
  </si>
  <si>
    <t>Trung cấp SPMM (2021)</t>
  </si>
  <si>
    <t>038195024042</t>
  </si>
  <si>
    <t>Thanh Kỳ, Như Thanh, Thanh Hóa</t>
  </si>
  <si>
    <t>0359740706</t>
  </si>
  <si>
    <t>03.7.25</t>
  </si>
  <si>
    <t>7,27</t>
  </si>
  <si>
    <t>2,74</t>
  </si>
  <si>
    <t>6,6</t>
  </si>
  <si>
    <t>Đại học Sư phạm Hà Nội</t>
  </si>
  <si>
    <t>038197032692</t>
  </si>
  <si>
    <t>Thiệu Hoá</t>
  </si>
  <si>
    <t>Thiệu Trung, Thiệu Hoá, Thanh Hoá</t>
  </si>
  <si>
    <t>0988274117</t>
  </si>
  <si>
    <t xml:space="preserve">Phạm Thị </t>
  </si>
  <si>
    <t>Thắm</t>
  </si>
  <si>
    <t>7,44</t>
  </si>
  <si>
    <t>3,03</t>
  </si>
  <si>
    <t>038301006588</t>
  </si>
  <si>
    <t>Thị trấn Ngọc Lặc, Ngọc Lặc, Thanh Hóa</t>
  </si>
  <si>
    <t>0367843605</t>
  </si>
  <si>
    <t>Hà Thị</t>
  </si>
  <si>
    <t>Thúy</t>
  </si>
  <si>
    <t>8,10</t>
  </si>
  <si>
    <t>'038198009695</t>
  </si>
  <si>
    <t>Yên Nhân</t>
  </si>
  <si>
    <t>Yên Nhân, Thanh Hóa</t>
  </si>
  <si>
    <t>0974059204</t>
  </si>
  <si>
    <t>Bùi Thu</t>
  </si>
  <si>
    <t>038300006959</t>
  </si>
  <si>
    <t>Quảng Hợp, Quảng Xương, Thanh Hóa</t>
  </si>
  <si>
    <t>0976979331</t>
  </si>
  <si>
    <t>thiếu bảng điểm cao đẳng</t>
  </si>
  <si>
    <t>17</t>
  </si>
  <si>
    <t>Nguyễn Hà</t>
  </si>
  <si>
    <t>Giáo dục Mầm Non</t>
  </si>
  <si>
    <t>2022</t>
  </si>
  <si>
    <t>7,26</t>
  </si>
  <si>
    <t>7,8</t>
  </si>
  <si>
    <t>038301019597</t>
  </si>
  <si>
    <t>Đông Sơn</t>
  </si>
  <si>
    <t>Rừng Thông, Đông Sơn, Thanh Hóa</t>
  </si>
  <si>
    <t>0948978946</t>
  </si>
  <si>
    <t>BĐ Cao đẳng công chứng</t>
  </si>
  <si>
    <t>21.7.25</t>
  </si>
  <si>
    <t>18</t>
  </si>
  <si>
    <t>Yến</t>
  </si>
  <si>
    <t>7,98</t>
  </si>
  <si>
    <t>3,39</t>
  </si>
  <si>
    <t>Đại học Kinh tế</t>
  </si>
  <si>
    <t>038195010336</t>
  </si>
  <si>
    <t>Nam Giang, Thọ Xuân, Thanh Hóa</t>
  </si>
  <si>
    <t>0394433156</t>
  </si>
  <si>
    <t>19</t>
  </si>
  <si>
    <t>Phạm Thị</t>
  </si>
  <si>
    <t>Hà</t>
  </si>
  <si>
    <t>Giáo dục chính trị</t>
  </si>
  <si>
    <t>7,66</t>
  </si>
  <si>
    <t>ĐH Sư phạm Huế</t>
  </si>
  <si>
    <t>038186046284</t>
  </si>
  <si>
    <t>Quảng xương</t>
  </si>
  <si>
    <t>Quảng nhân, Quảng Xương, Thanh Hóa</t>
  </si>
  <si>
    <t>20</t>
  </si>
  <si>
    <t>Dịu</t>
  </si>
  <si>
    <t>Thổ</t>
  </si>
  <si>
    <t>Sư phạm Mầm non</t>
  </si>
  <si>
    <t>Trung cấp Bách nghệ Thanh Hóa</t>
  </si>
  <si>
    <t>038196022981</t>
  </si>
  <si>
    <t>Cát Vân, Như Xuân, Thanh Hóa</t>
  </si>
  <si>
    <t>0982178858</t>
  </si>
  <si>
    <t>BĐ Trung cấp, CCCD, Học bạ THPT</t>
  </si>
  <si>
    <t>21</t>
  </si>
  <si>
    <t>Giới</t>
  </si>
  <si>
    <t>7,7</t>
  </si>
  <si>
    <t>038197017501</t>
  </si>
  <si>
    <t>Cầu Lộc, Hậu Lộc, Thanh Hóa</t>
  </si>
  <si>
    <t>0328522597</t>
  </si>
  <si>
    <t>01.8.25</t>
  </si>
  <si>
    <t>22</t>
  </si>
  <si>
    <t>Hân</t>
  </si>
  <si>
    <t>Đại học Sài gòn</t>
  </si>
  <si>
    <t>038194004274</t>
  </si>
  <si>
    <t>Quảng Đức, Quảng Xương, Thanh Hóa</t>
  </si>
  <si>
    <t>0889669154</t>
  </si>
  <si>
    <t>23</t>
  </si>
  <si>
    <t>Lữ Thị Khánh</t>
  </si>
  <si>
    <t>038198026712</t>
  </si>
  <si>
    <t>Trung Sơn, Sầm Sơn, Thanh Hóa</t>
  </si>
  <si>
    <t>0968432824</t>
  </si>
  <si>
    <t>24</t>
  </si>
  <si>
    <t>Lê Thu</t>
  </si>
  <si>
    <t>CĐSP Trung Ương</t>
  </si>
  <si>
    <t>038192025858</t>
  </si>
  <si>
    <t>Hoằng Quỳ, Hoằng Hóa, Thanh Hóa</t>
  </si>
  <si>
    <t>0974639665</t>
  </si>
  <si>
    <t>25</t>
  </si>
  <si>
    <t>Tuyết</t>
  </si>
  <si>
    <t>8,4</t>
  </si>
  <si>
    <t>Trung cấp Kế toán DNTM</t>
  </si>
  <si>
    <t>038191007804</t>
  </si>
  <si>
    <t>Quảng Đại, Sầm Sơn, Thanh Hóa</t>
  </si>
  <si>
    <t>0379665696</t>
  </si>
  <si>
    <t>Thiếu Giấy khai sinh</t>
  </si>
  <si>
    <t>19.6.25</t>
  </si>
  <si>
    <t>26</t>
  </si>
  <si>
    <t>038196022615</t>
  </si>
  <si>
    <t>Mậu Lâm, Như Thanh, Thanh Hóa</t>
  </si>
  <si>
    <t>0943495322</t>
  </si>
  <si>
    <t>27</t>
  </si>
  <si>
    <t>Thuỷ</t>
  </si>
  <si>
    <t>6,1</t>
  </si>
  <si>
    <t>Trung cấp Tổng hợp Hà Nội</t>
  </si>
  <si>
    <t>038184049761</t>
  </si>
  <si>
    <t>Văn Sơn, Triệu Sơn, Thanh Hóa</t>
  </si>
  <si>
    <t>0985096369</t>
  </si>
  <si>
    <t>28</t>
  </si>
  <si>
    <t>Lữ Thị Mai</t>
  </si>
  <si>
    <t>Thương</t>
  </si>
  <si>
    <t>Trung cấp SP Mẫu giáo - Nhà trẻ  Hà Nội</t>
  </si>
  <si>
    <t>038196024666</t>
  </si>
  <si>
    <t>Quảng Khê, Quảng Xương, Thanh Hóa</t>
  </si>
  <si>
    <t>0384368859</t>
  </si>
  <si>
    <t>200K</t>
  </si>
  <si>
    <t>29</t>
  </si>
  <si>
    <t>Lang Thị</t>
  </si>
  <si>
    <t>038190001017</t>
  </si>
  <si>
    <t>TT Tân Phong, Quảng Xương, Thanh Hóa</t>
  </si>
  <si>
    <t>0981604322</t>
  </si>
  <si>
    <t>30</t>
  </si>
  <si>
    <t>THPT</t>
  </si>
  <si>
    <t>31</t>
  </si>
  <si>
    <t>Trần Thu</t>
  </si>
  <si>
    <t>8,6</t>
  </si>
  <si>
    <t>THPT Nguyễn Mộng Tuân</t>
  </si>
  <si>
    <t>Quảng Đông, TP.Thanh Hoá, Thanh Hóa</t>
  </si>
  <si>
    <t>32</t>
  </si>
  <si>
    <t>Nguyễn Thanh</t>
  </si>
  <si>
    <t>8,5</t>
  </si>
  <si>
    <t>THPT Lý Thường Kiệt, TP. Thanh Hoá, Thanh Hoá</t>
  </si>
  <si>
    <t>Đông Hải, TP.Thanh Hoá, Thanh Hóa</t>
  </si>
  <si>
    <t>ĐHGD Tiểu học</t>
  </si>
  <si>
    <t>Đinh Thị Thanh</t>
  </si>
  <si>
    <t>Bình</t>
  </si>
  <si>
    <t>7,24</t>
  </si>
  <si>
    <t>6,4</t>
  </si>
  <si>
    <t>Quảng Bình</t>
  </si>
  <si>
    <t>Đại học Quảng Bình</t>
  </si>
  <si>
    <t>044194002131</t>
  </si>
  <si>
    <t>Đại Lộc, Hậu Lộc, Thanh Hóa</t>
  </si>
  <si>
    <t>0359161966</t>
  </si>
  <si>
    <t>23.6.25</t>
  </si>
  <si>
    <t>8,38</t>
  </si>
  <si>
    <t>3,35</t>
  </si>
  <si>
    <t>038195009905</t>
  </si>
  <si>
    <t>Quảng Cát, TP.Thanh Hoá, Thanh Hóa</t>
  </si>
  <si>
    <t>0332636006</t>
  </si>
  <si>
    <t xml:space="preserve">Thiếu bằng </t>
  </si>
  <si>
    <t>Toán</t>
  </si>
  <si>
    <t>8,41</t>
  </si>
  <si>
    <t>Đại học Đồng Tháp</t>
  </si>
  <si>
    <t>038188016394</t>
  </si>
  <si>
    <t>Cẩm Thạch</t>
  </si>
  <si>
    <t>Cẩm Thạch, Thanh Hóa</t>
  </si>
  <si>
    <t>0989842446</t>
  </si>
  <si>
    <t>Bằng và học bạ THPT, CCCD</t>
  </si>
  <si>
    <t>Trần Thị Mai</t>
  </si>
  <si>
    <t>Anh</t>
  </si>
  <si>
    <t>038302005869</t>
  </si>
  <si>
    <t>Hưng lộc, Hậu Lộc, Thanh Hóa</t>
  </si>
  <si>
    <t>0982247518</t>
  </si>
  <si>
    <t>05.7.25</t>
  </si>
  <si>
    <t>Nguyễn Châu</t>
  </si>
  <si>
    <t>Sư phạm Tiếng Anh</t>
  </si>
  <si>
    <t>6,71</t>
  </si>
  <si>
    <t>2,60</t>
  </si>
  <si>
    <t>8,3</t>
  </si>
  <si>
    <t>Toán Văn Địa</t>
  </si>
  <si>
    <t>23,3</t>
  </si>
  <si>
    <t>038303018746</t>
  </si>
  <si>
    <t>Hà Vinh, Hà Trung, Thanh Hóa</t>
  </si>
  <si>
    <t>0372793193</t>
  </si>
  <si>
    <t>Lê Thị Mai</t>
  </si>
  <si>
    <t>Chi</t>
  </si>
  <si>
    <t>8,0</t>
  </si>
  <si>
    <t>Toán Văn Hóa</t>
  </si>
  <si>
    <t>23,77</t>
  </si>
  <si>
    <t>038303002222</t>
  </si>
  <si>
    <t>Cán Khê, Như Thanh, Thanh Hóa</t>
  </si>
  <si>
    <t>0328130803</t>
  </si>
  <si>
    <t>Lường Thị</t>
  </si>
  <si>
    <t>2,43</t>
  </si>
  <si>
    <t>038199006120</t>
  </si>
  <si>
    <t>Hoằng Thanh, Hoằng Hóa, Thanh Hóa</t>
  </si>
  <si>
    <t>0968329348</t>
  </si>
  <si>
    <t>Giấy xác nhận k ghi số năm kinh nghiệm</t>
  </si>
  <si>
    <t>3,45</t>
  </si>
  <si>
    <t>Trường Đại học Thủ Đô Hà Nội</t>
  </si>
  <si>
    <t>038302019794</t>
  </si>
  <si>
    <t>Thọ Diên, Thọ Xuân, Thanh Hóa</t>
  </si>
  <si>
    <t>0399703457</t>
  </si>
  <si>
    <t>7,65</t>
  </si>
  <si>
    <t>038197000785</t>
  </si>
  <si>
    <t>Hạc Thành</t>
  </si>
  <si>
    <t>Phường Hạc Thành, Thanh Hóa</t>
  </si>
  <si>
    <t>0941588686</t>
  </si>
  <si>
    <t>Giấy xác nhận công tác, CCCD (Linh KTCN đảm nhận thu)</t>
  </si>
  <si>
    <t>Nguyễn Thị Hiền</t>
  </si>
  <si>
    <t>Lương</t>
  </si>
  <si>
    <t>8,14</t>
  </si>
  <si>
    <t>ĐH Văn hoá, Thể thao&amp;Du lịch TH</t>
  </si>
  <si>
    <t>038303021931</t>
  </si>
  <si>
    <t>0822492636</t>
  </si>
  <si>
    <t>Nga</t>
  </si>
  <si>
    <t>7,42</t>
  </si>
  <si>
    <t>038193048030</t>
  </si>
  <si>
    <t>Thiệu Hóa</t>
  </si>
  <si>
    <t>Thôn Minh Thương, xã Thiệu Hóa, Thanh Hóa</t>
  </si>
  <si>
    <t>0397204025</t>
  </si>
  <si>
    <t>06.8.25</t>
  </si>
  <si>
    <t>Trần Yến</t>
  </si>
  <si>
    <t>Nhi</t>
  </si>
  <si>
    <t>SP Lịch sử - Địa lý</t>
  </si>
  <si>
    <t>Đại học Sư phạm , Đại học Huế</t>
  </si>
  <si>
    <t>038303021498</t>
  </si>
  <si>
    <t>Quan lộc, Hậu Lộc, Thanh Hóa</t>
  </si>
  <si>
    <t>0335302926</t>
  </si>
  <si>
    <t>Đỗ Thị Tú</t>
  </si>
  <si>
    <t>Quyên</t>
  </si>
  <si>
    <t>7,76</t>
  </si>
  <si>
    <t>3,2</t>
  </si>
  <si>
    <t>038199008606</t>
  </si>
  <si>
    <t>Xuân Lập, Thanh Hóa</t>
  </si>
  <si>
    <t>0865215966</t>
  </si>
  <si>
    <t>Thiếu học bạ THPT</t>
  </si>
  <si>
    <t>04.7.25</t>
  </si>
  <si>
    <t>Đỗ Thị</t>
  </si>
  <si>
    <t>Quyết</t>
  </si>
  <si>
    <t>8,21</t>
  </si>
  <si>
    <t>3,44</t>
  </si>
  <si>
    <t>038191035255</t>
  </si>
  <si>
    <t>Lộc Sơn, Hậu Lộc, Thanh Hóa</t>
  </si>
  <si>
    <t>0366585656</t>
  </si>
  <si>
    <t>Tiên</t>
  </si>
  <si>
    <t>Sư phạm Ngữ Văn</t>
  </si>
  <si>
    <t>6,29</t>
  </si>
  <si>
    <t>038197012874</t>
  </si>
  <si>
    <t>Hoằng Đạt, Hoằng Hóa, Thanh Hóa</t>
  </si>
  <si>
    <t>0982534830</t>
  </si>
  <si>
    <t>Giấy XNCT</t>
  </si>
  <si>
    <t>Đào Thị</t>
  </si>
  <si>
    <t>Tiến</t>
  </si>
  <si>
    <t>3,23</t>
  </si>
  <si>
    <t>ĐH Hồng Đức</t>
  </si>
  <si>
    <t>038192018552</t>
  </si>
  <si>
    <t xml:space="preserve">Quảng Trạch </t>
  </si>
  <si>
    <t>Quảng Lưu, Quảng Trạch, Quảng Bình</t>
  </si>
  <si>
    <t>0905759008</t>
  </si>
  <si>
    <t>Học bạ THPT, 1 bản bằng và BĐ ĐH</t>
  </si>
  <si>
    <t>Nguyễn Thị Phương</t>
  </si>
  <si>
    <t>Thuý</t>
  </si>
  <si>
    <t>3,57</t>
  </si>
  <si>
    <t>8.3</t>
  </si>
  <si>
    <t>26,13</t>
  </si>
  <si>
    <t>038199004116</t>
  </si>
  <si>
    <t>Đông Phú, Đông Sơn, Thanh Hóa</t>
  </si>
  <si>
    <t>0856465669</t>
  </si>
  <si>
    <t>Vân</t>
  </si>
  <si>
    <t>7,25</t>
  </si>
  <si>
    <t>2,92</t>
  </si>
  <si>
    <t>8,1</t>
  </si>
  <si>
    <t>24,17</t>
  </si>
  <si>
    <t>038198009229</t>
  </si>
  <si>
    <t>Khu phố Vạn Lợi, TP. Sầm Sơn, Thanh Hóa</t>
  </si>
  <si>
    <t>0398648787</t>
  </si>
  <si>
    <t>Nguyễn Minh</t>
  </si>
  <si>
    <t>Toán Văn Sinh</t>
  </si>
  <si>
    <t>23,7</t>
  </si>
  <si>
    <t>THPT Lam Sơn</t>
  </si>
  <si>
    <t>ĐH Luật kinh tế</t>
  </si>
  <si>
    <t>038301000658</t>
  </si>
  <si>
    <t>Lam Sơn, TP.Thanh Hoá, Thanh Hóa</t>
  </si>
  <si>
    <t>0981061433</t>
  </si>
  <si>
    <t>Bùi Thị Lan</t>
  </si>
  <si>
    <t>24,2</t>
  </si>
  <si>
    <t>THPT Yên Định 2, tỉnh Thanh Hóa</t>
  </si>
  <si>
    <t>Đại học Quản trị kinh doanh</t>
  </si>
  <si>
    <t>038194029972</t>
  </si>
  <si>
    <t>Yên Phong, Yên Định, Thanh Hóa</t>
  </si>
  <si>
    <t>0962848397</t>
  </si>
  <si>
    <t>09.7.25</t>
  </si>
  <si>
    <t>Phạm Nhật</t>
  </si>
  <si>
    <t>8,7</t>
  </si>
  <si>
    <t>THPT Hà Văn Mao</t>
  </si>
  <si>
    <t>038301019440</t>
  </si>
  <si>
    <t>Bá Thước</t>
  </si>
  <si>
    <t>Thôn Bái Tôm, xã Điền Quang, tỉnh Thanh Hóa</t>
  </si>
  <si>
    <t>0345987057</t>
  </si>
  <si>
    <t>Vũ Xuân</t>
  </si>
  <si>
    <t>Bách</t>
  </si>
  <si>
    <t>Toán Anh Văn</t>
  </si>
  <si>
    <t>22,8</t>
  </si>
  <si>
    <t xml:space="preserve">THPT Hậu Lộc 2, Hậu lộc, tỉnh Thanh Hóa </t>
  </si>
  <si>
    <t>Công nghệ giáo dục</t>
  </si>
  <si>
    <t>038202006550</t>
  </si>
  <si>
    <t>Tiến Lộc, Hậu Lộc, Thanh Hóa</t>
  </si>
  <si>
    <t>0845098262</t>
  </si>
  <si>
    <t>Bùi Thị Thùy</t>
  </si>
  <si>
    <t>8,91</t>
  </si>
  <si>
    <t>Tốt</t>
  </si>
  <si>
    <t>Văn Toán Địa</t>
  </si>
  <si>
    <t>25,0</t>
  </si>
  <si>
    <t>038307031302</t>
  </si>
  <si>
    <t>Đông Vệ, TP.Thanh Hoá, Thanh Hóa</t>
  </si>
  <si>
    <t>0382704069</t>
  </si>
  <si>
    <t>25.7.25</t>
  </si>
  <si>
    <t>Bùi Thị Kim</t>
  </si>
  <si>
    <t>Hòa</t>
  </si>
  <si>
    <t xml:space="preserve">Toán Văn Hóa </t>
  </si>
  <si>
    <t>25,1</t>
  </si>
  <si>
    <t>THPT Nguyễn Huệ, Hà Tĩnh</t>
  </si>
  <si>
    <t>Đại học Kế toán</t>
  </si>
  <si>
    <t>042199004967</t>
  </si>
  <si>
    <t>Kỳ Anh</t>
  </si>
  <si>
    <t>Kỳ Giang, Kỳ Anh, Hà Tĩnh</t>
  </si>
  <si>
    <t>0333091557</t>
  </si>
  <si>
    <t>Chưa thu</t>
  </si>
  <si>
    <t>Nhận Bưu điện ngày 14.7</t>
  </si>
  <si>
    <t>Hoài</t>
  </si>
  <si>
    <t>22,9</t>
  </si>
  <si>
    <t>THPT Quảng Xương 1, Quảng Xương, Thanh Hoá</t>
  </si>
  <si>
    <t>Đại học Tâm lý học</t>
  </si>
  <si>
    <t>038303007483</t>
  </si>
  <si>
    <t>0963911380</t>
  </si>
  <si>
    <t xml:space="preserve">Lê Thị </t>
  </si>
  <si>
    <t>24,35</t>
  </si>
  <si>
    <t>THPT Đông Sơn 1, tỉnh Thanh Hóa</t>
  </si>
  <si>
    <t>Đại học Marketting</t>
  </si>
  <si>
    <t>038198002299</t>
  </si>
  <si>
    <t>Đông Khê, Đông Sơn, Thanh Hóa</t>
  </si>
  <si>
    <t>0773366838</t>
  </si>
  <si>
    <t>23,57</t>
  </si>
  <si>
    <t>THPT Mai Anh Tuấn</t>
  </si>
  <si>
    <t>Đại học Môi trường</t>
  </si>
  <si>
    <t>038199012822</t>
  </si>
  <si>
    <t>Tân Phong, Quảng Xương, Thanh Hóa</t>
  </si>
  <si>
    <t>0865619542</t>
  </si>
  <si>
    <t>Phạm Khánh</t>
  </si>
  <si>
    <t>Toán Văn Anh</t>
  </si>
  <si>
    <t>Thái Bình</t>
  </si>
  <si>
    <t>THPT Nam Tiền Hải, Thái Bình</t>
  </si>
  <si>
    <t>ĐH Quản trị kinh doanh</t>
  </si>
  <si>
    <t>034301005633</t>
  </si>
  <si>
    <t>Tiền Hải</t>
  </si>
  <si>
    <t>Nam Hải, Tiền Hải, Thái Bình</t>
  </si>
  <si>
    <t>0966652616</t>
  </si>
  <si>
    <t>17.6.25</t>
  </si>
  <si>
    <t>Lê Thị Khánh</t>
  </si>
  <si>
    <t>23,54</t>
  </si>
  <si>
    <t>038306023185</t>
  </si>
  <si>
    <t>Đông Lĩnh, TP. Thanh Hóa, Thanh Hóa</t>
  </si>
  <si>
    <t>0963485608</t>
  </si>
  <si>
    <t>Quách Thanh</t>
  </si>
  <si>
    <t>Lam</t>
  </si>
  <si>
    <t>24,1</t>
  </si>
  <si>
    <t>THPT Như Xuân, tỉnh Thanh Hóa</t>
  </si>
  <si>
    <t>038302015173</t>
  </si>
  <si>
    <t>Cát Tân, Như Xuân, Thanh Hóa</t>
  </si>
  <si>
    <t>0346757245</t>
  </si>
  <si>
    <t>Trịnh Diệu</t>
  </si>
  <si>
    <t>Toán Văn Hoá</t>
  </si>
  <si>
    <t>25,9</t>
  </si>
  <si>
    <t>THPT Yên Định 1, tỉnh Thanh Hóa</t>
  </si>
  <si>
    <t>038303019685</t>
  </si>
  <si>
    <t>Yên Ninh, Yên Định, Thanh Hóa</t>
  </si>
  <si>
    <t>0925981345</t>
  </si>
  <si>
    <t>25,3</t>
  </si>
  <si>
    <t>THPT Mai Anh Tuấn, tỉnh Thanh Hóa</t>
  </si>
  <si>
    <t>ĐH Công nghệ sinh học</t>
  </si>
  <si>
    <t>038194011846</t>
  </si>
  <si>
    <t>Nga Tiến, Nga Sơn, Thanh Hóa</t>
  </si>
  <si>
    <t>0385389027</t>
  </si>
  <si>
    <t>33</t>
  </si>
  <si>
    <t>Lê Thị Quỳnh</t>
  </si>
  <si>
    <t>Công nghệ kỹ thuật môi trường</t>
  </si>
  <si>
    <t>Văn Toán Sinh</t>
  </si>
  <si>
    <t>22,07</t>
  </si>
  <si>
    <t>THPT Tĩnh Gia 2, Tĩnh Gia, Thanh Hóa</t>
  </si>
  <si>
    <t>038192042285</t>
  </si>
  <si>
    <t>0988561098</t>
  </si>
  <si>
    <t>chưa có đơn xin miễn môn</t>
  </si>
  <si>
    <t>12.6.2025</t>
  </si>
  <si>
    <t>34</t>
  </si>
  <si>
    <t>Quản Thị</t>
  </si>
  <si>
    <t>26,0</t>
  </si>
  <si>
    <t>THPT Thiệu Hóa, tỉnh Thanh Hóa</t>
  </si>
  <si>
    <t>BĐ Đại học Kế toán</t>
  </si>
  <si>
    <t>038301017941</t>
  </si>
  <si>
    <t>Thiệu Hợp, Thiệu Hoá, Thanh Hóa</t>
  </si>
  <si>
    <t>0846926599</t>
  </si>
  <si>
    <t>Thiếu bằng ĐH Kế toán</t>
  </si>
  <si>
    <t>35</t>
  </si>
  <si>
    <t>23,9</t>
  </si>
  <si>
    <t>THPT Hoằng Hóa 3</t>
  </si>
  <si>
    <t>Đại học Điện tử viễn thông</t>
  </si>
  <si>
    <t>038199015079</t>
  </si>
  <si>
    <t>Hoằng Trường, Hoằng Hóa, Thanh Hóa</t>
  </si>
  <si>
    <t>0347466189</t>
  </si>
  <si>
    <t>36</t>
  </si>
  <si>
    <t>24,3</t>
  </si>
  <si>
    <t>THPT Triệu Sơn 3, Triệu Sơn, Thanh Hóa</t>
  </si>
  <si>
    <t>038199023648</t>
  </si>
  <si>
    <t>Thọ Bình</t>
  </si>
  <si>
    <t>Thôn 1, Thọ Bình, Thanh Hóa</t>
  </si>
  <si>
    <t>0366350738</t>
  </si>
  <si>
    <t>37</t>
  </si>
  <si>
    <t>Lê Thị Hồng</t>
  </si>
  <si>
    <t>Thơm</t>
  </si>
  <si>
    <t xml:space="preserve">THPT Lê Hoàn, Thọ Xuân, tỉnh Thanh Hóa </t>
  </si>
  <si>
    <t>Hệ thống thông tin quản lý</t>
  </si>
  <si>
    <t>038301018839</t>
  </si>
  <si>
    <t>Phú Xuân, Thọ Xuân, Thanh Hóa</t>
  </si>
  <si>
    <t>0963763949</t>
  </si>
  <si>
    <t>38</t>
  </si>
  <si>
    <t>Vũ Thị</t>
  </si>
  <si>
    <t>Thủy</t>
  </si>
  <si>
    <t>23,79</t>
  </si>
  <si>
    <t>THPT Nông Cống 4</t>
  </si>
  <si>
    <t>Đại học Thiết kế nội thất</t>
  </si>
  <si>
    <t>038301005231</t>
  </si>
  <si>
    <t>Xã Tượng Lĩnh, Thanh Hóa</t>
  </si>
  <si>
    <t>0389022491</t>
  </si>
  <si>
    <t>Thiếu CCCD</t>
  </si>
  <si>
    <t>39</t>
  </si>
  <si>
    <t>22,57</t>
  </si>
  <si>
    <t>THPT Ba Đình, Nga Sơn, Thanh Hoá</t>
  </si>
  <si>
    <t>038198008921</t>
  </si>
  <si>
    <t>Nga Thiện, Nga Sơn, Thanh Hóa</t>
  </si>
  <si>
    <t xml:space="preserve"> 0965764525</t>
  </si>
  <si>
    <t>40</t>
  </si>
  <si>
    <t>Trần Thị Kiều</t>
  </si>
  <si>
    <t>25,42</t>
  </si>
  <si>
    <t>038303005671</t>
  </si>
  <si>
    <t>Nga Thái, Nga Sơn, Thanh Hóa</t>
  </si>
  <si>
    <t>0387758369</t>
  </si>
  <si>
    <t>41</t>
  </si>
  <si>
    <t>THPT Sầm Sơn, Thanh Hóa</t>
  </si>
  <si>
    <t>038302001929</t>
  </si>
  <si>
    <t>Trung Sơn, TP. Sầm Sơn, Thanh Hóa</t>
  </si>
  <si>
    <t>0942752845</t>
  </si>
  <si>
    <t>Điểm xét tốt nghiệp: 8,23</t>
  </si>
  <si>
    <t>27.6.25</t>
  </si>
  <si>
    <t>42</t>
  </si>
  <si>
    <t>Hoàng Thanh</t>
  </si>
  <si>
    <t>22,96</t>
  </si>
  <si>
    <t>THPT Lam Kinh, Thọ Xuân, Thanh Hoá</t>
  </si>
  <si>
    <t>038301018259</t>
  </si>
  <si>
    <t>Thọ Lâm, Thọ Xuân, Thanh Hóa</t>
  </si>
  <si>
    <t>0399545417</t>
  </si>
  <si>
    <t>29.6.25</t>
  </si>
  <si>
    <t>43</t>
  </si>
  <si>
    <t>La Linh</t>
  </si>
  <si>
    <t>27,1</t>
  </si>
  <si>
    <t>038199015827</t>
  </si>
  <si>
    <t>Đông Thanh, Đông Sơn, Thanh Hóa</t>
  </si>
  <si>
    <t>0985671959</t>
  </si>
  <si>
    <t>23.7.25</t>
  </si>
  <si>
    <t>44</t>
  </si>
  <si>
    <t>Hoàng Thị Hồng</t>
  </si>
  <si>
    <t>24,8</t>
  </si>
  <si>
    <t>THPT Hậu Lộc I, Thanh Hóa</t>
  </si>
  <si>
    <t>038303008846</t>
  </si>
  <si>
    <t>Thị trấn Hậu Lộc, Hậu Lộc, Thanh Hoá</t>
  </si>
  <si>
    <t>0702161770</t>
  </si>
  <si>
    <t>45</t>
  </si>
  <si>
    <t>Đinh Đường Thiệu</t>
  </si>
  <si>
    <t>Vi</t>
  </si>
  <si>
    <t>8,9</t>
  </si>
  <si>
    <t>28,1</t>
  </si>
  <si>
    <t>Nghệ An</t>
  </si>
  <si>
    <t>THPT Quỳnh Lưu 4, Nghệ An</t>
  </si>
  <si>
    <t>ĐH Logistics và Quản lý chuỗi cung ứng</t>
  </si>
  <si>
    <t>040302005612</t>
  </si>
  <si>
    <t>Quỳnh Lưu</t>
  </si>
  <si>
    <t>Quỳnh Tam, Quỳnh Lưu, Nghệ An</t>
  </si>
  <si>
    <t>0869199176</t>
  </si>
  <si>
    <t>ĐHGD Thể chất</t>
  </si>
  <si>
    <t>Nguyễn văn</t>
  </si>
  <si>
    <t>Đại</t>
  </si>
  <si>
    <t>Đại học Thể dục thể thao Đà Nẵng</t>
  </si>
  <si>
    <t>038086047854</t>
  </si>
  <si>
    <t>Hoằng lưu, Hoằng Hóa, Thanh Hóa</t>
  </si>
  <si>
    <t>0977509682</t>
  </si>
  <si>
    <t>25.06.25</t>
  </si>
  <si>
    <t>8,22</t>
  </si>
  <si>
    <t>CĐ Thể dục thể thao Thanh Hóa</t>
  </si>
  <si>
    <t>TC Thể dục thể thao</t>
  </si>
  <si>
    <t>038197022267</t>
  </si>
  <si>
    <t>Hà Sơn, Hà Trung, Thanh Hóa</t>
  </si>
  <si>
    <t>0373129666</t>
  </si>
  <si>
    <t>Minh</t>
  </si>
  <si>
    <t>Sư phạm Thể dục- Công tác đội</t>
  </si>
  <si>
    <t>2010</t>
  </si>
  <si>
    <t>7,34</t>
  </si>
  <si>
    <t>6,3</t>
  </si>
  <si>
    <t>038189013260</t>
  </si>
  <si>
    <t>Thạch Định, Thạch Thành, Thanh Hoá</t>
  </si>
  <si>
    <t>0968518520</t>
  </si>
  <si>
    <t>Lê Hữu</t>
  </si>
  <si>
    <t>Thọ</t>
  </si>
  <si>
    <t>7,22</t>
  </si>
  <si>
    <t>Cao đẳng Sư phạm Gia Lai</t>
  </si>
  <si>
    <t>038085029009</t>
  </si>
  <si>
    <t>Yên Hùng, Yên Định, Thanh Hóa</t>
  </si>
  <si>
    <t>0328282148</t>
  </si>
  <si>
    <t>05.8.25</t>
  </si>
  <si>
    <t>ĐHSP Toán học</t>
  </si>
  <si>
    <t>Giang</t>
  </si>
  <si>
    <t>Sư phạm Hoá lý</t>
  </si>
  <si>
    <t>6,74</t>
  </si>
  <si>
    <t>038179010831</t>
  </si>
  <si>
    <t>Tiên Trang, Quảng Xương, Thanh Hóa</t>
  </si>
  <si>
    <t>0356395696</t>
  </si>
  <si>
    <t>Liên</t>
  </si>
  <si>
    <t>SP Công nghệ thông tin</t>
  </si>
  <si>
    <t>6,88</t>
  </si>
  <si>
    <t>ĐH SP Kỹ thuật Nam Định</t>
  </si>
  <si>
    <t>Đại học Công nghệ thông tin</t>
  </si>
  <si>
    <t>038187029211</t>
  </si>
  <si>
    <t>Hàm Rồng</t>
  </si>
  <si>
    <t>Đình Hương, Hàm Rồng, Thanh Hóa</t>
  </si>
  <si>
    <t>0944964111</t>
  </si>
  <si>
    <t>Thiếu CCCD, GKS</t>
  </si>
  <si>
    <t>Đặng Thị Hương</t>
  </si>
  <si>
    <t>Sư Phạm Toán -Tin học</t>
  </si>
  <si>
    <t>6,94</t>
  </si>
  <si>
    <t>038184010219</t>
  </si>
  <si>
    <t>Yên Lạc, Như Thanh, Thanh Hóa</t>
  </si>
  <si>
    <t>0977687858</t>
  </si>
  <si>
    <t>Xô</t>
  </si>
  <si>
    <t>6,07</t>
  </si>
  <si>
    <t>CĐ Sư phạm Quảng Ninh</t>
  </si>
  <si>
    <t>038088012688</t>
  </si>
  <si>
    <t>Hòa Lộc, Hậu Lộc, Thanh Hóa</t>
  </si>
  <si>
    <t>0369444888</t>
  </si>
  <si>
    <t>Chung</t>
  </si>
  <si>
    <t>Sư phạm Vật lý (Vật lý - Hoá học)</t>
  </si>
  <si>
    <t>8,01</t>
  </si>
  <si>
    <t>038189012146</t>
  </si>
  <si>
    <t>Đông Lĩnh, TP.Thanh Hoá, Thanh Hóa</t>
  </si>
  <si>
    <t>0382690621</t>
  </si>
  <si>
    <t>Lành</t>
  </si>
  <si>
    <t>6,78</t>
  </si>
  <si>
    <t>038186010404</t>
  </si>
  <si>
    <t>xã Thường Xuân, Thanh Hóa</t>
  </si>
  <si>
    <t>0916499363</t>
  </si>
  <si>
    <t>Lê Thị Kim</t>
  </si>
  <si>
    <t>Ngân</t>
  </si>
  <si>
    <t xml:space="preserve">Nữ </t>
  </si>
  <si>
    <t>8.,19</t>
  </si>
  <si>
    <t>3,51</t>
  </si>
  <si>
    <t>Toán Lý Hóa</t>
  </si>
  <si>
    <t>25,5</t>
  </si>
  <si>
    <t>038302001377</t>
  </si>
  <si>
    <t>Thị trấn Quán Lào, Yên Định, Thanh Hóa</t>
  </si>
  <si>
    <t>0942946585</t>
  </si>
  <si>
    <t>Trần Thị Thanh</t>
  </si>
  <si>
    <t>Sư phạm vật lý</t>
  </si>
  <si>
    <t>3,31</t>
  </si>
  <si>
    <t>25,97</t>
  </si>
  <si>
    <t>038302002605</t>
  </si>
  <si>
    <t>Vạn Hoà, Nông Cống, Thanh Hóa</t>
  </si>
  <si>
    <t>0912724956</t>
  </si>
  <si>
    <t>Thiếu căn cước công dân</t>
  </si>
  <si>
    <t xml:space="preserve">Sư phạm Vật lý </t>
  </si>
  <si>
    <t>8,11</t>
  </si>
  <si>
    <t>Thạc sỹ Vật lý lý thuyết và vật lý toán</t>
  </si>
  <si>
    <t>038188011230</t>
  </si>
  <si>
    <t>Thọ Thế, Triệu Sơn, Thanh Hóa</t>
  </si>
  <si>
    <t>0828991235</t>
  </si>
  <si>
    <t>Thiếu bằng và HB THPT</t>
  </si>
  <si>
    <t>30.6.25</t>
  </si>
  <si>
    <t>Đỗ Phương</t>
  </si>
  <si>
    <t>Toán Lý Văn</t>
  </si>
  <si>
    <t>22,5</t>
  </si>
  <si>
    <t>THPT DTNT tỉnh Thanh Hóa</t>
  </si>
  <si>
    <t>ĐH Quan hệ công chúng</t>
  </si>
  <si>
    <t>038302007110</t>
  </si>
  <si>
    <t>0946760165</t>
  </si>
  <si>
    <t>Nguyễn Thị Ngọc</t>
  </si>
  <si>
    <t>Bích</t>
  </si>
  <si>
    <t>2008</t>
  </si>
  <si>
    <t>26,4</t>
  </si>
  <si>
    <t>THPT Tống Duy Tân, Thanh Hoá</t>
  </si>
  <si>
    <t>ĐH Kinh tế</t>
  </si>
  <si>
    <t>038190044993</t>
  </si>
  <si>
    <t>Hoằng Phượng, Hoằng Hóa, Thanh Hóa</t>
  </si>
  <si>
    <t>0973541194</t>
  </si>
  <si>
    <t>Bùi Ngọc</t>
  </si>
  <si>
    <t>Cường</t>
  </si>
  <si>
    <t>28,26</t>
  </si>
  <si>
    <t>THPT Quảng Xương 4, Thanh Hóa</t>
  </si>
  <si>
    <t>Kỹ thuật điều khiển và tự động hóa</t>
  </si>
  <si>
    <t>038099017461</t>
  </si>
  <si>
    <t>Quảng Lộc, Quảng Xương, Thanh Hóa</t>
  </si>
  <si>
    <t>0834528599</t>
  </si>
  <si>
    <t>Nguyễn Thị Thu</t>
  </si>
  <si>
    <t>28,8</t>
  </si>
  <si>
    <t>THPT Nông Cống 3, Thanh Hóa</t>
  </si>
  <si>
    <t>038301011874</t>
  </si>
  <si>
    <t>Tượng Sơn, Nông Cống, Thanh Hóa</t>
  </si>
  <si>
    <t>0981293006</t>
  </si>
  <si>
    <t>Toán Lý Anh</t>
  </si>
  <si>
    <t>THPT Triệu Sơn, Triệu Sơn, Thanh Hoá</t>
  </si>
  <si>
    <t>038199015568</t>
  </si>
  <si>
    <t>Dân Lý, Triệu Sơn, Thanh Hóa</t>
  </si>
  <si>
    <t>0972136409</t>
  </si>
  <si>
    <t>25,6</t>
  </si>
  <si>
    <t>THPT Hà Trung, Thanh Hóa</t>
  </si>
  <si>
    <t>ĐH Kỹ thuật thực phẩm</t>
  </si>
  <si>
    <t>038198014458</t>
  </si>
  <si>
    <t>Yên Dương, Hà Trung, Thanh Hóa</t>
  </si>
  <si>
    <t>0378942777</t>
  </si>
  <si>
    <t>16.7.25</t>
  </si>
  <si>
    <t>Đoàn Mai</t>
  </si>
  <si>
    <t>Toán Lý Tin</t>
  </si>
  <si>
    <t>24,27</t>
  </si>
  <si>
    <t>Ninh Bình</t>
  </si>
  <si>
    <t>THPT Chuyên Lương Văn Tụy</t>
  </si>
  <si>
    <t>037305003823</t>
  </si>
  <si>
    <t>TP Ninh Bình</t>
  </si>
  <si>
    <t>Ninh Phong, TP Ninh Bình, Ninh Bình</t>
  </si>
  <si>
    <t>0916928628</t>
  </si>
  <si>
    <t>Nhận Bưu điện ngày 23.7</t>
  </si>
  <si>
    <t>Lê Mai</t>
  </si>
  <si>
    <t>27,2</t>
  </si>
  <si>
    <t xml:space="preserve">THPT Đào Duy Từ, TP. Thanh Hóa, tỉnh Thanh Hóa </t>
  </si>
  <si>
    <t>038303015478</t>
  </si>
  <si>
    <t>Phú Sơn, TP.Thanh Hoá, Thanh Hóa</t>
  </si>
  <si>
    <t>0983297118</t>
  </si>
  <si>
    <t>Lê Đăng</t>
  </si>
  <si>
    <t>038098030576</t>
  </si>
  <si>
    <t>Hợp Tiến, Triệu Sơn, Thanh Hóa</t>
  </si>
  <si>
    <t>0968837343</t>
  </si>
  <si>
    <t>Bùi Lê Anh</t>
  </si>
  <si>
    <t>Thơ</t>
  </si>
  <si>
    <t>Toán Lý Hoá</t>
  </si>
  <si>
    <t>THPT chuyên Hà Tĩnh</t>
  </si>
  <si>
    <t>Đại học Kế toán, đại học Ngôn ngữ Anh</t>
  </si>
  <si>
    <t>042199004396</t>
  </si>
  <si>
    <t>0393002404</t>
  </si>
  <si>
    <t>24.06.25</t>
  </si>
  <si>
    <t xml:space="preserve">Bùi Thị Huyền </t>
  </si>
  <si>
    <t>26,6</t>
  </si>
  <si>
    <t>THPT Yên Định 1, Yên Định, tỉnh Thanh Hoá</t>
  </si>
  <si>
    <t>Quản trị nhân lực</t>
  </si>
  <si>
    <t>038302013634</t>
  </si>
  <si>
    <t>Định Long, Yên Định, Thanh Hóa</t>
  </si>
  <si>
    <t>0357611528</t>
  </si>
  <si>
    <t>Phan Thị Hải</t>
  </si>
  <si>
    <t>25,7</t>
  </si>
  <si>
    <t>THPT Đông Sơn 1, Đông Sơn, Thanh Hóa</t>
  </si>
  <si>
    <t>038302011626</t>
  </si>
  <si>
    <t>0384767766</t>
  </si>
  <si>
    <t>ĐHSP Tiếng Anh</t>
  </si>
  <si>
    <t>6,55</t>
  </si>
  <si>
    <t>038196030121</t>
  </si>
  <si>
    <t>0964135096</t>
  </si>
  <si>
    <t>038196014317</t>
  </si>
  <si>
    <t>TX. Nghi Sơn</t>
  </si>
  <si>
    <t>Hải Hòa, TX Nghi Sơn, Thanh Hoá</t>
  </si>
  <si>
    <t>0394724690</t>
  </si>
  <si>
    <t>Hoàng Đức</t>
  </si>
  <si>
    <t>6,66</t>
  </si>
  <si>
    <t>7,3</t>
  </si>
  <si>
    <t>038096011449</t>
  </si>
  <si>
    <t>Quý Lộc, Yên Định, Thanh Hóa</t>
  </si>
  <si>
    <t>0352223941</t>
  </si>
  <si>
    <t>Giấy xác nhận công tác (có QĐ bổ nhiệm viên chức)</t>
  </si>
  <si>
    <t>Phạm Thị Thuỳ</t>
  </si>
  <si>
    <t>7,03</t>
  </si>
  <si>
    <t>2,81</t>
  </si>
  <si>
    <t>038196006763</t>
  </si>
  <si>
    <t>0977943208</t>
  </si>
  <si>
    <t>Thiếu học bạ THPT, Ảnh</t>
  </si>
  <si>
    <t>Lê Vi Thái</t>
  </si>
  <si>
    <t>3,12</t>
  </si>
  <si>
    <t>25,93</t>
  </si>
  <si>
    <t>038202021302</t>
  </si>
  <si>
    <t>Thị trấn Sao Vàng, Thọ Xuân, Thanh Hóa</t>
  </si>
  <si>
    <t>0965024316</t>
  </si>
  <si>
    <t>Lê Thị Thanh</t>
  </si>
  <si>
    <t>7,57</t>
  </si>
  <si>
    <t>Toán  Văn Anh</t>
  </si>
  <si>
    <t>THPT Chu Văn An, Thanh Hóa</t>
  </si>
  <si>
    <t>038300008833</t>
  </si>
  <si>
    <t>Quảng Lưu, Quảng Xương, Thanh Hóa</t>
  </si>
  <si>
    <t>0866811401</t>
  </si>
  <si>
    <t>CK trường?</t>
  </si>
  <si>
    <t>28.06.25</t>
  </si>
  <si>
    <t>Đặng Hồng</t>
  </si>
  <si>
    <t>Đức</t>
  </si>
  <si>
    <t>Toán Anh GDCD</t>
  </si>
  <si>
    <t>THPT Trường Thi</t>
  </si>
  <si>
    <t>038201005264</t>
  </si>
  <si>
    <t>0388846254</t>
  </si>
  <si>
    <t>Thái Thị Cầm</t>
  </si>
  <si>
    <t>2016</t>
  </si>
  <si>
    <t>Toán Anh Địa</t>
  </si>
  <si>
    <t>21,95</t>
  </si>
  <si>
    <t>038197024029</t>
  </si>
  <si>
    <t>0368643543</t>
  </si>
  <si>
    <t>ĐH Ngôn ngữ Anh</t>
  </si>
  <si>
    <t>Vũ Thị Hằng</t>
  </si>
  <si>
    <t>An</t>
  </si>
  <si>
    <t>7,59</t>
  </si>
  <si>
    <t>038303011402</t>
  </si>
  <si>
    <t>Thành Tâm, Thạch Thành, Thanh Hóa</t>
  </si>
  <si>
    <t>0356426497</t>
  </si>
  <si>
    <t>Lê Đức</t>
  </si>
  <si>
    <t>Đại học Tôn Đức Thắng</t>
  </si>
  <si>
    <t>038201007987</t>
  </si>
  <si>
    <t>Điện Biên, TP.Thanh Hoá, Thanh Hóa</t>
  </si>
  <si>
    <t>'0962710617</t>
  </si>
  <si>
    <t xml:space="preserve">Lê Văn </t>
  </si>
  <si>
    <t>Kỹ thuật điện tử, truyền thông</t>
  </si>
  <si>
    <t>2,1</t>
  </si>
  <si>
    <t>Học viện Công nghệ bưu chính viễn thông</t>
  </si>
  <si>
    <t>038094024547</t>
  </si>
  <si>
    <t>Hoàng Giang, Nông cống, Thanh Hóa</t>
  </si>
  <si>
    <t>0905011386</t>
  </si>
  <si>
    <t>Đỗ Ngọc</t>
  </si>
  <si>
    <t>8,32</t>
  </si>
  <si>
    <t>Đại học Lao động - Xã hội</t>
  </si>
  <si>
    <t>038302006616</t>
  </si>
  <si>
    <t>Nam Ngạn, TP. Thanh Hóa, Thanh Hóa</t>
  </si>
  <si>
    <t>0826910302</t>
  </si>
  <si>
    <t>Lê Quỳnh</t>
  </si>
  <si>
    <t>Khai thác vận tải</t>
  </si>
  <si>
    <t>6,64</t>
  </si>
  <si>
    <t>Đại học Giao thông vận tải</t>
  </si>
  <si>
    <t>038301013674</t>
  </si>
  <si>
    <t>Đông Thọ, TP. Thanh Hóa, Thanh Hóa</t>
  </si>
  <si>
    <t>0354490904</t>
  </si>
  <si>
    <t>Trần Ngọc</t>
  </si>
  <si>
    <t>Kinh doanh quốc tế</t>
  </si>
  <si>
    <t>Xuất sắc</t>
  </si>
  <si>
    <t>8,53</t>
  </si>
  <si>
    <t>Đại học Ngoại thương</t>
  </si>
  <si>
    <t>038302001541</t>
  </si>
  <si>
    <t>Quảng Châu, Sầm Sơn, Thanh Hóa</t>
  </si>
  <si>
    <t>0832060268</t>
  </si>
  <si>
    <t xml:space="preserve">Mạc Phương </t>
  </si>
  <si>
    <t>Kinh tế phát triển</t>
  </si>
  <si>
    <t>ĐH Kinh tế Quốc dân</t>
  </si>
  <si>
    <t>038302006241</t>
  </si>
  <si>
    <t>Ba Đình, TP.Thanh Hoá, Thanh Hóa</t>
  </si>
  <si>
    <t>0919754459</t>
  </si>
  <si>
    <t>Trần Văn</t>
  </si>
  <si>
    <t>Răng hàm mặt</t>
  </si>
  <si>
    <t>Đại học Y dược Hải Phòng</t>
  </si>
  <si>
    <t>038093031563</t>
  </si>
  <si>
    <t>Thiệu Phú, Thiêuh Hóa, Thanh Hóa</t>
  </si>
  <si>
    <t>0964251264</t>
  </si>
  <si>
    <t>Hà Văn</t>
  </si>
  <si>
    <t xml:space="preserve">Cường </t>
  </si>
  <si>
    <t>3,42</t>
  </si>
  <si>
    <t>038098011879</t>
  </si>
  <si>
    <t>Thanh Quân, Như Xuân, Thanh Háo</t>
  </si>
  <si>
    <t>0948903321</t>
  </si>
  <si>
    <t>31.7.25</t>
  </si>
  <si>
    <t xml:space="preserve">Trịnh Hữu </t>
  </si>
  <si>
    <t>Dinh</t>
  </si>
  <si>
    <t>Kỹ thuật xây dựng công trình</t>
  </si>
  <si>
    <t>6,73</t>
  </si>
  <si>
    <t>Đại học Duy Tân</t>
  </si>
  <si>
    <t>038085022663</t>
  </si>
  <si>
    <t>0919108858</t>
  </si>
  <si>
    <t>7,94</t>
  </si>
  <si>
    <t>042194006579</t>
  </si>
  <si>
    <t>Đông Vệ, TP. Thanh Hóa, Thanh Hóa</t>
  </si>
  <si>
    <t>0919730210</t>
  </si>
  <si>
    <t>Tâm lý học giáo dục</t>
  </si>
  <si>
    <t>Học viện Quản lý giáo dục</t>
  </si>
  <si>
    <t>038198023248</t>
  </si>
  <si>
    <t>Yên Lâm, Yên Định, Thanh Hóa</t>
  </si>
  <si>
    <t>0378714111</t>
  </si>
  <si>
    <t>Nguyễn Anh</t>
  </si>
  <si>
    <t>038082032984</t>
  </si>
  <si>
    <t>Xuân Bình</t>
  </si>
  <si>
    <t>Thôn 8, Xuân Bình, Thanh Hóa</t>
  </si>
  <si>
    <t>0982556505</t>
  </si>
  <si>
    <t>CK trường</t>
  </si>
  <si>
    <t>bản BĐCĐ; học bạ THPT, CCCD</t>
  </si>
  <si>
    <t xml:space="preserve">Trần Tâm </t>
  </si>
  <si>
    <t>Đoan</t>
  </si>
  <si>
    <t>2,93</t>
  </si>
  <si>
    <t>038302016962</t>
  </si>
  <si>
    <t>0365694321</t>
  </si>
  <si>
    <t>Trần Thị Thu</t>
  </si>
  <si>
    <t>7,43</t>
  </si>
  <si>
    <t>038187042325</t>
  </si>
  <si>
    <t>TX Nghi Sơn</t>
  </si>
  <si>
    <t>Bình Minh, TX Nghi Sơn, Thanh Hóa</t>
  </si>
  <si>
    <t>0968284152</t>
  </si>
  <si>
    <t>học bạ THPT</t>
  </si>
  <si>
    <t>Trương Hoàng</t>
  </si>
  <si>
    <t>Hải</t>
  </si>
  <si>
    <t>6,96</t>
  </si>
  <si>
    <t>2,52</t>
  </si>
  <si>
    <t>Đại học Hà Hoa Tiên</t>
  </si>
  <si>
    <t>038093045204</t>
  </si>
  <si>
    <t>Quan Sơn</t>
  </si>
  <si>
    <t>Xã Quan Sơn, Thanh Hóa</t>
  </si>
  <si>
    <t>0919938836</t>
  </si>
  <si>
    <t>06.7.25</t>
  </si>
  <si>
    <t>Hảo</t>
  </si>
  <si>
    <t xml:space="preserve">Sư phạm Sinh học </t>
  </si>
  <si>
    <t>038081016221</t>
  </si>
  <si>
    <t>Hoằng Thắng, Hoằng Hóa, Thanh Hóa</t>
  </si>
  <si>
    <t>0824080678</t>
  </si>
  <si>
    <t>7,28</t>
  </si>
  <si>
    <t>038180013556</t>
  </si>
  <si>
    <t>Yên Cát, Như Xuân, Thanh Hóa</t>
  </si>
  <si>
    <t>0914883555</t>
  </si>
  <si>
    <t>Học bạ THPT, GKS</t>
  </si>
  <si>
    <t>Phạm Thị Thu</t>
  </si>
  <si>
    <t>5,53</t>
  </si>
  <si>
    <t>Tại chức</t>
  </si>
  <si>
    <t>037181002638</t>
  </si>
  <si>
    <t>Trương Hán siêu, Hoa Lư, Ninh Bình</t>
  </si>
  <si>
    <t>0915919269</t>
  </si>
  <si>
    <t>Vũ Minh</t>
  </si>
  <si>
    <t>Kinh tế Xây dựng</t>
  </si>
  <si>
    <t>6,48</t>
  </si>
  <si>
    <t>Đại học Xây dựng Hà Nội</t>
  </si>
  <si>
    <t>038201011038</t>
  </si>
  <si>
    <t>Quảng Thịnh, TP. Thanh Hóa, Thanh Hóa</t>
  </si>
  <si>
    <t>0868093019</t>
  </si>
  <si>
    <t>6,24</t>
  </si>
  <si>
    <t>038188018753</t>
  </si>
  <si>
    <t>0947179855</t>
  </si>
  <si>
    <t>Hoan</t>
  </si>
  <si>
    <t>038187021315</t>
  </si>
  <si>
    <t>Ngọc Trạo, TP Thanh Hóa, Thanh Hóa</t>
  </si>
  <si>
    <t>0914111567</t>
  </si>
  <si>
    <t>Bằng và học bạ THPT, GKS</t>
  </si>
  <si>
    <t>Lại Thị Thanh</t>
  </si>
  <si>
    <t xml:space="preserve">Huệ </t>
  </si>
  <si>
    <t>Quốc Tế học - Tiếng Anh</t>
  </si>
  <si>
    <t>Đại học Hà Nội</t>
  </si>
  <si>
    <t>038193026844</t>
  </si>
  <si>
    <t>0375679294</t>
  </si>
  <si>
    <t>27.06.25</t>
  </si>
  <si>
    <t>Trịnh Bá</t>
  </si>
  <si>
    <t>Huy</t>
  </si>
  <si>
    <t>Điện tử Viễn thông</t>
  </si>
  <si>
    <t>6,34</t>
  </si>
  <si>
    <t>038083017186</t>
  </si>
  <si>
    <t>0947363368</t>
  </si>
  <si>
    <t>9,2</t>
  </si>
  <si>
    <t>3,68</t>
  </si>
  <si>
    <t>038300002688</t>
  </si>
  <si>
    <t>Thị trấn Thường Xuân, Thường Xuân, Thanh Hóa</t>
  </si>
  <si>
    <t>0834171858</t>
  </si>
  <si>
    <t>6,26</t>
  </si>
  <si>
    <t>038190018824</t>
  </si>
  <si>
    <t>0948399786</t>
  </si>
  <si>
    <t>Kiên</t>
  </si>
  <si>
    <t>Xây dựng dân dụng và Công nghiệp</t>
  </si>
  <si>
    <t>6,67</t>
  </si>
  <si>
    <t>038085001553</t>
  </si>
  <si>
    <t>Hải An, Nghi Sơn, Thanh Hóa</t>
  </si>
  <si>
    <t>0945788198</t>
  </si>
  <si>
    <t>Lê Xuân</t>
  </si>
  <si>
    <t>Khánh</t>
  </si>
  <si>
    <t>5,88</t>
  </si>
  <si>
    <t>038088027627</t>
  </si>
  <si>
    <t>P706, nhà A2, chung cư Tân Thành 2, phường Hạc Thành, Thanh Hóa</t>
  </si>
  <si>
    <t>0982560268</t>
  </si>
  <si>
    <t>Bằng THPT, GKS, BDĐH Công chứng</t>
  </si>
  <si>
    <t>Yên Thị</t>
  </si>
  <si>
    <t>Lệ</t>
  </si>
  <si>
    <t>038186044241</t>
  </si>
  <si>
    <t>TK2, xã Nga Sơn, tỉnh Thanh Hóa</t>
  </si>
  <si>
    <t>0825551986</t>
  </si>
  <si>
    <t>Nguyễn Văn</t>
  </si>
  <si>
    <t>Bác sĩ đa khoa</t>
  </si>
  <si>
    <t>7,46</t>
  </si>
  <si>
    <t>Đại học Y Thái Bình</t>
  </si>
  <si>
    <t>038088012034</t>
  </si>
  <si>
    <t>Quảng Ninh, Quảng Xương, Thanh Hóa</t>
  </si>
  <si>
    <t>'0976219248</t>
  </si>
  <si>
    <t xml:space="preserve">Lê Phan Hoài </t>
  </si>
  <si>
    <t>Kinh tế chính trị</t>
  </si>
  <si>
    <t>6,92</t>
  </si>
  <si>
    <t>2,64</t>
  </si>
  <si>
    <t>Học viện Báo chí và tuyên truyền</t>
  </si>
  <si>
    <t>038300001211</t>
  </si>
  <si>
    <t>0852800158</t>
  </si>
  <si>
    <t>2,97</t>
  </si>
  <si>
    <t>Đại học Lâm nghiệp</t>
  </si>
  <si>
    <t>038196033767</t>
  </si>
  <si>
    <t>Hoằng Trạch, Hoằng Hóa, Thanh Hóa</t>
  </si>
  <si>
    <t>0328060962</t>
  </si>
  <si>
    <t>13.6.2025</t>
  </si>
  <si>
    <t>8,12</t>
  </si>
  <si>
    <t>Cao đẳng Tiểu học</t>
  </si>
  <si>
    <t>038191045104</t>
  </si>
  <si>
    <t>Phú Sơn, TP Thanh Hóa, Thanh Hóa</t>
  </si>
  <si>
    <t>0967793092</t>
  </si>
  <si>
    <t xml:space="preserve">Bùi Thành </t>
  </si>
  <si>
    <t xml:space="preserve">Khá </t>
  </si>
  <si>
    <t>6,98</t>
  </si>
  <si>
    <t>2,77</t>
  </si>
  <si>
    <t>038202021431</t>
  </si>
  <si>
    <t>0763026884</t>
  </si>
  <si>
    <t>Ngọc</t>
  </si>
  <si>
    <t>7,92</t>
  </si>
  <si>
    <t>Bằng TCLLCT, bằng Thạc sĩ GD học</t>
  </si>
  <si>
    <t>038181003530</t>
  </si>
  <si>
    <t>0826808112</t>
  </si>
  <si>
    <t>Thiếu GKS, học bạ THPT</t>
  </si>
  <si>
    <t>Lương Thanh</t>
  </si>
  <si>
    <t>Tin học</t>
  </si>
  <si>
    <t>6,53</t>
  </si>
  <si>
    <t>038083046368</t>
  </si>
  <si>
    <t>0979151808</t>
  </si>
  <si>
    <t>Tạ Thị Minh</t>
  </si>
  <si>
    <t>Quản trị dự án</t>
  </si>
  <si>
    <t>ĐH TOULON, Cộng hòa Pháp</t>
  </si>
  <si>
    <t>038300013341</t>
  </si>
  <si>
    <t>03 Lưu Hữu Phước, phường Hạc Thành, tỉnh Thanh Hóa</t>
  </si>
  <si>
    <t>0888609017</t>
  </si>
  <si>
    <t>Nguyệt</t>
  </si>
  <si>
    <t>7,69</t>
  </si>
  <si>
    <t>3,08</t>
  </si>
  <si>
    <t>Đại học vinh</t>
  </si>
  <si>
    <t>Bằng CĐ GDTH</t>
  </si>
  <si>
    <t>038181013361</t>
  </si>
  <si>
    <t>0914235825</t>
  </si>
  <si>
    <t>Nguyễn Hà Yến</t>
  </si>
  <si>
    <t>038303024986</t>
  </si>
  <si>
    <t>Phú Sơn, TX. Nghi Sơn, Thanh Hóa</t>
  </si>
  <si>
    <t>0911674413</t>
  </si>
  <si>
    <t>Phượng</t>
  </si>
  <si>
    <t>Khí lượng học</t>
  </si>
  <si>
    <t>2,65</t>
  </si>
  <si>
    <t>Đại học Khoa học tự nhiên, Đại học Quốc Gia Hà Nội</t>
  </si>
  <si>
    <t>038190032909</t>
  </si>
  <si>
    <t>0389980315</t>
  </si>
  <si>
    <t>28.7.25</t>
  </si>
  <si>
    <t>Tống Thị Hồng</t>
  </si>
  <si>
    <t>6,89</t>
  </si>
  <si>
    <t>038189033930</t>
  </si>
  <si>
    <t>Ba Đình, TX Bỉm Sơn, Thanh Hóa</t>
  </si>
  <si>
    <t>0852845333</t>
  </si>
  <si>
    <t>Hà Thị Như</t>
  </si>
  <si>
    <t>Quỳnh</t>
  </si>
  <si>
    <t>2007</t>
  </si>
  <si>
    <t>6,32</t>
  </si>
  <si>
    <t>038183011205</t>
  </si>
  <si>
    <t>Hoằng Lộc, Hoằng Hóa, Thanh Hóa</t>
  </si>
  <si>
    <t>0911666000</t>
  </si>
  <si>
    <t>Mai Thị Hương</t>
  </si>
  <si>
    <t>Sen</t>
  </si>
  <si>
    <t>6,99</t>
  </si>
  <si>
    <t>ĐH Vinh</t>
  </si>
  <si>
    <t>Trung cấp LLCT</t>
  </si>
  <si>
    <t>038185018335</t>
  </si>
  <si>
    <t>thôn Yên Khoái, xã Nga Sơn, tỉnh Thanh Hóa</t>
  </si>
  <si>
    <t>0986305368</t>
  </si>
  <si>
    <t>Lê Hùng</t>
  </si>
  <si>
    <t>Kỹ thuật điện tử, viễn thông</t>
  </si>
  <si>
    <t>2,61</t>
  </si>
  <si>
    <t>038096006510</t>
  </si>
  <si>
    <t>0916921296</t>
  </si>
  <si>
    <t>10.7.25</t>
  </si>
  <si>
    <t>Trịnh Thị Minh</t>
  </si>
  <si>
    <t>8,49</t>
  </si>
  <si>
    <t>Học viện Tài chính</t>
  </si>
  <si>
    <t>038193048956</t>
  </si>
  <si>
    <t>Ngọc Trạo, TP. Thanh Hóa, Thanh Hóa</t>
  </si>
  <si>
    <t>0969691266</t>
  </si>
  <si>
    <t>46</t>
  </si>
  <si>
    <t>Lê Thế</t>
  </si>
  <si>
    <t>Tấn</t>
  </si>
  <si>
    <t>2,12</t>
  </si>
  <si>
    <t>Học viện Ngân hàng</t>
  </si>
  <si>
    <t>038097033402</t>
  </si>
  <si>
    <t>Ngọc Trung, Ngọc Lặc, Thanh Hóa</t>
  </si>
  <si>
    <t>0941404869</t>
  </si>
  <si>
    <t>47</t>
  </si>
  <si>
    <t>Lê Anh</t>
  </si>
  <si>
    <t>Tú</t>
  </si>
  <si>
    <t>3,28</t>
  </si>
  <si>
    <t>038099007988</t>
  </si>
  <si>
    <t>Triệu Sơn, Thanh Hóa</t>
  </si>
  <si>
    <t>0904570219</t>
  </si>
  <si>
    <t>Thiếu Bằng THPT</t>
  </si>
  <si>
    <t>48</t>
  </si>
  <si>
    <t>Nguyễn Huy</t>
  </si>
  <si>
    <t>Sư phạm Âm nhạc</t>
  </si>
  <si>
    <t>8,06</t>
  </si>
  <si>
    <t xml:space="preserve">ĐHSP Nghệ thuật Trung ương </t>
  </si>
  <si>
    <t>038083032712</t>
  </si>
  <si>
    <t>Quảng Phú</t>
  </si>
  <si>
    <t>Quang Trung, Quảng Phú, Thanh Hóa</t>
  </si>
  <si>
    <t>'0916036818</t>
  </si>
  <si>
    <t>49</t>
  </si>
  <si>
    <t>Nguyễn Thị Cẩm</t>
  </si>
  <si>
    <t>Tài chính- Ngân hàng</t>
  </si>
  <si>
    <t>ĐH Ngoại Thương</t>
  </si>
  <si>
    <t>038302020646</t>
  </si>
  <si>
    <t>TT Triệu Sơn, Triệu Sơn, Thanh Hóa</t>
  </si>
  <si>
    <t>0985109559</t>
  </si>
  <si>
    <t>50</t>
  </si>
  <si>
    <t xml:space="preserve">Đinh văn </t>
  </si>
  <si>
    <t>Tuấn</t>
  </si>
  <si>
    <t>6,79</t>
  </si>
  <si>
    <t>Cao đẳng SP Toán - Tin học</t>
  </si>
  <si>
    <t>038082003566</t>
  </si>
  <si>
    <t>Thôn 4, Như Xuân, Thanh Hóa</t>
  </si>
  <si>
    <t>0984866647</t>
  </si>
  <si>
    <t>51</t>
  </si>
  <si>
    <t>7,95</t>
  </si>
  <si>
    <t>5,4</t>
  </si>
  <si>
    <t>037185006653</t>
  </si>
  <si>
    <t>0976500318</t>
  </si>
  <si>
    <t>52</t>
  </si>
  <si>
    <t>Thống kê kinh tế</t>
  </si>
  <si>
    <t>8,45</t>
  </si>
  <si>
    <t>038195002742</t>
  </si>
  <si>
    <t>Đông Ninh, Đông Sơn, Thanh Hóa</t>
  </si>
  <si>
    <t>0976169095</t>
  </si>
  <si>
    <t>CCCD, Học bạ THPT</t>
  </si>
  <si>
    <t>53</t>
  </si>
  <si>
    <t xml:space="preserve">Nguyễn Hoài </t>
  </si>
  <si>
    <t>Thanh</t>
  </si>
  <si>
    <t>038303006791</t>
  </si>
  <si>
    <t>0932479691</t>
  </si>
  <si>
    <t>54</t>
  </si>
  <si>
    <t>038302018539</t>
  </si>
  <si>
    <t>Xuân Thiên, Thọ Xuân, Thanh Hóa</t>
  </si>
  <si>
    <t>0914420248</t>
  </si>
  <si>
    <t>55</t>
  </si>
  <si>
    <t>8,23</t>
  </si>
  <si>
    <t>038191007753</t>
  </si>
  <si>
    <t>Quảng Minh, TP. Sầm Sơn, Thanh Hóa</t>
  </si>
  <si>
    <t>0906277112</t>
  </si>
  <si>
    <t>56</t>
  </si>
  <si>
    <t xml:space="preserve">Trần Thị </t>
  </si>
  <si>
    <t>038187011109</t>
  </si>
  <si>
    <t>thôn Xa Liền, xã Nga Thắng, tỉnh Thanh Hóa</t>
  </si>
  <si>
    <t>0948958345</t>
  </si>
  <si>
    <t>57</t>
  </si>
  <si>
    <t>7,04</t>
  </si>
  <si>
    <t>ĐH Kế toán, cao đẳng Văn thư hành chính</t>
  </si>
  <si>
    <t>038189006953</t>
  </si>
  <si>
    <t>0972397286</t>
  </si>
  <si>
    <t>58</t>
  </si>
  <si>
    <t>Lê Thanh</t>
  </si>
  <si>
    <t>Đại học sư phạm Hà Nội 2</t>
  </si>
  <si>
    <t>038302013119</t>
  </si>
  <si>
    <t>Thọ Tiến, Triệu Sơn, Thanh Hóa</t>
  </si>
  <si>
    <t>0828067046</t>
  </si>
  <si>
    <t>59</t>
  </si>
  <si>
    <t>Thư</t>
  </si>
  <si>
    <t>2,96</t>
  </si>
  <si>
    <t>038190044767</t>
  </si>
  <si>
    <t>TT Vân Du, Thạch Thành, Thanh Hóa</t>
  </si>
  <si>
    <t>0983929138</t>
  </si>
  <si>
    <t>60</t>
  </si>
  <si>
    <t>038195010832</t>
  </si>
  <si>
    <t>Đông Hòa, TP.Thanh Hoá, Thanh Hóa</t>
  </si>
  <si>
    <t>0888555295</t>
  </si>
  <si>
    <t>61</t>
  </si>
  <si>
    <t xml:space="preserve">Nguyễn Công </t>
  </si>
  <si>
    <t>038085018702</t>
  </si>
  <si>
    <t>0985997048</t>
  </si>
  <si>
    <t>62</t>
  </si>
  <si>
    <t>Nguyễn Thị Kiều</t>
  </si>
  <si>
    <t>9,1</t>
  </si>
  <si>
    <t>038303009405</t>
  </si>
  <si>
    <t>Quảng Thành, TP. Thanh Hóa, Thanh Hóa</t>
  </si>
  <si>
    <t>0975207438</t>
  </si>
  <si>
    <t>Bằng THPT, ảnh</t>
  </si>
  <si>
    <t>63</t>
  </si>
  <si>
    <t>Phạm Thị Hoàng</t>
  </si>
  <si>
    <t>Uyên</t>
  </si>
  <si>
    <t>6,21</t>
  </si>
  <si>
    <t>038192012978</t>
  </si>
  <si>
    <t>Thị trấn Lam Sơn, Thọ Xuân, Thanh Hóa</t>
  </si>
  <si>
    <t>0911955919</t>
  </si>
  <si>
    <t>64</t>
  </si>
  <si>
    <t xml:space="preserve">Nguyễn Thị Như </t>
  </si>
  <si>
    <t>Ý</t>
  </si>
  <si>
    <t>Đạin học Quốc gia Hà Nội</t>
  </si>
  <si>
    <t>038300023398</t>
  </si>
  <si>
    <t>Bắc Sơn, TP. Sầm Sơn, Thanh Hóa</t>
  </si>
  <si>
    <t>0929002100</t>
  </si>
  <si>
    <t>65</t>
  </si>
  <si>
    <t>Trần Hải</t>
  </si>
  <si>
    <t>Văn Địa Anh</t>
  </si>
  <si>
    <t>THPT Vĩnh Lộc, Vĩnh Lộc, Thanh Hóa</t>
  </si>
  <si>
    <t>038196018221</t>
  </si>
  <si>
    <t>Xuân Lai, Thọ Xuân, Thanh Hóa</t>
  </si>
  <si>
    <t>0394406496</t>
  </si>
  <si>
    <t>ĐH Tâm lý học</t>
  </si>
  <si>
    <t>Kỹ thuật điện, điện tử</t>
  </si>
  <si>
    <t>2,99</t>
  </si>
  <si>
    <t>Học viện Kỹ thuật Quân sự</t>
  </si>
  <si>
    <t>038193014425</t>
  </si>
  <si>
    <t>Đông Hương, TP Thanh Hóa, Thanh Hóa</t>
  </si>
  <si>
    <t>0343931682</t>
  </si>
  <si>
    <t>Nguyễn Thị Thanh</t>
  </si>
  <si>
    <t>Lan</t>
  </si>
  <si>
    <t>2,53</t>
  </si>
  <si>
    <t>038300015478</t>
  </si>
  <si>
    <t>0971543397</t>
  </si>
  <si>
    <t>Võ Thị Thanh</t>
  </si>
  <si>
    <t>Xuân</t>
  </si>
  <si>
    <t>7,33</t>
  </si>
  <si>
    <t>038183044739</t>
  </si>
  <si>
    <t>Quảng Trạch, Quảng xương, Thanh Hóa</t>
  </si>
  <si>
    <t>0973085970</t>
  </si>
  <si>
    <t>Bảo hiểm</t>
  </si>
  <si>
    <t>038193012420</t>
  </si>
  <si>
    <t>Quảng đại, TP Sầm Sơn, Thanh Hóa</t>
  </si>
  <si>
    <t>0978059062</t>
  </si>
  <si>
    <t xml:space="preserve">Lê Đức </t>
  </si>
  <si>
    <t>Cao đẳng Cộng đồng Hà Nội</t>
  </si>
  <si>
    <t>'038083003139</t>
  </si>
  <si>
    <t>Đông Hương, TP.Thanh Hoá, Thanh Hóa</t>
  </si>
  <si>
    <t>0918959983</t>
  </si>
  <si>
    <t xml:space="preserve"> 1 Bản công chứng bằng và BĐCĐ</t>
  </si>
  <si>
    <t xml:space="preserve">Lê Tuấn </t>
  </si>
  <si>
    <t>Dũng</t>
  </si>
  <si>
    <t>Công nghệ ký thuật ô tô</t>
  </si>
  <si>
    <t>Cao đẳng Công thương Việt Nam</t>
  </si>
  <si>
    <t>038203021427</t>
  </si>
  <si>
    <t>0942681368</t>
  </si>
  <si>
    <t>Mai Thị</t>
  </si>
  <si>
    <t>Kế toán HCSN</t>
  </si>
  <si>
    <t>038181018368</t>
  </si>
  <si>
    <t>0948144933</t>
  </si>
  <si>
    <t>CĐ Điện tử - Điện lạnh Hà Nội</t>
  </si>
  <si>
    <t>038089000609</t>
  </si>
  <si>
    <t>Hải Yến, TX Nghi Sơn, Thanh Hóa</t>
  </si>
  <si>
    <t>0988407608</t>
  </si>
  <si>
    <t>5,87</t>
  </si>
  <si>
    <t>Đại học Nông nghiệp 1</t>
  </si>
  <si>
    <t>Thạc sỹ QLĐĐ</t>
  </si>
  <si>
    <t>038082044741</t>
  </si>
  <si>
    <t>0982501368</t>
  </si>
  <si>
    <t>Phạm Song</t>
  </si>
  <si>
    <t>Nguyên</t>
  </si>
  <si>
    <t>038303024439</t>
  </si>
  <si>
    <t>Minh Sơn, Triệu Sơn, Thanh Hóa</t>
  </si>
  <si>
    <t>0916889638</t>
  </si>
  <si>
    <t>Trịnh Đình</t>
  </si>
  <si>
    <t>Tài</t>
  </si>
  <si>
    <t>SP Giáo dục Thể chất-GDQP</t>
  </si>
  <si>
    <t>7,41</t>
  </si>
  <si>
    <t>038090002003</t>
  </si>
  <si>
    <t>0988451345</t>
  </si>
  <si>
    <t>Lưu Ngọc</t>
  </si>
  <si>
    <t>Kỹ thuật công trình xây dựng</t>
  </si>
  <si>
    <t>6,18</t>
  </si>
  <si>
    <t>2,09</t>
  </si>
  <si>
    <t>Đại học Thủy Lợi</t>
  </si>
  <si>
    <t>038091007209</t>
  </si>
  <si>
    <t>Quảng Hưng, TP.Thanh Hoá, Thanh Hóa</t>
  </si>
  <si>
    <t>0942290789</t>
  </si>
  <si>
    <t>Đỗ Tuấn</t>
  </si>
  <si>
    <t>Y sỹ</t>
  </si>
  <si>
    <t>Cao đẳng Y tế Thanh Hóa</t>
  </si>
  <si>
    <t>038093006689</t>
  </si>
  <si>
    <t>Xuân Hoà, Thọ Xuân, Thanh Hoá</t>
  </si>
  <si>
    <t>0911988678</t>
  </si>
  <si>
    <t>Hào</t>
  </si>
  <si>
    <t>Cơ khí</t>
  </si>
  <si>
    <t>TH Công nghệ chế tạo máy</t>
  </si>
  <si>
    <t>038087005621</t>
  </si>
  <si>
    <t>Xuân Lộc, Hậu Lộc, Thanh Hoá</t>
  </si>
  <si>
    <t>0985681219</t>
  </si>
  <si>
    <t>Toán văn GDCD</t>
  </si>
  <si>
    <t>Tô Tuấn</t>
  </si>
  <si>
    <t>THPT Triệu Sơn 1, Triệu Sơn, Thanh Hóa</t>
  </si>
  <si>
    <t>038201020647</t>
  </si>
  <si>
    <t>0949014619</t>
  </si>
  <si>
    <t>Lê Thị Huyền</t>
  </si>
  <si>
    <t>038300014718</t>
  </si>
  <si>
    <t>0826457686</t>
  </si>
  <si>
    <t>ĐH Kế toán</t>
  </si>
  <si>
    <t>Diệp</t>
  </si>
  <si>
    <t>CĐ Kinh tế - Kỹ thuật Sài Gòn</t>
  </si>
  <si>
    <t>BĐ Trung cấp</t>
  </si>
  <si>
    <t>038190017225</t>
  </si>
  <si>
    <t>Tế Lợi, Nông Cống, Thanh Hóa</t>
  </si>
  <si>
    <t>0979095309</t>
  </si>
  <si>
    <t>BĐCĐ, Bằng TC</t>
  </si>
  <si>
    <t>Lê Thị Thuý</t>
  </si>
  <si>
    <t>Hiền</t>
  </si>
  <si>
    <t>Đại học Kinh tế - Kỹ thuật Bình Dương</t>
  </si>
  <si>
    <t>040191024890</t>
  </si>
  <si>
    <t>Thị xã Nghi Sơn</t>
  </si>
  <si>
    <t>Hải Hoà, thị xã Nghi Sơn, Thanh Hóa</t>
  </si>
  <si>
    <t>0364548125</t>
  </si>
  <si>
    <t>Kế toán - Kiểm toán</t>
  </si>
  <si>
    <t>Đại học coong nghiệp TP Hồ Chí Minh</t>
  </si>
  <si>
    <t>038187014747</t>
  </si>
  <si>
    <t>Cành Nàng, Bá Thước, Thanh Hóa</t>
  </si>
  <si>
    <t>0989771012</t>
  </si>
  <si>
    <t>Kế toán doanh nghiệp</t>
  </si>
  <si>
    <t>Cao đẳng nghề số 4 - Bộ Quốc phòng</t>
  </si>
  <si>
    <t>038185011457</t>
  </si>
  <si>
    <t>Đông Tân, TP.Thanh Hoá, Thanh Hóa</t>
  </si>
  <si>
    <t>0828789666</t>
  </si>
  <si>
    <t>Doãn Thị Thanh</t>
  </si>
  <si>
    <t>CĐ Nghề Cơ giới Ninh Bình</t>
  </si>
  <si>
    <t>038190047535</t>
  </si>
  <si>
    <t>Đông Nam, Đông Sơn, Thanh Hóa</t>
  </si>
  <si>
    <t>0374719543</t>
  </si>
  <si>
    <t>Đại học Công đoàn</t>
  </si>
  <si>
    <t>038191047204</t>
  </si>
  <si>
    <t>22 Hàn Mặc tử, phường Hạc Thành, Thanh Hóa</t>
  </si>
  <si>
    <t>0973058506</t>
  </si>
  <si>
    <t>CCCD, bằng và học bạ THPT</t>
  </si>
  <si>
    <t>Kế toán tổng hợp</t>
  </si>
  <si>
    <t>2014</t>
  </si>
  <si>
    <t>6,22</t>
  </si>
  <si>
    <t>Trường CĐ Kinh tế - kỹ thuật. ĐH Thái Nguyên</t>
  </si>
  <si>
    <t>038192043574</t>
  </si>
  <si>
    <t>Phú Lộc, Hậu Lộc, Thanh Hóa</t>
  </si>
  <si>
    <t>0982179654</t>
  </si>
  <si>
    <t>Trương Thị</t>
  </si>
  <si>
    <t>6,47</t>
  </si>
  <si>
    <t>Đại học Điệc lực</t>
  </si>
  <si>
    <t>038193005265</t>
  </si>
  <si>
    <t>0982018413</t>
  </si>
  <si>
    <t>Thiếu học bạ</t>
  </si>
  <si>
    <t>Lê Quốc</t>
  </si>
  <si>
    <t>Đại học Mở Hà Nội</t>
  </si>
  <si>
    <t>038201000661</t>
  </si>
  <si>
    <t>Thị trấn Triệu Sơn, Triệu Sơn, Thanh Hóa</t>
  </si>
  <si>
    <t>0868316310</t>
  </si>
  <si>
    <t>Phan Thanh</t>
  </si>
  <si>
    <t>3,17</t>
  </si>
  <si>
    <t>019301009662</t>
  </si>
  <si>
    <t>Thái Nguyên</t>
  </si>
  <si>
    <t>TP. Thái Nguyên</t>
  </si>
  <si>
    <t>996 Lê Thái Tổ, Triệu Sơn, Thanh Hóa</t>
  </si>
  <si>
    <t>0372890736</t>
  </si>
  <si>
    <t>Học bạ THPT, BĐĐH công chứng</t>
  </si>
  <si>
    <t>30.7.25</t>
  </si>
  <si>
    <t>Lê Thị Thuỳ</t>
  </si>
  <si>
    <t>3,3</t>
  </si>
  <si>
    <t>Đại học Kinh doanh và công nghệ Hà Nội</t>
  </si>
  <si>
    <t>038301015272</t>
  </si>
  <si>
    <t>Bút Sơn, Hoằng Hóa, Thanh Hóa</t>
  </si>
  <si>
    <t>0336551425</t>
  </si>
  <si>
    <t xml:space="preserve">Hà Thị Trà </t>
  </si>
  <si>
    <t>My</t>
  </si>
  <si>
    <t>Học viện Phụ nữ Việt Nam</t>
  </si>
  <si>
    <t>038301015167</t>
  </si>
  <si>
    <t>TP Sầm Sơn</t>
  </si>
  <si>
    <t>36 Ngô Quyền, Bắc Sơn, Sầm Sơn, Thanh Hóa</t>
  </si>
  <si>
    <t>0919665232</t>
  </si>
  <si>
    <t>5,85</t>
  </si>
  <si>
    <t>Đại học Bách khoa Hà Nội</t>
  </si>
  <si>
    <t>038087017027</t>
  </si>
  <si>
    <t>0931393288</t>
  </si>
  <si>
    <t>Thiếu ảnh, học bạ THPT</t>
  </si>
  <si>
    <t>Hoàng Yến</t>
  </si>
  <si>
    <t>8,08</t>
  </si>
  <si>
    <t>038301002104</t>
  </si>
  <si>
    <t>0989588142</t>
  </si>
  <si>
    <t>Bảo vệ thực vật</t>
  </si>
  <si>
    <t>038190769336</t>
  </si>
  <si>
    <t>Quảng Hưng, TP Thanh Hóa, Thanh Hóa</t>
  </si>
  <si>
    <t>0985135219</t>
  </si>
  <si>
    <t>038194009642</t>
  </si>
  <si>
    <t>Thôn 4, xã Như Xuân, Thanh Hóa</t>
  </si>
  <si>
    <t>0357010333</t>
  </si>
  <si>
    <t>Trịnh Thị Kim</t>
  </si>
  <si>
    <t>Cao đẳng Công nghệ Viettronics</t>
  </si>
  <si>
    <t>'038188042149</t>
  </si>
  <si>
    <t>Trường Lâm, TX. Nghi Sơn, Thanh Hoá</t>
  </si>
  <si>
    <t>0973004388</t>
  </si>
  <si>
    <t>Thu</t>
  </si>
  <si>
    <t>Hạch toán Kế toán</t>
  </si>
  <si>
    <t>Trung cấp Thương mại Trung Ương V</t>
  </si>
  <si>
    <t>038189042609</t>
  </si>
  <si>
    <t>Nhà A3, chung cư Tân Thành 1, phường Hạc Thành, Thanh Hóa</t>
  </si>
  <si>
    <t>0396814316</t>
  </si>
  <si>
    <t>Đàm Cao Hà</t>
  </si>
  <si>
    <t>Vy</t>
  </si>
  <si>
    <t>Cao đẳng Kinh tế - Kỹ thuật công thương</t>
  </si>
  <si>
    <t>038307011899</t>
  </si>
  <si>
    <t>0916865896</t>
  </si>
  <si>
    <t>Toán Văn Lý</t>
  </si>
  <si>
    <t>20,9</t>
  </si>
  <si>
    <t>THPT Quảng Xương 3, Quảng Xương, Thanh Hoá</t>
  </si>
  <si>
    <t>038194018922</t>
  </si>
  <si>
    <t>Quảng Thọ, Sầm Sơn, Thanh Hóa</t>
  </si>
  <si>
    <t>0396037141</t>
  </si>
  <si>
    <t>21,9</t>
  </si>
  <si>
    <t>038301014013</t>
  </si>
  <si>
    <t>TP. Thanh Hoá</t>
  </si>
  <si>
    <t>Đông Vinh, TP.Thanh Hoá, Thanh Hoá</t>
  </si>
  <si>
    <t>0397546450</t>
  </si>
  <si>
    <t>Vi Thị</t>
  </si>
  <si>
    <t>22,66</t>
  </si>
  <si>
    <t>THPT Thường Xuân 3, Thường Xuân, Thanh Hóa</t>
  </si>
  <si>
    <t>038303012182</t>
  </si>
  <si>
    <t>Xuân Lộc, Thường Xuân, Thanh Hóa</t>
  </si>
  <si>
    <t>0398447098</t>
  </si>
  <si>
    <t>THPT Tô Hiến Thành</t>
  </si>
  <si>
    <t>038301011149</t>
  </si>
  <si>
    <t>17/88 Đặng Tiến Đông, phường Hạc Thành, tỉnh Thanh Hóa</t>
  </si>
  <si>
    <t>0353017885</t>
  </si>
  <si>
    <t>Giấy KS</t>
  </si>
  <si>
    <t>ĐH Luật</t>
  </si>
  <si>
    <t xml:space="preserve">Trịnh Quốc </t>
  </si>
  <si>
    <t>Chính</t>
  </si>
  <si>
    <t>Cơ điện tử</t>
  </si>
  <si>
    <t>Cao đẳng nghề Bách khoa Hà Nội</t>
  </si>
  <si>
    <t>038098006143</t>
  </si>
  <si>
    <t>Định Bình, Yên Định, Thanh Hoá</t>
  </si>
  <si>
    <t>0915654030</t>
  </si>
  <si>
    <t xml:space="preserve">Nguyễn Đăng </t>
  </si>
  <si>
    <t>Công nghệ ô tô</t>
  </si>
  <si>
    <t>2018</t>
  </si>
  <si>
    <t>Cao đẳng nghề Kinh tế - Công nghệ Vicet</t>
  </si>
  <si>
    <t>038081014044</t>
  </si>
  <si>
    <t>Đông Hòa, Đông Sơn, Thanh Hóa</t>
  </si>
  <si>
    <t>0964717666</t>
  </si>
  <si>
    <t>Thiếu học bạ THPT, mất BĐ</t>
  </si>
  <si>
    <t>Trần Thị Quỳnh</t>
  </si>
  <si>
    <t>5,7</t>
  </si>
  <si>
    <t>038191007078</t>
  </si>
  <si>
    <t>Đông Hải, TP. Thanh Hóa, Thanh Hóa</t>
  </si>
  <si>
    <t>0976055891</t>
  </si>
  <si>
    <t>Thiếu BĐ đại học</t>
  </si>
  <si>
    <t xml:space="preserve">Nguyễn Đàm Tuấn </t>
  </si>
  <si>
    <t>ĐH Dân lập Phương Đông</t>
  </si>
  <si>
    <t>038092014556</t>
  </si>
  <si>
    <t>Đông Thọ, TP Thanh Hóa, Thanh Hóa</t>
  </si>
  <si>
    <t>0333522920</t>
  </si>
  <si>
    <t>Lê Đình</t>
  </si>
  <si>
    <t>Kỹ thuật xây dựng Công trình Giao thông</t>
  </si>
  <si>
    <t>Đại học Xây dựng</t>
  </si>
  <si>
    <t>Bằng Thạc sỹ, TCLLCT</t>
  </si>
  <si>
    <t>038090005359</t>
  </si>
  <si>
    <t>Hoằng Đạo, Hoằng Hoá, Thanh Hóa</t>
  </si>
  <si>
    <t>0973305327</t>
  </si>
  <si>
    <t xml:space="preserve">Nguyễn Quốc </t>
  </si>
  <si>
    <t>Du</t>
  </si>
  <si>
    <t>Lịch sử</t>
  </si>
  <si>
    <t>7,55</t>
  </si>
  <si>
    <t>Học viện Chính trị</t>
  </si>
  <si>
    <t>038073015357</t>
  </si>
  <si>
    <t>0913037459</t>
  </si>
  <si>
    <t>Duy</t>
  </si>
  <si>
    <t>Kỹ thuật Xây dựng</t>
  </si>
  <si>
    <t>038090005468</t>
  </si>
  <si>
    <t>Bút Sơn, Hoằng Hoá, Thanh Hóa</t>
  </si>
  <si>
    <t>0979409263</t>
  </si>
  <si>
    <t xml:space="preserve">Nguyễn Hải </t>
  </si>
  <si>
    <t>Đăng</t>
  </si>
  <si>
    <t>6,62</t>
  </si>
  <si>
    <t>038302001558</t>
  </si>
  <si>
    <t>Lam Sơn, TP Thanh Hóa, Thanh Hóa</t>
  </si>
  <si>
    <t>'0962893490</t>
  </si>
  <si>
    <t>038189042089</t>
  </si>
  <si>
    <t>Đường Bà Triệu, xã Nông Cống, Thanh Hóa</t>
  </si>
  <si>
    <t>0949127889</t>
  </si>
  <si>
    <t>Hành chính học</t>
  </si>
  <si>
    <t>7,39</t>
  </si>
  <si>
    <t>Học viện Hành chính Quốc gia</t>
  </si>
  <si>
    <t>Trung cấp LLCT, Trung cấp Văn thư lưu trữ</t>
  </si>
  <si>
    <t>038176012935</t>
  </si>
  <si>
    <t>Thị trấn Tân Phong, Quảng Xương, Thanh Hóa</t>
  </si>
  <si>
    <t>0912002218</t>
  </si>
  <si>
    <t>2,51</t>
  </si>
  <si>
    <t>Đại học Phương Đông</t>
  </si>
  <si>
    <t>038190031249</t>
  </si>
  <si>
    <t>Phường Ba Đình, TP Thanh Hóa, Thanh Hóa</t>
  </si>
  <si>
    <t>0389991365</t>
  </si>
  <si>
    <t>Đặng Ngọc</t>
  </si>
  <si>
    <t>6,17</t>
  </si>
  <si>
    <t>038079019601</t>
  </si>
  <si>
    <t>Đông Sơn, TP. Thanh Hóa, Thanh Hóa</t>
  </si>
  <si>
    <t>0913376838</t>
  </si>
  <si>
    <t>Học bạ THPT, BDĐH công chứng</t>
  </si>
  <si>
    <t>Máy xây dựng</t>
  </si>
  <si>
    <t>6,69</t>
  </si>
  <si>
    <t>Đại học Ngôn ngữ Anh, TC LLCT</t>
  </si>
  <si>
    <t>038089003515</t>
  </si>
  <si>
    <t>Thôn 2, Hồng Thái, Hoằng Hóa, Thanh Hóa</t>
  </si>
  <si>
    <t>0827379555</t>
  </si>
  <si>
    <t>Quân</t>
  </si>
  <si>
    <t>038087010107</t>
  </si>
  <si>
    <t>SN 10/27 Đinh Lê, phường Hạc Thành, tỉnh Thanh Hóa</t>
  </si>
  <si>
    <t>0974994266</t>
  </si>
  <si>
    <t>038184011573</t>
  </si>
  <si>
    <t>Hoằng Quang, TP Thanh Hóa, Thanh Hóa</t>
  </si>
  <si>
    <t>0915393035</t>
  </si>
  <si>
    <t>mất BĐ Đại học</t>
  </si>
  <si>
    <t>7,73</t>
  </si>
  <si>
    <t>ĐH Công nghiệp Việt - Hung</t>
  </si>
  <si>
    <t>038191053106</t>
  </si>
  <si>
    <t>TX, Nghi Sơn</t>
  </si>
  <si>
    <t>Thanh Sơn, TX Nghi Sơn, Thanh Hóa</t>
  </si>
  <si>
    <t>0963534645</t>
  </si>
  <si>
    <t>GKS, học bạ THPT, bằng và BĐ CĐ</t>
  </si>
  <si>
    <t>Sư phạm Hóa</t>
  </si>
  <si>
    <t>038078010350</t>
  </si>
  <si>
    <t>0986633723</t>
  </si>
  <si>
    <t xml:space="preserve">Học bạ THPT, BĐĐH </t>
  </si>
  <si>
    <t xml:space="preserve">Lê Khắc </t>
  </si>
  <si>
    <t>6,39</t>
  </si>
  <si>
    <t>038203017317</t>
  </si>
  <si>
    <t>0982941750</t>
  </si>
  <si>
    <t>Bằng TN ĐH</t>
  </si>
  <si>
    <t>Bạch Văn</t>
  </si>
  <si>
    <t>038091002032</t>
  </si>
  <si>
    <t>0848221555</t>
  </si>
  <si>
    <t>Thiếu bằng và học bạ THPT</t>
  </si>
  <si>
    <t>2013</t>
  </si>
  <si>
    <t>6,08</t>
  </si>
  <si>
    <t>038185038070</t>
  </si>
  <si>
    <t>0912521195</t>
  </si>
  <si>
    <t>038187017414</t>
  </si>
  <si>
    <t>Na Mèo, Quan Sơn, Thanh Hóa</t>
  </si>
  <si>
    <t>0382132440</t>
  </si>
  <si>
    <t>Gửi Bưu  ngày 07.07.2025</t>
  </si>
  <si>
    <t>2,89</t>
  </si>
  <si>
    <t>038190026909</t>
  </si>
  <si>
    <t>Khu 3, Yên Định, Thanh Hóa</t>
  </si>
  <si>
    <t>0942618119</t>
  </si>
  <si>
    <t>Nguyễn Thị Lan</t>
  </si>
  <si>
    <t>Quản lý trật tự an toàn giao thông</t>
  </si>
  <si>
    <t>Trung cấp Cảnh sát nhân dân V</t>
  </si>
  <si>
    <t>038197001112</t>
  </si>
  <si>
    <t>TT Bút Sơn, Hoằng Hóa, Thanh Hóa</t>
  </si>
  <si>
    <t>0949475828</t>
  </si>
  <si>
    <t>Nguyễn Ngọc</t>
  </si>
  <si>
    <t>Trung cấp Xây dựng Thanh Hoá</t>
  </si>
  <si>
    <t>038094039939</t>
  </si>
  <si>
    <t>Sao Vàng</t>
  </si>
  <si>
    <t>xã Sao Vàng, tỉnh Thanh Hóa</t>
  </si>
  <si>
    <t>0936332567</t>
  </si>
  <si>
    <t>Tiếp</t>
  </si>
  <si>
    <t>Cảnh sát Vũ trang</t>
  </si>
  <si>
    <t>Trung cấp Cảnh sát vũ trang</t>
  </si>
  <si>
    <t>038093052117</t>
  </si>
  <si>
    <t>0932334088</t>
  </si>
  <si>
    <t>Dương</t>
  </si>
  <si>
    <t>Toán Văn Sử</t>
  </si>
  <si>
    <t>5,8</t>
  </si>
  <si>
    <t>Văn Sử Địa</t>
  </si>
  <si>
    <t>Quản lý nhà nước</t>
  </si>
  <si>
    <t>Mai Văn</t>
  </si>
  <si>
    <t>Công</t>
  </si>
  <si>
    <t>2,78</t>
  </si>
  <si>
    <t>038202005182</t>
  </si>
  <si>
    <t>Nga Hải, Nga Sơn, Thanh Hoá</t>
  </si>
  <si>
    <t>0966742565</t>
  </si>
  <si>
    <t>Môi trường</t>
  </si>
  <si>
    <t>6,75</t>
  </si>
  <si>
    <t>Đại học Nông nghiệp Hà Nội</t>
  </si>
  <si>
    <t>038187016133</t>
  </si>
  <si>
    <t>0348178239</t>
  </si>
  <si>
    <t>Lý Văn</t>
  </si>
  <si>
    <t>Hiệp</t>
  </si>
  <si>
    <t>Điều tra trinh sát</t>
  </si>
  <si>
    <t>Học viện Cảnh sát nhân dân</t>
  </si>
  <si>
    <t>038089000787</t>
  </si>
  <si>
    <t>0944191007</t>
  </si>
  <si>
    <t>6,57</t>
  </si>
  <si>
    <t>038189013075</t>
  </si>
  <si>
    <t>Thọ Thanh, Thường Xuân, Thanh Hoá</t>
  </si>
  <si>
    <t>0979556710</t>
  </si>
  <si>
    <t>Lê Thị Việt</t>
  </si>
  <si>
    <t>Báo chí</t>
  </si>
  <si>
    <t>2,84</t>
  </si>
  <si>
    <t>'038199022406</t>
  </si>
  <si>
    <t>0919019928</t>
  </si>
  <si>
    <t>Nguyễn Đình</t>
  </si>
  <si>
    <t>038094029804</t>
  </si>
  <si>
    <t>Hoằng Xuân, Hoằng Hóa, Thanh Hóa</t>
  </si>
  <si>
    <t>0868675685</t>
  </si>
  <si>
    <t>THPT Hàm Rồng, Thanh Hóa</t>
  </si>
  <si>
    <t>ĐH Kỹ thuật điện</t>
  </si>
  <si>
    <t>Lê Thành</t>
  </si>
  <si>
    <t>Đồng</t>
  </si>
  <si>
    <t>Công nghệ ký thuật điều khiển và tự động hóa</t>
  </si>
  <si>
    <t>Cao đẳng FPT Polytechnic</t>
  </si>
  <si>
    <t>038204021434</t>
  </si>
  <si>
    <t>Hải Ninh, TX. Nghi Sơn, Thanh Hóa</t>
  </si>
  <si>
    <t xml:space="preserve"> 0988271898</t>
  </si>
  <si>
    <t>Hoàng Đình</t>
  </si>
  <si>
    <t>Quang</t>
  </si>
  <si>
    <t>Sư phạm Kỹ thuật điện</t>
  </si>
  <si>
    <t>ĐH Sư phạm kỹ thuật Hưng Yên</t>
  </si>
  <si>
    <t>038081037264</t>
  </si>
  <si>
    <t>Minh Sơn, Ngọc Lặc, Thanh Hóa</t>
  </si>
  <si>
    <t>0356323868</t>
  </si>
  <si>
    <t>Hưng</t>
  </si>
  <si>
    <t>5,35</t>
  </si>
  <si>
    <t>2,14</t>
  </si>
  <si>
    <t>Đại học Thương Mại</t>
  </si>
  <si>
    <t>038089015055</t>
  </si>
  <si>
    <t>0976604365</t>
  </si>
  <si>
    <t>'038083017212</t>
  </si>
  <si>
    <t>Ngọc Trạo, TP.Thanh Hoá, Thanh Hóa</t>
  </si>
  <si>
    <t>0912313583</t>
  </si>
  <si>
    <t>Tình</t>
  </si>
  <si>
    <t>Học viện Nông nghiệp VN</t>
  </si>
  <si>
    <t>038081007764</t>
  </si>
  <si>
    <t>0914585768</t>
  </si>
  <si>
    <t>Thiếu học bạ THPT, mượn BĐ của Thọ cùng lớp để miễn môn</t>
  </si>
  <si>
    <t>Lê Công</t>
  </si>
  <si>
    <t>Nhật</t>
  </si>
  <si>
    <t>18,7</t>
  </si>
  <si>
    <t>THPT Đặng Thai Mai, Quảng Xương, Thanh Hóa</t>
  </si>
  <si>
    <t>038204017040</t>
  </si>
  <si>
    <t>0392880809</t>
  </si>
  <si>
    <t>Đỗ Xuân</t>
  </si>
  <si>
    <t>8,8</t>
  </si>
  <si>
    <t>25,2</t>
  </si>
  <si>
    <t>THPT Đông Sơn 1, Đông Sơn, Thanh Hoá</t>
  </si>
  <si>
    <t>038203007416</t>
  </si>
  <si>
    <t>0969290103</t>
  </si>
  <si>
    <t>ĐH Kỹ thuật xây dựng</t>
  </si>
  <si>
    <t>Hồ Phạm</t>
  </si>
  <si>
    <t>Hùng</t>
  </si>
  <si>
    <t>Xây dựng cầu đường bộ</t>
  </si>
  <si>
    <t>CĐ Nghề Giao thông vận tải đường thuỷ II</t>
  </si>
  <si>
    <t>042088019749</t>
  </si>
  <si>
    <t>Hương Sơn</t>
  </si>
  <si>
    <t>Sơn Trung, Hương Sơn, Hà Tĩnh</t>
  </si>
  <si>
    <t>0984194488</t>
  </si>
  <si>
    <t>Sản xuất các sản phẩm lọc dầu</t>
  </si>
  <si>
    <t>Đại học Công nghiệp Việ Trì</t>
  </si>
  <si>
    <t>038090023782</t>
  </si>
  <si>
    <t>16/96 Định Hòa, phường Hàm Rồng, Thanh Hóa</t>
  </si>
  <si>
    <t>0972480112</t>
  </si>
  <si>
    <t>Nguyễn Lệnh</t>
  </si>
  <si>
    <t>Thuấn</t>
  </si>
  <si>
    <t>CNKTXD Cầu đường bộ</t>
  </si>
  <si>
    <t>Toán, văn, sinh</t>
  </si>
  <si>
    <t>ĐH CN Giao thông vận tải</t>
  </si>
  <si>
    <t>038090001328</t>
  </si>
  <si>
    <t>Thiệu Nguyên, Thiệu Hoá, Thanh Hoá</t>
  </si>
  <si>
    <t>0328560856</t>
  </si>
  <si>
    <t>Giang Thu</t>
  </si>
  <si>
    <t>Giang thu</t>
  </si>
  <si>
    <t>Vũ Như</t>
  </si>
  <si>
    <t>Xây dựng dân dung và Công nghiệp</t>
  </si>
  <si>
    <t>Đại học Dân lập Hải Phòng</t>
  </si>
  <si>
    <t>038092001845</t>
  </si>
  <si>
    <t>Quảng cư. TP. Sầm Sơn, Thanh Hóa</t>
  </si>
  <si>
    <t>0335362999</t>
  </si>
  <si>
    <t>1 bản công chứng bằng và BĐ CĐ</t>
  </si>
  <si>
    <t>7,58</t>
  </si>
  <si>
    <t>ĐH Giao thông vận tải</t>
  </si>
  <si>
    <t>038201004096</t>
  </si>
  <si>
    <t>P.An Hưng, TP.Thanh Hoá, Thanh Hoá</t>
  </si>
  <si>
    <t>0968240170</t>
  </si>
  <si>
    <t xml:space="preserve">Đào Việt </t>
  </si>
  <si>
    <t>Toán, văn, lý</t>
  </si>
  <si>
    <t>HV Hành chính Quốc gia</t>
  </si>
  <si>
    <t>038097033110</t>
  </si>
  <si>
    <t>0961380288</t>
  </si>
  <si>
    <t>Lê Hồng</t>
  </si>
  <si>
    <t>5,78</t>
  </si>
  <si>
    <t>038082033305</t>
  </si>
  <si>
    <t>Đông Thịnh, Đông Sơn, Thanh Hóa</t>
  </si>
  <si>
    <t>0949143149</t>
  </si>
  <si>
    <t>Vương Huy</t>
  </si>
  <si>
    <t>Tám</t>
  </si>
  <si>
    <t>Trắc địa</t>
  </si>
  <si>
    <t>Đại học mỏ địa chất</t>
  </si>
  <si>
    <t>038080003169</t>
  </si>
  <si>
    <t>0973500735</t>
  </si>
  <si>
    <t>Vinh</t>
  </si>
  <si>
    <t>Kỹ thuật địa chất</t>
  </si>
  <si>
    <t>ĐH Mỏ - Địa chất</t>
  </si>
  <si>
    <t>038092015028</t>
  </si>
  <si>
    <t>Quảng Tiến, Sầm Sơn, Thanh Hóa</t>
  </si>
  <si>
    <t>09044728383</t>
  </si>
  <si>
    <t>Xây dựng dân dụng &amp;Công nghiệp</t>
  </si>
  <si>
    <t>2015</t>
  </si>
  <si>
    <t>038095017936</t>
  </si>
  <si>
    <t>0833563569</t>
  </si>
  <si>
    <t>k có bảng điểm TC, CCCD công chứng</t>
  </si>
  <si>
    <t>19,3</t>
  </si>
  <si>
    <t>THPT Hậu Lộc 4, Hậu Lộc, Thanh Hóa</t>
  </si>
  <si>
    <t>038099024031</t>
  </si>
  <si>
    <t>Hải Lộc, Hậu Lộc, Thanh Hóa</t>
  </si>
  <si>
    <t>0987092358</t>
  </si>
  <si>
    <t>ĐHGD Mầm non (LK-HN)</t>
  </si>
  <si>
    <t>Và A</t>
  </si>
  <si>
    <t>Bẩy</t>
  </si>
  <si>
    <t>H'Mông</t>
  </si>
  <si>
    <t>Sơn La</t>
  </si>
  <si>
    <t>HN</t>
  </si>
  <si>
    <t>CĐ Sơn La</t>
  </si>
  <si>
    <t>014097004896</t>
  </si>
  <si>
    <t>Thuận Châu</t>
  </si>
  <si>
    <t>Bản Từ Sáng, Xã Pá Lông, Thuận Châu, Sơn La</t>
  </si>
  <si>
    <t>0868778865</t>
  </si>
  <si>
    <t>Giấy XNTGCT</t>
  </si>
  <si>
    <t xml:space="preserve">Bùi Thị </t>
  </si>
  <si>
    <t>TC SP MN (TN 2014)</t>
  </si>
  <si>
    <t>038191013043</t>
  </si>
  <si>
    <t>Thôn Bùi, Thành Thọ, Thạch Thành, Thanh Hóa</t>
  </si>
  <si>
    <t>0337578158</t>
  </si>
  <si>
    <t>Thiếu Học bạ THPT (Bằng TC, BĐ TC SPMN 2014)</t>
  </si>
  <si>
    <t xml:space="preserve">Cà Thị </t>
  </si>
  <si>
    <t>Điện Biên</t>
  </si>
  <si>
    <t>CĐ SP Điện Biên</t>
  </si>
  <si>
    <t>011195000273</t>
  </si>
  <si>
    <t>TP Điện Biên</t>
  </si>
  <si>
    <t>số 246, Tổ 10, Tân Thanh TP Điện Biên</t>
  </si>
  <si>
    <t>0355981484</t>
  </si>
  <si>
    <t xml:space="preserve">Tô Thị Lệ </t>
  </si>
  <si>
    <t>ĐH Hải Dương</t>
  </si>
  <si>
    <t>038188025159</t>
  </si>
  <si>
    <t>Trường MN Quảng Tiến, Sầm Sơn, Thanh Hóa</t>
  </si>
  <si>
    <t>0969284483</t>
  </si>
  <si>
    <t>Hạnh</t>
  </si>
  <si>
    <t>7,88</t>
  </si>
  <si>
    <t>040198016525</t>
  </si>
  <si>
    <t>Yên Thành</t>
  </si>
  <si>
    <t>Lăng Thành, Yên Thành, Nghệ An</t>
  </si>
  <si>
    <t>0362395500</t>
  </si>
  <si>
    <t>Có Lưu MM - VB ĐH có có BĐ</t>
  </si>
  <si>
    <t>Bắc Ninh</t>
  </si>
  <si>
    <t>CĐSP Bắc Ninh</t>
  </si>
  <si>
    <t>027197001680</t>
  </si>
  <si>
    <t>Lương Tài</t>
  </si>
  <si>
    <t>Mỹ Duệ, Lương Tài, Bắc Ninh</t>
  </si>
  <si>
    <t>0869837390</t>
  </si>
  <si>
    <t>Có MM</t>
  </si>
  <si>
    <t>Hiên</t>
  </si>
  <si>
    <t>TCSP MN TN 2019( Giỏi)</t>
  </si>
  <si>
    <t>038191045012</t>
  </si>
  <si>
    <t xml:space="preserve"> Lương Sơn, Thường Xuân, Thanh Hóa</t>
  </si>
  <si>
    <t>Thiếu BĐ TC, GKS CC</t>
  </si>
  <si>
    <t>Tiêu Thị</t>
  </si>
  <si>
    <t>Hải Dương</t>
  </si>
  <si>
    <t>030197004476</t>
  </si>
  <si>
    <t>Thanh Hà</t>
  </si>
  <si>
    <t>Liên Mạc, Thanh Hà, Hải Dương</t>
  </si>
  <si>
    <t>0347726922</t>
  </si>
  <si>
    <t>thiếu ảnh</t>
  </si>
  <si>
    <t xml:space="preserve">Hoàn </t>
  </si>
  <si>
    <t>Hòa Bình</t>
  </si>
  <si>
    <t>CĐSP Hòa Bình</t>
  </si>
  <si>
    <t>TC SP Mầm non</t>
  </si>
  <si>
    <t>017187015789</t>
  </si>
  <si>
    <t xml:space="preserve">Lạc Thủy </t>
  </si>
  <si>
    <t xml:space="preserve">Thôn Lão Nội, Phú Nghĩa, Lạc Thủy, Hòa Bình </t>
  </si>
  <si>
    <t>0347188224</t>
  </si>
  <si>
    <t>Thiếu ảnh, HB, XNCT</t>
  </si>
  <si>
    <t xml:space="preserve">Trịnh Thị </t>
  </si>
  <si>
    <t>CĐ Hải Dương</t>
  </si>
  <si>
    <t>038181011022</t>
  </si>
  <si>
    <t>0973048033</t>
  </si>
  <si>
    <t>038196024455</t>
  </si>
  <si>
    <t>Hoằng Hợp, Hoằng Hóa, Thanh Hóa</t>
  </si>
  <si>
    <t>0971135205</t>
  </si>
  <si>
    <t xml:space="preserve">Huyền </t>
  </si>
  <si>
    <t>Vĩnh Phúc</t>
  </si>
  <si>
    <t>CĐ Vĩnh phúc</t>
  </si>
  <si>
    <t>026192000610</t>
  </si>
  <si>
    <t>Phúc Yên</t>
  </si>
  <si>
    <t>Tổ 4, Trưng Nhị, Phúc Yên, Vĩnh Phúc</t>
  </si>
  <si>
    <t>0393156648</t>
  </si>
  <si>
    <t xml:space="preserve">Trình Thị </t>
  </si>
  <si>
    <t>038182003947</t>
  </si>
  <si>
    <t xml:space="preserve">Hà Nội </t>
  </si>
  <si>
    <t>Gia Lâm</t>
  </si>
  <si>
    <t>Thôn 1, Bát Tràng, Gia Lâm , Hà Nội</t>
  </si>
  <si>
    <t>0985288706</t>
  </si>
  <si>
    <t>CĐ SP Bắc Ninh</t>
  </si>
  <si>
    <t>024187006862</t>
  </si>
  <si>
    <t xml:space="preserve">Bắc Ninh  </t>
  </si>
  <si>
    <t>Trung Chính, Trung Chính, Lương Tài, Bắc Ninh</t>
  </si>
  <si>
    <t>0336783960</t>
  </si>
  <si>
    <t>Thiếu XN Công tác</t>
  </si>
  <si>
    <t xml:space="preserve">Hưng Yên </t>
  </si>
  <si>
    <t>033197006754</t>
  </si>
  <si>
    <t>Hưng Yên</t>
  </si>
  <si>
    <t>Tiên Lữ</t>
  </si>
  <si>
    <t>Dị Chí, Tiên Lữ, Hưng Yên</t>
  </si>
  <si>
    <t>0971783587</t>
  </si>
  <si>
    <t xml:space="preserve">Cao Thị </t>
  </si>
  <si>
    <t>Quảng Ninh</t>
  </si>
  <si>
    <t>022184000501</t>
  </si>
  <si>
    <t>Hạ Long</t>
  </si>
  <si>
    <t>Tổ 8B Khu 2B, Hồng Hải, Hạ Long, Quảng Ninh</t>
  </si>
  <si>
    <t>0934888836</t>
  </si>
  <si>
    <t>Nụ</t>
  </si>
  <si>
    <t>CĐ SP Hòa Bình</t>
  </si>
  <si>
    <t>017192011201</t>
  </si>
  <si>
    <t>Yên Thủy</t>
  </si>
  <si>
    <t>SN 19, Chu Văn Anh, KP Tây Bắc, TT Hàng Trậm, Yên Thủy, Hòa Bình</t>
  </si>
  <si>
    <t>0983227973</t>
  </si>
  <si>
    <t>Bằng THPT ( Pto), - có XNCT</t>
  </si>
  <si>
    <t>Lê Thị Thúy</t>
  </si>
  <si>
    <t>2,87</t>
  </si>
  <si>
    <t>038300010839</t>
  </si>
  <si>
    <t>TDP Vinh Phúc, Sầm Sơn, Thanh Hóa</t>
  </si>
  <si>
    <t>0343506139</t>
  </si>
  <si>
    <t>Có BĐVB1 lưu</t>
  </si>
  <si>
    <t>027196001712</t>
  </si>
  <si>
    <t>Lâm Thao</t>
  </si>
  <si>
    <t>Thôn Phú Thọ, Xac Lâm Thao, Tỉnh Bắc Ninh</t>
  </si>
  <si>
    <t>0378406896</t>
  </si>
  <si>
    <t>Nam Định</t>
  </si>
  <si>
    <t>CĐ SP Trung Ương</t>
  </si>
  <si>
    <t>036190002050</t>
  </si>
  <si>
    <t>Bắc Từ Liêm</t>
  </si>
  <si>
    <t>Số 18 ngõ 599, Phạm Văn Đồng, Cổ Nhuế 1, BTL, Hà Nội</t>
  </si>
  <si>
    <t>0982200278</t>
  </si>
  <si>
    <t>Thiếu GKS, XN CT</t>
  </si>
  <si>
    <t>Nguyện</t>
  </si>
  <si>
    <t>001196022021</t>
  </si>
  <si>
    <t>Mỹ Đức</t>
  </si>
  <si>
    <t>Thôn Ải, Hợp Thanh, Mỹ Đức, Hà Nội</t>
  </si>
  <si>
    <t>0976800097</t>
  </si>
  <si>
    <t>XN TGCT</t>
  </si>
  <si>
    <t xml:space="preserve">Nguyễn Hồng </t>
  </si>
  <si>
    <t>017195004797</t>
  </si>
  <si>
    <t>An phú, An Thịnh, Lương Tài, Bắc Ninh</t>
  </si>
  <si>
    <t>0967766910</t>
  </si>
  <si>
    <t>Đinh Thị Bình</t>
  </si>
  <si>
    <t>Phước</t>
  </si>
  <si>
    <t>Bình Phước</t>
  </si>
  <si>
    <t>070197000016</t>
  </si>
  <si>
    <t>Chương Mỹ</t>
  </si>
  <si>
    <t>Quản Bị, Chương Mỹ, Hà Nội</t>
  </si>
  <si>
    <t>0374698380</t>
  </si>
  <si>
    <t>3,29</t>
  </si>
  <si>
    <t>038192032907</t>
  </si>
  <si>
    <t>Thạch Bình, Thạch Thành, Thanh Hóa</t>
  </si>
  <si>
    <t>0393344768</t>
  </si>
  <si>
    <t>Tiện</t>
  </si>
  <si>
    <t>038192010101</t>
  </si>
  <si>
    <t>Mường Lát</t>
  </si>
  <si>
    <t>Bản Lao Tao, Pù Nhi, Mường Lát Thanh Hóa</t>
  </si>
  <si>
    <t>0386955720</t>
  </si>
  <si>
    <t>038194044899</t>
  </si>
  <si>
    <t>0988450678</t>
  </si>
  <si>
    <t>Giấy xác nhận công tác</t>
  </si>
  <si>
    <t>Tươi</t>
  </si>
  <si>
    <t>027300002292</t>
  </si>
  <si>
    <t>Phú lương, Lương Tài, Bắc Ninh</t>
  </si>
  <si>
    <t>0961720625</t>
  </si>
  <si>
    <t>038189029911</t>
  </si>
  <si>
    <t xml:space="preserve"> Xuân Hồng, Thọ Xuân, Thanh Hóa</t>
  </si>
  <si>
    <t>0949349336</t>
  </si>
  <si>
    <t>Đoàn Thị Hoài</t>
  </si>
  <si>
    <t>8,47</t>
  </si>
  <si>
    <t>3,72</t>
  </si>
  <si>
    <t>TC Điều dưỡng ĐK</t>
  </si>
  <si>
    <t>034189006697</t>
  </si>
  <si>
    <t>Kiến Xương</t>
  </si>
  <si>
    <t>Trà Đông, Quang Trung, Kiến Xương, Thái Bình</t>
  </si>
  <si>
    <t>0987930957</t>
  </si>
  <si>
    <t>Có Lưu MM 2 VB</t>
  </si>
  <si>
    <t>8,42</t>
  </si>
  <si>
    <t xml:space="preserve">Văn Địa </t>
  </si>
  <si>
    <t>15,9</t>
  </si>
  <si>
    <t>027197001679</t>
  </si>
  <si>
    <t>Quảng Bố, Lâm Thao, Bắc Ninh</t>
  </si>
  <si>
    <t>0962728072</t>
  </si>
  <si>
    <t>Có MM cả 2 VB</t>
  </si>
  <si>
    <t>038196007678</t>
  </si>
  <si>
    <t>Lương Sơn</t>
  </si>
  <si>
    <t>Lương Sơn, Thanh Hóa</t>
  </si>
  <si>
    <t>0981932612</t>
  </si>
  <si>
    <t xml:space="preserve">Vũ Quỳnh </t>
  </si>
  <si>
    <t>XS</t>
  </si>
  <si>
    <t>Hải Phòng</t>
  </si>
  <si>
    <t>031194004445</t>
  </si>
  <si>
    <t>Thọ Long</t>
  </si>
  <si>
    <t>Thôn 1, Thọ Long, Thanh Hóa</t>
  </si>
  <si>
    <t>0365191865</t>
  </si>
  <si>
    <t xml:space="preserve">Đặng Thị </t>
  </si>
  <si>
    <t>Thức</t>
  </si>
  <si>
    <t>Nùng</t>
  </si>
  <si>
    <t>7,67</t>
  </si>
  <si>
    <t>Cao Bằng</t>
  </si>
  <si>
    <t>CĐ SP Cao Bằng</t>
  </si>
  <si>
    <t>004197006233</t>
  </si>
  <si>
    <t>Kim Thành</t>
  </si>
  <si>
    <t>Lạc Thiện, Hòa Bình, Kim Thành, Hải Dương</t>
  </si>
  <si>
    <t>0378009475</t>
  </si>
  <si>
    <t>GKS ( Pto)</t>
  </si>
  <si>
    <t>Đặng Thị Thu</t>
  </si>
  <si>
    <t>8,28</t>
  </si>
  <si>
    <t>7,17</t>
  </si>
  <si>
    <t>CQ-LT</t>
  </si>
  <si>
    <t>001185037020</t>
  </si>
  <si>
    <t>Thanh Trì</t>
  </si>
  <si>
    <t>Xóm 6, Yên Mỹ, Thanh Trì, Hà Nội</t>
  </si>
  <si>
    <t>0972863819</t>
  </si>
  <si>
    <t>có BĐ Lưu, KG có VB TC</t>
  </si>
  <si>
    <t>Phạm Thị Hồng</t>
  </si>
  <si>
    <t>7,97</t>
  </si>
  <si>
    <t>Lào Cai</t>
  </si>
  <si>
    <t>CĐ Quản trị KD</t>
  </si>
  <si>
    <t>015198008135</t>
  </si>
  <si>
    <t>Thượng Bằng La</t>
  </si>
  <si>
    <t>Thôn 3, Thượng Bằng La, Lào Cai</t>
  </si>
  <si>
    <t>0325266866</t>
  </si>
  <si>
    <t>Nguyễn Thị Vân</t>
  </si>
  <si>
    <t>7,72</t>
  </si>
  <si>
    <t>3,05</t>
  </si>
  <si>
    <t>ĐH Tây Bắc</t>
  </si>
  <si>
    <t>040195006034</t>
  </si>
  <si>
    <t>Minh Lộc, Hậu lộc, Thanh Hóa</t>
  </si>
  <si>
    <t>0971191426</t>
  </si>
  <si>
    <t>Bé</t>
  </si>
  <si>
    <t>ĐHSP Hà Nội 2</t>
  </si>
  <si>
    <t>001194001178</t>
  </si>
  <si>
    <t>Tiến Thắng</t>
  </si>
  <si>
    <t>Xóm 6, Phú Mỹ, Tiến Thắng, Hà Nội</t>
  </si>
  <si>
    <t>0969363822</t>
  </si>
  <si>
    <t>Lò Thị</t>
  </si>
  <si>
    <t>Say</t>
  </si>
  <si>
    <t>7,63</t>
  </si>
  <si>
    <t>ĐHSP nghệ thuật Trung Ương</t>
  </si>
  <si>
    <t>010196004235</t>
  </si>
  <si>
    <t>Sa Pa</t>
  </si>
  <si>
    <t>bản Huổi Thủng 1, xã Na Cô Sa, Nậm Pồ, Điện Biên</t>
  </si>
  <si>
    <t>0984031707</t>
  </si>
  <si>
    <t>Thiếu XNKN</t>
  </si>
  <si>
    <t>Có lưu MM</t>
  </si>
  <si>
    <t>7,89</t>
  </si>
  <si>
    <t>ĐH Quảng Bình</t>
  </si>
  <si>
    <t>044193011650</t>
  </si>
  <si>
    <t>Bố Trạch</t>
  </si>
  <si>
    <t>Thôn 3 Phúc Đồng, Phong Nha, Quảng Trị</t>
  </si>
  <si>
    <t>0982989649</t>
  </si>
  <si>
    <t>Thiếu Bằng , HB THPT</t>
  </si>
  <si>
    <t>Ánh</t>
  </si>
  <si>
    <t>TC SP Mầm Non</t>
  </si>
  <si>
    <t xml:space="preserve">Ninh Bình </t>
  </si>
  <si>
    <t>TC SP Mẫu Giáo NT Hà Nội</t>
  </si>
  <si>
    <t>037199007603</t>
  </si>
  <si>
    <t>Nho Quan</t>
  </si>
  <si>
    <t>Thôn 10 Xã Gia Lâm, Ninh Bình</t>
  </si>
  <si>
    <t>0344427001</t>
  </si>
  <si>
    <t>Chanh</t>
  </si>
  <si>
    <t>5,5</t>
  </si>
  <si>
    <t>ĐH Hùng Vương</t>
  </si>
  <si>
    <t>026193010380</t>
  </si>
  <si>
    <t>Lập Thành</t>
  </si>
  <si>
    <t>Lập Thành, Vĩnh Phúc</t>
  </si>
  <si>
    <t>0968329891</t>
  </si>
  <si>
    <t>có lưu MM</t>
  </si>
  <si>
    <t>Hợi</t>
  </si>
  <si>
    <t>SP Mầm Non</t>
  </si>
  <si>
    <t>038195016029</t>
  </si>
  <si>
    <t>Thôn 3, Liên Lộc, Hậu Lộc, Thanh Hóa</t>
  </si>
  <si>
    <t>0378830687</t>
  </si>
  <si>
    <t>Có Kuwu MM</t>
  </si>
  <si>
    <t xml:space="preserve">Thái Bình  </t>
  </si>
  <si>
    <t xml:space="preserve">CĐSP Trung Ương </t>
  </si>
  <si>
    <t>034195010871</t>
  </si>
  <si>
    <t xml:space="preserve">Hưng Hà </t>
  </si>
  <si>
    <t xml:space="preserve">Thôn Khuốc, Liên Hiệp, Hưng Hà, Thái Bình </t>
  </si>
  <si>
    <t>0349047046</t>
  </si>
  <si>
    <t>Nguyễn Thùy</t>
  </si>
  <si>
    <t>THSP Mẫu giáo nhà trẻ Hà Nội</t>
  </si>
  <si>
    <t>01180037788</t>
  </si>
  <si>
    <t>Đống Đa</t>
  </si>
  <si>
    <t>Số 32 ngách 46/28, Phạm Ngọc Thạch, Phương Liên, Đống Đa, Hà Nội</t>
  </si>
  <si>
    <t>Thiếu Học Bạ THPT</t>
  </si>
  <si>
    <t>có BĐ Lưu</t>
  </si>
  <si>
    <t>027183008672</t>
  </si>
  <si>
    <t>TP Bắc Ninh</t>
  </si>
  <si>
    <t>SN 24 xóm Già A, Khu 3 TT Cầu, TP Bắc Ninh</t>
  </si>
  <si>
    <t>0856687133</t>
  </si>
  <si>
    <t xml:space="preserve">Đinh Thị Lâm </t>
  </si>
  <si>
    <t>Oanh</t>
  </si>
  <si>
    <t>001195009719</t>
  </si>
  <si>
    <t>Hợp Thanh, Mỹ Đức, Hà Nội</t>
  </si>
  <si>
    <t>0966694128</t>
  </si>
  <si>
    <t>024190006373</t>
  </si>
  <si>
    <t>Kinh Bắc</t>
  </si>
  <si>
    <t>Khu Thị chung, Kinh Bắc, TP Bắc Ninh</t>
  </si>
  <si>
    <t>0366260691</t>
  </si>
  <si>
    <t>TC sư phạm mẫu giáo nhà trẻ Hà Nội</t>
  </si>
  <si>
    <t>001190015260</t>
  </si>
  <si>
    <t>Thanh Oai</t>
  </si>
  <si>
    <t>Thiên Đông, Mỹ Hưng, Thanh Oai, Hà Nội</t>
  </si>
  <si>
    <t>0974045490</t>
  </si>
  <si>
    <t>CĐSP Quảng Ninh</t>
  </si>
  <si>
    <t>034193014162</t>
  </si>
  <si>
    <t>Thái Thụy</t>
  </si>
  <si>
    <t>Thôn An Tiêm 2, Thụy Dân, Thái Thụy, Thái Bình</t>
  </si>
  <si>
    <t>0332831650</t>
  </si>
  <si>
    <t xml:space="preserve">Ngô Thị </t>
  </si>
  <si>
    <t>Thêu</t>
  </si>
  <si>
    <t>TC Thái Nguyên</t>
  </si>
  <si>
    <t>038194029048</t>
  </si>
  <si>
    <t>Khu 6 TT Thọ Xuân, Thọ Xuân, Thanh Hóa</t>
  </si>
  <si>
    <t>0327199290</t>
  </si>
  <si>
    <t>Lê Thùy</t>
  </si>
  <si>
    <t>9,0</t>
  </si>
  <si>
    <t>Gửi ngày 06-8</t>
  </si>
  <si>
    <t>CN Kế toán</t>
  </si>
  <si>
    <t xml:space="preserve">Hoa </t>
  </si>
  <si>
    <t>THPT Đinh Tiên Hoàng</t>
  </si>
  <si>
    <t>Nhàn</t>
  </si>
  <si>
    <t>Nguyễn Thị Bích</t>
  </si>
  <si>
    <t>Sông Mã</t>
  </si>
  <si>
    <t>Tày</t>
  </si>
  <si>
    <t xml:space="preserve">Nguyễn Thu </t>
  </si>
  <si>
    <t>CN Tài chính ngân hàng</t>
  </si>
  <si>
    <t>Mê Linh</t>
  </si>
  <si>
    <t>ĐHGD Tiểu học (LK-HN)</t>
  </si>
  <si>
    <t>Quách Thị Ngọc</t>
  </si>
  <si>
    <t>001301020208</t>
  </si>
  <si>
    <t>Ba Vì</t>
  </si>
  <si>
    <t>Thôn 7 , Suối 2, Ba Vì, Hà Nội</t>
  </si>
  <si>
    <t>0347473721</t>
  </si>
  <si>
    <t xml:space="preserve">Hà Thị </t>
  </si>
  <si>
    <t>SP Mỹ Thuật</t>
  </si>
  <si>
    <t>017192003889</t>
  </si>
  <si>
    <t>Hà Bình</t>
  </si>
  <si>
    <t>Mai Châu</t>
  </si>
  <si>
    <t>TK1 TT Mai Châu, Mai Châu, Hòa Bình</t>
  </si>
  <si>
    <t>0385617636</t>
  </si>
  <si>
    <t>Chăm</t>
  </si>
  <si>
    <t>7,56</t>
  </si>
  <si>
    <t>CĐ SP Hà Nội</t>
  </si>
  <si>
    <t>TC SP GDTH</t>
  </si>
  <si>
    <t>034190007946</t>
  </si>
  <si>
    <t>Hưng Hà</t>
  </si>
  <si>
    <t>TDP Đãn Chàng 2, TT Hưng Hà, Hưng Hà Hưng Yên</t>
  </si>
  <si>
    <t>0376784188</t>
  </si>
  <si>
    <t>Nguyễn Hải</t>
  </si>
  <si>
    <t>Diễm</t>
  </si>
  <si>
    <t>SP Địa Lý</t>
  </si>
  <si>
    <t>2,55</t>
  </si>
  <si>
    <t>CĐ SP Hà Tây</t>
  </si>
  <si>
    <t>001194022851</t>
  </si>
  <si>
    <t>HÀ Nội</t>
  </si>
  <si>
    <t>Hạc Sơn, Châu Sơn, Ba Vì, Hà Nội</t>
  </si>
  <si>
    <t>0963176498</t>
  </si>
  <si>
    <t>T Ảnh; GKS</t>
  </si>
  <si>
    <t>Nguyễn Thu</t>
  </si>
  <si>
    <t>Định</t>
  </si>
  <si>
    <t>CĐ SP Vĩnh Phúc</t>
  </si>
  <si>
    <t>026189008968</t>
  </si>
  <si>
    <t>Tam Dương</t>
  </si>
  <si>
    <t>Tiên Phong, Đồng Tinh, Tam Dương, Vĩnh Phúc</t>
  </si>
  <si>
    <t>0356299794</t>
  </si>
  <si>
    <t>Kg có HB THPT</t>
  </si>
  <si>
    <t>Cao đẳng SP Bắc Ninh</t>
  </si>
  <si>
    <t>024190013932</t>
  </si>
  <si>
    <t>Hiệp Hòa</t>
  </si>
  <si>
    <t>Danh Thượng 2, Danh Thắng, Hiệp Hòa, Bắc Giang</t>
  </si>
  <si>
    <t>0962882922</t>
  </si>
  <si>
    <t>Tạ Thúy</t>
  </si>
  <si>
    <t>034190017573</t>
  </si>
  <si>
    <t>Quỳnh Phụ</t>
  </si>
  <si>
    <t>An Vinh, Quỳnh Phụ, Thái Bình</t>
  </si>
  <si>
    <t>0976240966</t>
  </si>
  <si>
    <t>Học Bạ Phô Tô</t>
  </si>
  <si>
    <t xml:space="preserve">Đinh Thị </t>
  </si>
  <si>
    <t>SP Tiếng Anh</t>
  </si>
  <si>
    <t>027199006361</t>
  </si>
  <si>
    <t xml:space="preserve">Bắc Ninh </t>
  </si>
  <si>
    <t>Quế Võ</t>
  </si>
  <si>
    <t>Bằng An, Quế Võ, Bắc Ninh</t>
  </si>
  <si>
    <t>0334904843</t>
  </si>
  <si>
    <t xml:space="preserve">Nguyễn Thị Phương </t>
  </si>
  <si>
    <t>026193007238</t>
  </si>
  <si>
    <t>Long Sơn Giềng, Đạo Tú, Tam Dương, Vĩnh Phúc</t>
  </si>
  <si>
    <t>0398960893</t>
  </si>
  <si>
    <t>Võ Thị Thu</t>
  </si>
  <si>
    <t>7,61</t>
  </si>
  <si>
    <t>Quảng Trị</t>
  </si>
  <si>
    <t>ĐH Quảng Nam</t>
  </si>
  <si>
    <t>045189001616</t>
  </si>
  <si>
    <t>Đa Krong</t>
  </si>
  <si>
    <t>Thôn Na Nẫm, Triệu Nguyên, Đa Krong, Quảng Trị</t>
  </si>
  <si>
    <t>0987869284</t>
  </si>
  <si>
    <t>bằng THPT</t>
  </si>
  <si>
    <t>038184014444</t>
  </si>
  <si>
    <t>Hoằng Lộc</t>
  </si>
  <si>
    <t>Tiến Thành, Hoằng Lộc, Thanh Hóa</t>
  </si>
  <si>
    <t>0963274701</t>
  </si>
  <si>
    <t>HB</t>
  </si>
  <si>
    <t>Ly</t>
  </si>
  <si>
    <t>024192000016</t>
  </si>
  <si>
    <t>BX49 đường Biển Xanh, KĐT Vinhomes Ocean Park 2, Văn Giang, HƯng Yên</t>
  </si>
  <si>
    <t>8,56</t>
  </si>
  <si>
    <t>038194030993</t>
  </si>
  <si>
    <t>Xuân Lập</t>
  </si>
  <si>
    <t>Xóm 7, Xuân Lai, Thọ Xuân, Thanh Hóa</t>
  </si>
  <si>
    <t>0356288922</t>
  </si>
  <si>
    <t>Mười</t>
  </si>
  <si>
    <t>030192003617</t>
  </si>
  <si>
    <t>Vũ Thành, Nam An Phụ, TP Hải Phòng</t>
  </si>
  <si>
    <t>0964413835</t>
  </si>
  <si>
    <t>SP Vật Lý</t>
  </si>
  <si>
    <t>7.53</t>
  </si>
  <si>
    <t>Phú Thọ</t>
  </si>
  <si>
    <t>025190005667</t>
  </si>
  <si>
    <t xml:space="preserve">Phú Thọ </t>
  </si>
  <si>
    <t>Thanh Ba</t>
  </si>
  <si>
    <t>Khu 6, Đỗ Xuyên, Thanh Ba, Phú thọ</t>
  </si>
  <si>
    <t>03497560452</t>
  </si>
  <si>
    <t>Thiếu Ảnh</t>
  </si>
  <si>
    <t>ĐH Hải Phòng</t>
  </si>
  <si>
    <t>031178001256</t>
  </si>
  <si>
    <t>Hải phòng</t>
  </si>
  <si>
    <t>Kiến An</t>
  </si>
  <si>
    <t>Số 306A2, Trần Thành Ngọ, Kiến An, Hải phòng</t>
  </si>
  <si>
    <t>0914658472</t>
  </si>
  <si>
    <t xml:space="preserve">Thiếu BĐ </t>
  </si>
  <si>
    <t>Sin Văn</t>
  </si>
  <si>
    <t>Ngoan</t>
  </si>
  <si>
    <t>Hà Giang</t>
  </si>
  <si>
    <t>CĐ Vĩnh Phúc</t>
  </si>
  <si>
    <t>002093000878</t>
  </si>
  <si>
    <t>Hoàng Su Phì</t>
  </si>
  <si>
    <t>Chàng Chảy, Pờ ly ngài, Hoàng Su Phì, Hà Giang</t>
  </si>
  <si>
    <t>0862635785</t>
  </si>
  <si>
    <t>Giáp Thị</t>
  </si>
  <si>
    <t>8,61</t>
  </si>
  <si>
    <t>3,85</t>
  </si>
  <si>
    <t>024189011407</t>
  </si>
  <si>
    <t>Lục Ngan</t>
  </si>
  <si>
    <t>Thôn Đồng Nấm, Tân Quang, Lục Ngạn, Bắc Giang</t>
  </si>
  <si>
    <t>0367327651</t>
  </si>
  <si>
    <t>3,6</t>
  </si>
  <si>
    <t>ĐH Thái Nguyên</t>
  </si>
  <si>
    <t>037198002039</t>
  </si>
  <si>
    <t>Yên Khánh</t>
  </si>
  <si>
    <t>14 Khánh Trung, Yên Khánh, Ninh Bình</t>
  </si>
  <si>
    <t>0868478152</t>
  </si>
  <si>
    <t>Thiếu ảnh, thiếu XNCT</t>
  </si>
  <si>
    <t>6,95</t>
  </si>
  <si>
    <t>CĐ SP Hải Dương</t>
  </si>
  <si>
    <t>THCN SP Tiểu học</t>
  </si>
  <si>
    <t>030173013061</t>
  </si>
  <si>
    <t>Thanh Miện</t>
  </si>
  <si>
    <t>La Ngoại, Thanh Miện, Hải Dương</t>
  </si>
  <si>
    <t>0984851547</t>
  </si>
  <si>
    <t>Thiếu HB THPT, BĐTC</t>
  </si>
  <si>
    <t>Lê Thị Như</t>
  </si>
  <si>
    <t>024193008925</t>
  </si>
  <si>
    <t>Song Mai, TP Bắc Giang, Bắc Giang</t>
  </si>
  <si>
    <t/>
  </si>
  <si>
    <t>Ngô Minh</t>
  </si>
  <si>
    <t>Văn - Nhạc bậc Tiểu học</t>
  </si>
  <si>
    <t>CĐ SP Hưng Yên</t>
  </si>
  <si>
    <t>Chuyên tu</t>
  </si>
  <si>
    <t>030174005854</t>
  </si>
  <si>
    <t>0988011757</t>
  </si>
  <si>
    <t>Thiếu HB THPT, BĐCĐ</t>
  </si>
  <si>
    <t xml:space="preserve">Tẩn Mùi </t>
  </si>
  <si>
    <t>San</t>
  </si>
  <si>
    <t>Dao</t>
  </si>
  <si>
    <t>3,47</t>
  </si>
  <si>
    <t>010194008337</t>
  </si>
  <si>
    <t>LÀo Cai</t>
  </si>
  <si>
    <t>Bát Xát</t>
  </si>
  <si>
    <t>Trường Mầm Non Vin Home Ocen Pack2 Hưng Yên</t>
  </si>
  <si>
    <t>0868466829</t>
  </si>
  <si>
    <t>Bùi Văn Minh</t>
  </si>
  <si>
    <t>2,94</t>
  </si>
  <si>
    <t>CĐ SP Quảng Trị</t>
  </si>
  <si>
    <t>045094002405</t>
  </si>
  <si>
    <t>Cửa Việt</t>
  </si>
  <si>
    <t>Mai Đông Cửa Việt, Quảng Trị</t>
  </si>
  <si>
    <t>0366173420</t>
  </si>
  <si>
    <t>3,37</t>
  </si>
  <si>
    <t>001198024155</t>
  </si>
  <si>
    <t>Phú Nghĩa, Chương Mỹ , Hà Nội</t>
  </si>
  <si>
    <t>0981385810</t>
  </si>
  <si>
    <t xml:space="preserve">Đoàn Thị </t>
  </si>
  <si>
    <t>038194038010</t>
  </si>
  <si>
    <t>Xã Xuân Hồng, Thọ Xuân, Thanh Hóa</t>
  </si>
  <si>
    <t>0982668834</t>
  </si>
  <si>
    <t xml:space="preserve">Đào Thị </t>
  </si>
  <si>
    <t>030301000522</t>
  </si>
  <si>
    <t>Bình Giang</t>
  </si>
  <si>
    <t>Trâm Khê, Thái Hòa, Bình Giang, Hải Dương</t>
  </si>
  <si>
    <t>C Huyền báo chuyển ngày 17.7.25</t>
  </si>
  <si>
    <t>036194004428</t>
  </si>
  <si>
    <t>Hải Hậu</t>
  </si>
  <si>
    <t>0333275085</t>
  </si>
  <si>
    <t>001174028101</t>
  </si>
  <si>
    <t>34 Phú Kiều, Phúc Diễn, Bắc Từ Liêm, Hà Nội</t>
  </si>
  <si>
    <t>0344420347</t>
  </si>
  <si>
    <t>Thiếu BĐ</t>
  </si>
  <si>
    <t>Kká</t>
  </si>
  <si>
    <t>2,8</t>
  </si>
  <si>
    <t>031192017611</t>
  </si>
  <si>
    <t>Thủy Nguyên</t>
  </si>
  <si>
    <t>Quang Trung, Thủy Nguyên, Hải Phòng</t>
  </si>
  <si>
    <t>0915729456</t>
  </si>
  <si>
    <t xml:space="preserve">Hoàng Thị Thanh </t>
  </si>
  <si>
    <t>Xuyến</t>
  </si>
  <si>
    <t>Lạng Sơn</t>
  </si>
  <si>
    <t>CĐ  SP Lạng Sơn</t>
  </si>
  <si>
    <t>020300000760</t>
  </si>
  <si>
    <t>Chi Lăng</t>
  </si>
  <si>
    <t>Quang Châu, Việt Yên, Bắc Giang</t>
  </si>
  <si>
    <t>0338579841</t>
  </si>
  <si>
    <t>CCCD Phô Tô</t>
  </si>
  <si>
    <t>ĐH Thủ Đô Hà Nội</t>
  </si>
  <si>
    <t>001194021288</t>
  </si>
  <si>
    <t>Đội 2 La Đồng, Hợp Tiến, Mỹ Đức, hà Nội</t>
  </si>
  <si>
    <t>0985573826</t>
  </si>
  <si>
    <t>Phạm Thị Lan</t>
  </si>
  <si>
    <t>KInh</t>
  </si>
  <si>
    <t>Giaó dục công dân</t>
  </si>
  <si>
    <t>ĐH SP Hà Nội 2</t>
  </si>
  <si>
    <t>033303003488</t>
  </si>
  <si>
    <t>Khoái Châu</t>
  </si>
  <si>
    <t>Xóm 11, Minh Khai, Đại Tập, Khoái Châu, Hưng Yên</t>
  </si>
  <si>
    <t>0967438780</t>
  </si>
  <si>
    <t xml:space="preserve">Phạm Phương </t>
  </si>
  <si>
    <t>Giáo dục Công dân</t>
  </si>
  <si>
    <t>3,01</t>
  </si>
  <si>
    <t>001303019340</t>
  </si>
  <si>
    <t>Minh Kha, Bình Minh, Thanh Oai, Hà Nội</t>
  </si>
  <si>
    <t>0345549866</t>
  </si>
  <si>
    <t>2,68</t>
  </si>
  <si>
    <t>ĐH Hoa Lư</t>
  </si>
  <si>
    <t>037303002649</t>
  </si>
  <si>
    <t>Khánh Công, Yên Khánh, Ninh Bình</t>
  </si>
  <si>
    <t>0359621171</t>
  </si>
  <si>
    <t xml:space="preserve"> Lớp 12 Giỏi</t>
  </si>
  <si>
    <t xml:space="preserve">Hằng </t>
  </si>
  <si>
    <t xml:space="preserve">Thanh Hóa </t>
  </si>
  <si>
    <t>038191048351</t>
  </si>
  <si>
    <t>Thôn Tân Hải, xã Vạn Lộc, Thanh Hóa</t>
  </si>
  <si>
    <t>0987069385</t>
  </si>
  <si>
    <t>Thiếu XNKN, ảnh</t>
  </si>
  <si>
    <t xml:space="preserve">Lại Thúy </t>
  </si>
  <si>
    <t>GDCD</t>
  </si>
  <si>
    <t xml:space="preserve">Giỏi </t>
  </si>
  <si>
    <t>001303016155</t>
  </si>
  <si>
    <t>Phúc Thịnh</t>
  </si>
  <si>
    <t>Ba Chứ, Phúc Thịnh, Hà Nội</t>
  </si>
  <si>
    <t>0868363309</t>
  </si>
  <si>
    <t xml:space="preserve">Nguyễn Thị Hương </t>
  </si>
  <si>
    <t>SP Hóa Học</t>
  </si>
  <si>
    <t>ĐH SP Thái Nguyên</t>
  </si>
  <si>
    <t>001194005909</t>
  </si>
  <si>
    <t>Nhà 3A, Thôn Trần Phú, Dân Hòa, Hà Nội</t>
  </si>
  <si>
    <t>0989359805</t>
  </si>
  <si>
    <t>Thiếu XNCT</t>
  </si>
  <si>
    <t xml:space="preserve">Lương Thị </t>
  </si>
  <si>
    <t>Liễu</t>
  </si>
  <si>
    <t>GD Đặc Biệt</t>
  </si>
  <si>
    <t>ĐH SP Hà Nội</t>
  </si>
  <si>
    <t>034185005167</t>
  </si>
  <si>
    <t>Vũ Xá, An Đồng, Quỳnh Phụ , Thái bình</t>
  </si>
  <si>
    <t>0979193628</t>
  </si>
  <si>
    <t xml:space="preserve">Trương Thị Thanh </t>
  </si>
  <si>
    <t>025182008944</t>
  </si>
  <si>
    <t>Yên Bái</t>
  </si>
  <si>
    <t>Yên Bình</t>
  </si>
  <si>
    <t>Tổ 11, TT Yên Bình, Yên Bình, Yên Bái</t>
  </si>
  <si>
    <t>0886949311</t>
  </si>
  <si>
    <t>Nguyễn Yến</t>
  </si>
  <si>
    <t>3,1</t>
  </si>
  <si>
    <t>001303004080</t>
  </si>
  <si>
    <t>Hai Bà Trưng</t>
  </si>
  <si>
    <t>Ngõ 81, Phố Trạm, Long Biên, HÀ Nội</t>
  </si>
  <si>
    <t>0965968814</t>
  </si>
  <si>
    <t>Nguyễn Thị Quỳnh</t>
  </si>
  <si>
    <t>Như</t>
  </si>
  <si>
    <t>3,16</t>
  </si>
  <si>
    <t>001303008910</t>
  </si>
  <si>
    <t xml:space="preserve">Lã Côi, Yên Viên, Gia Lâm, Hà Nội </t>
  </si>
  <si>
    <t>0971827206</t>
  </si>
  <si>
    <t>031196000728</t>
  </si>
  <si>
    <t>Ngô Quyền</t>
  </si>
  <si>
    <t>137/182 Đà Nằng, Gia Viên, Ngô Quyền, Hải Phòng</t>
  </si>
  <si>
    <t>0369661996</t>
  </si>
  <si>
    <t>Kim Anh</t>
  </si>
  <si>
    <t>SP Khoa học TN</t>
  </si>
  <si>
    <t>2,63</t>
  </si>
  <si>
    <t>Toán văn sinh</t>
  </si>
  <si>
    <t>23,67</t>
  </si>
  <si>
    <t>ĐH Giáo dục - ĐH QG Hà Nội</t>
  </si>
  <si>
    <t>001302030095</t>
  </si>
  <si>
    <t>Phúc Sơn</t>
  </si>
  <si>
    <t>Số 85, tổ 13 Mậu Lương; Kiến Hưng, Hà Nội</t>
  </si>
  <si>
    <t>0395103990</t>
  </si>
  <si>
    <t>Bằng ĐH</t>
  </si>
  <si>
    <t xml:space="preserve">Nguyễn Thị Hà </t>
  </si>
  <si>
    <t>001193034933</t>
  </si>
  <si>
    <t>Phù Lưu Tế, Mỹ Đức, Hà Nội</t>
  </si>
  <si>
    <t>0866535926</t>
  </si>
  <si>
    <t>TC Việt Hàn</t>
  </si>
  <si>
    <t>019192000570</t>
  </si>
  <si>
    <t>TP Thái Nguyên</t>
  </si>
  <si>
    <t>Xóm Toàn Thắng 1, Đồng Liên, TP Thái Nguyên</t>
  </si>
  <si>
    <t>0397189555</t>
  </si>
  <si>
    <t>Nguyễn Hồng</t>
  </si>
  <si>
    <t>SP Tiểu học</t>
  </si>
  <si>
    <t>001178004158</t>
  </si>
  <si>
    <t>Tương Mai, Hoàng Mai, Hà Nội</t>
  </si>
  <si>
    <t>0916511178</t>
  </si>
  <si>
    <t>bằng và học bạ THPT, GKS</t>
  </si>
  <si>
    <t>Lò Văn</t>
  </si>
  <si>
    <t>Hom</t>
  </si>
  <si>
    <t>Xinh Mun</t>
  </si>
  <si>
    <t>014096011513</t>
  </si>
  <si>
    <t>Bản Nậm Ún, Sông Mã, Sơn La</t>
  </si>
  <si>
    <t>0333740996</t>
  </si>
  <si>
    <t>k có Bằng, HB Cấp 3, thiếu GKS</t>
  </si>
  <si>
    <t>học hệ 9+3</t>
  </si>
  <si>
    <t xml:space="preserve">Nguyễn Thanh </t>
  </si>
  <si>
    <t>001197005073</t>
  </si>
  <si>
    <t>Thạch Thất</t>
  </si>
  <si>
    <t>Canh Nậu, Thạch Thất, Hà Nội</t>
  </si>
  <si>
    <t>0965231305</t>
  </si>
  <si>
    <t>CCCD( bản photo)</t>
  </si>
  <si>
    <t>SP mầm non</t>
  </si>
  <si>
    <t>038301006073</t>
  </si>
  <si>
    <t>Thành Lâm, Bá Thước, Thanh Hóa</t>
  </si>
  <si>
    <t>0327914925</t>
  </si>
  <si>
    <t xml:space="preserve">Lý Thị </t>
  </si>
  <si>
    <t>TC Việt Thuận</t>
  </si>
  <si>
    <t>020301005363</t>
  </si>
  <si>
    <t>Hữu Lũng</t>
  </si>
  <si>
    <t>Quyết Thắng, Thiện Tâm, Hữu Lũng, Lạng Sơn</t>
  </si>
  <si>
    <t>0985454452</t>
  </si>
  <si>
    <t>034194011374</t>
  </si>
  <si>
    <t>An Mỹ, Quỳnh Phụ, Thái Bình</t>
  </si>
  <si>
    <t>0975769086</t>
  </si>
  <si>
    <t>Vương Thúy</t>
  </si>
  <si>
    <t>CĐ SP Lạng Sơn</t>
  </si>
  <si>
    <t>001179004893</t>
  </si>
  <si>
    <t>Hoàn Kiếm</t>
  </si>
  <si>
    <t>20 Lê Thánh Tông, Hoàn Kiếm, Hà Nội</t>
  </si>
  <si>
    <t>k có số ĐT, Học bạ THPT</t>
  </si>
  <si>
    <t xml:space="preserve">Chu Thị Như </t>
  </si>
  <si>
    <t xml:space="preserve">Quỳnh </t>
  </si>
  <si>
    <t>001194017799</t>
  </si>
  <si>
    <t>Thôn Đoài, Xuy Xá, Mỹ Đức , Hà Nội</t>
  </si>
  <si>
    <t>0976454890</t>
  </si>
  <si>
    <t xml:space="preserve">Đào Thị Thanh </t>
  </si>
  <si>
    <t>001191053426</t>
  </si>
  <si>
    <t>Số 2 ngõ 56, Ngọc Nhị , Cẩm Lĩnh, Ba Vì, Hà Nội</t>
  </si>
  <si>
    <t>0389031808</t>
  </si>
  <si>
    <t>Trúc</t>
  </si>
  <si>
    <t xml:space="preserve">CĐ Hải Dương </t>
  </si>
  <si>
    <t>066187000582</t>
  </si>
  <si>
    <t xml:space="preserve">Hải Dương </t>
  </si>
  <si>
    <t xml:space="preserve">Kinh Môn </t>
  </si>
  <si>
    <t xml:space="preserve">Châu Xá, Duy Tân, Kinh Môn, Hải Dương </t>
  </si>
  <si>
    <t>0395129028</t>
  </si>
  <si>
    <t>Thiếu bằng THPT, HBTHPT, ảnh, BĐ Công chứng</t>
  </si>
  <si>
    <t>TCCN Hải Phòng</t>
  </si>
  <si>
    <t>030189019403</t>
  </si>
  <si>
    <t>Văn Cú , An Đồng, An Dương, Hải Phòng</t>
  </si>
  <si>
    <t>0963252887</t>
  </si>
  <si>
    <t>THPT Bãi Cháy - Quảng Ninh</t>
  </si>
  <si>
    <t>030305006182</t>
  </si>
  <si>
    <t>Bãi Cháy</t>
  </si>
  <si>
    <t>Tổ 7 C - Khu 2, Bãi Cháy , Quảng Ninh</t>
  </si>
  <si>
    <t>0392351559</t>
  </si>
  <si>
    <t xml:space="preserve">Ngô Thị Phương </t>
  </si>
  <si>
    <t>25,8</t>
  </si>
  <si>
    <t>THPT Yên Hòa</t>
  </si>
  <si>
    <t>CN Quản trị  DVDL &amp; Lữ Hành</t>
  </si>
  <si>
    <t>001302012994</t>
  </si>
  <si>
    <t>Nam Từ Liêm</t>
  </si>
  <si>
    <t>Số 35,  Đồng Me, Mễ Trì, Nam Từ Liêm, Hà Nội</t>
  </si>
  <si>
    <t>0362319992</t>
  </si>
  <si>
    <t xml:space="preserve">Nguyễn Ngọc </t>
  </si>
  <si>
    <t>THPT Phùng Khắc Khoan</t>
  </si>
  <si>
    <t>CN Tài Chính Ngân hàng</t>
  </si>
  <si>
    <t>001197002884</t>
  </si>
  <si>
    <t>Cầu Giấy</t>
  </si>
  <si>
    <t>Số 22 Hoàng Sâm, Nghĩa đô, Cầu Giấy, Hà Nội</t>
  </si>
  <si>
    <t>0333384082</t>
  </si>
  <si>
    <t xml:space="preserve">Lê Nguyễn Phương </t>
  </si>
  <si>
    <t>Hà Tây</t>
  </si>
  <si>
    <t>THPT Lê Quý Đôn</t>
  </si>
  <si>
    <t>001303036296</t>
  </si>
  <si>
    <t>Hà Đông</t>
  </si>
  <si>
    <t>Số 92, đường 19/5, Văn Quán, Hà Đông, Hà Nội</t>
  </si>
  <si>
    <t>0399215828</t>
  </si>
  <si>
    <t xml:space="preserve">Lưu Trần Tâm </t>
  </si>
  <si>
    <t>THPT Nam Tiền Hải</t>
  </si>
  <si>
    <t>034305006852</t>
  </si>
  <si>
    <t>Nam Cường</t>
  </si>
  <si>
    <t>Chí Cường, Nam Cường, Hưng Yên</t>
  </si>
  <si>
    <t>0982762656</t>
  </si>
  <si>
    <t xml:space="preserve">Hoàng Thị Thảo </t>
  </si>
  <si>
    <t xml:space="preserve">Văn Toán Anh </t>
  </si>
  <si>
    <t>THPT Yên Mỹ, Hưng Yên</t>
  </si>
  <si>
    <t>ĐH TC- NH</t>
  </si>
  <si>
    <t>033300006165</t>
  </si>
  <si>
    <t>Yên Mỹ</t>
  </si>
  <si>
    <t>Thôn Hạ, Trung Hưng, Yên Mỹ, Hưng Yên</t>
  </si>
  <si>
    <t>0869134805</t>
  </si>
  <si>
    <t>Thiếu ảnh</t>
  </si>
  <si>
    <t>21,93</t>
  </si>
  <si>
    <t>THPT minh Phú</t>
  </si>
  <si>
    <t>001306057322</t>
  </si>
  <si>
    <t>Sóc Sơn</t>
  </si>
  <si>
    <t>Số 18 Xuân long, Tân Dân, Sóc Sơn, Hà Nội</t>
  </si>
  <si>
    <t>0966779430</t>
  </si>
  <si>
    <t xml:space="preserve">Nguyễn Thị Ngọc </t>
  </si>
  <si>
    <t>THPT Tiên Du số 1 Bắc Ninh</t>
  </si>
  <si>
    <t>ĐH QTKD</t>
  </si>
  <si>
    <t>027194010512</t>
  </si>
  <si>
    <t>Khu Trần Hạp Lĩnh, TP Bắc Ninh, Bắc Ninh</t>
  </si>
  <si>
    <t>0971181575</t>
  </si>
  <si>
    <t>Triệu  Thị Linh</t>
  </si>
  <si>
    <t xml:space="preserve">Văn Toán Hóa </t>
  </si>
  <si>
    <t>THPT 19-5 Kim Bôi</t>
  </si>
  <si>
    <t>CĐ Thương mại điện tử</t>
  </si>
  <si>
    <t>017303009248</t>
  </si>
  <si>
    <t>Kim Bôi</t>
  </si>
  <si>
    <t>Suối Thản, Đú Sáng, Kim Bôi, Hòa Bình</t>
  </si>
  <si>
    <t>0373604689</t>
  </si>
  <si>
    <t>Phạm Kim</t>
  </si>
  <si>
    <t>Hà Nam</t>
  </si>
  <si>
    <t>THPT A Thanh Liêm</t>
  </si>
  <si>
    <t>CN KT xét nghiệm y học</t>
  </si>
  <si>
    <t>035198002742</t>
  </si>
  <si>
    <t>Thanh Liêm</t>
  </si>
  <si>
    <t>Thị trấn Tân Thanh - Thanh Liêm - Hà Nam</t>
  </si>
  <si>
    <t>0364505111</t>
  </si>
  <si>
    <t>8,36</t>
  </si>
  <si>
    <t>Văn Toán Anh</t>
  </si>
  <si>
    <t>THPT Cổ Loa</t>
  </si>
  <si>
    <t>001307046838</t>
  </si>
  <si>
    <t>Đông Anh</t>
  </si>
  <si>
    <t>Lực Canh, Xuân Canh, Đông Anh, Hà Nội</t>
  </si>
  <si>
    <t>0382598226</t>
  </si>
  <si>
    <t xml:space="preserve">Nguyễn Hiền </t>
  </si>
  <si>
    <t>THPT A Duy Tiên</t>
  </si>
  <si>
    <t>035305000940</t>
  </si>
  <si>
    <t>Duy Tiên</t>
  </si>
  <si>
    <t>Times City Minh Khai - Hai Bà Trưng- Hà Nội</t>
  </si>
  <si>
    <t>0858360169</t>
  </si>
  <si>
    <t>Chưa có bằng THPT (nộp bằng THCS)</t>
  </si>
  <si>
    <t xml:space="preserve">Trần Mỹ </t>
  </si>
  <si>
    <t>Văn Toán Hóa</t>
  </si>
  <si>
    <t xml:space="preserve">23,8 </t>
  </si>
  <si>
    <t>THPT Nguyễn Du- Thanh Oai</t>
  </si>
  <si>
    <t>001303036344</t>
  </si>
  <si>
    <t>Thôn Mã kiều, Phương Trung, Thanh Oai, Hà Nội</t>
  </si>
  <si>
    <t>0359457388</t>
  </si>
  <si>
    <t>Trần Kim</t>
  </si>
  <si>
    <t>THPT Ngọc Tảo</t>
  </si>
  <si>
    <t>001305029957</t>
  </si>
  <si>
    <t>Hát Môn</t>
  </si>
  <si>
    <t>Số 73, Thôn Tam Hiệp 1, Hát Môn, Hà Nội</t>
  </si>
  <si>
    <t>0352475286</t>
  </si>
  <si>
    <t xml:space="preserve">Đỗ Thùy </t>
  </si>
  <si>
    <t>23,97</t>
  </si>
  <si>
    <t>THPT Thạch Thất</t>
  </si>
  <si>
    <t>001307010761</t>
  </si>
  <si>
    <t>Tây Phương</t>
  </si>
  <si>
    <t>Thôn 3A, Tây Phương, Hà Nội</t>
  </si>
  <si>
    <t>0333146925</t>
  </si>
  <si>
    <t xml:space="preserve">Trần Cẩm </t>
  </si>
  <si>
    <t>THPT Đô Lương 1- Nghệ An</t>
  </si>
  <si>
    <t>040304025364</t>
  </si>
  <si>
    <t>Đô Lương</t>
  </si>
  <si>
    <t>Xóm 3 Đô Lương, Nghệ An</t>
  </si>
  <si>
    <t>0943878345</t>
  </si>
  <si>
    <t>24,9</t>
  </si>
  <si>
    <t>THPT Quế võ số 1</t>
  </si>
  <si>
    <t>ĐH Tài chính - Ngân hàng</t>
  </si>
  <si>
    <t>027300000265</t>
  </si>
  <si>
    <t>Nghiêm Thôn, Quế Võ, Bắc Ninh</t>
  </si>
  <si>
    <t>0986054306</t>
  </si>
  <si>
    <t>Hài</t>
  </si>
  <si>
    <t>25,17</t>
  </si>
  <si>
    <t>THPT Bạch Đằng, Hải Phòng</t>
  </si>
  <si>
    <t>031303005981</t>
  </si>
  <si>
    <t>An Lư, Thủy Nguyên, Hải Phòng</t>
  </si>
  <si>
    <t>0932309596</t>
  </si>
  <si>
    <t>Đơn chưa đúng mẫu (PL3 mới đúng)</t>
  </si>
  <si>
    <t>Phan Thị Thanh</t>
  </si>
  <si>
    <t>THPT Nguyễn Thiện Thuật</t>
  </si>
  <si>
    <t>033306006069</t>
  </si>
  <si>
    <t>Mỹ Hào</t>
  </si>
  <si>
    <t>Xuân Nhân, Xuân Dục, Mỹ Hào, Hưng Yên</t>
  </si>
  <si>
    <t>0941521983</t>
  </si>
  <si>
    <t xml:space="preserve">Văn Toán Tiếng Anh </t>
  </si>
  <si>
    <t>24,6</t>
  </si>
  <si>
    <t>THPT NK Ngô Sĩ Liên</t>
  </si>
  <si>
    <t>CN Ngữ Văn</t>
  </si>
  <si>
    <t>024186012919</t>
  </si>
  <si>
    <t>TP Bắc Giang</t>
  </si>
  <si>
    <t>81 Trần Quốc Toản, Ngô Quyên, TP Bắc Giang</t>
  </si>
  <si>
    <t>0943986494</t>
  </si>
  <si>
    <t>Đào Thanh</t>
  </si>
  <si>
    <t>Toán văn Hóa</t>
  </si>
  <si>
    <t>26,03</t>
  </si>
  <si>
    <t>THPT Nguyễn Trãi, Thái Bình</t>
  </si>
  <si>
    <t>Logictics và quản lý chuỗi cung ứng</t>
  </si>
  <si>
    <t>034302007837</t>
  </si>
  <si>
    <t>Vũ Thư</t>
  </si>
  <si>
    <t>Tân Phong, Vũ Thư, Thái Bình</t>
  </si>
  <si>
    <t>0973530982</t>
  </si>
  <si>
    <t>Linh Ngọc</t>
  </si>
  <si>
    <t>THPT Thông Nông</t>
  </si>
  <si>
    <t>004305006088</t>
  </si>
  <si>
    <t>Phục Thán</t>
  </si>
  <si>
    <t>Hồng Quang 1, Hưng Đạo, Cao Bằng, Cao Bằng</t>
  </si>
  <si>
    <t>0364362257</t>
  </si>
  <si>
    <t xml:space="preserve">Nguyễn Thảo </t>
  </si>
  <si>
    <t>8,98</t>
  </si>
  <si>
    <t>THPT An Dương</t>
  </si>
  <si>
    <t>031307010186</t>
  </si>
  <si>
    <t>An Dương</t>
  </si>
  <si>
    <t>TDP Minh Kha, An Hải, Hải Phòng</t>
  </si>
  <si>
    <t>0'934234446</t>
  </si>
  <si>
    <t>Đỗ Thư</t>
  </si>
  <si>
    <t>Hoàn</t>
  </si>
  <si>
    <t>THPT Triệu Sơn 1</t>
  </si>
  <si>
    <t>038198019545</t>
  </si>
  <si>
    <t>Thôn 3, Thọ Phú, Triệu Sơn, Thanh Hóa</t>
  </si>
  <si>
    <t>0326743679</t>
  </si>
  <si>
    <t>Đặng Thị Diệu</t>
  </si>
  <si>
    <t>24.2</t>
  </si>
  <si>
    <t>THPT Phương Xá- Phú Thọ</t>
  </si>
  <si>
    <t>025199007919</t>
  </si>
  <si>
    <t>Cẩm Khê</t>
  </si>
  <si>
    <t>Tam Sơn, Cẩm Khê, Phú thọ</t>
  </si>
  <si>
    <t>0974452109</t>
  </si>
  <si>
    <t>Lê Thị Lan</t>
  </si>
  <si>
    <t>THPT Nam Khoái Châu</t>
  </si>
  <si>
    <t>CN Tài chính - ngân hàng</t>
  </si>
  <si>
    <t>033300002864</t>
  </si>
  <si>
    <t>Phùng Hưng, Khoái Châu, Hưng Yên</t>
  </si>
  <si>
    <t>0981179331</t>
  </si>
  <si>
    <t>Đoàn Thành</t>
  </si>
  <si>
    <t>25,4</t>
  </si>
  <si>
    <t>THPT Lạc Long Quân</t>
  </si>
  <si>
    <t>ĐH Kinh Tế Nông Nghiệp</t>
  </si>
  <si>
    <t>017200005476</t>
  </si>
  <si>
    <t>Hoà Bình</t>
  </si>
  <si>
    <t>Tổ 7, phường Hòa Bình, Tỉnh Phú Thọ</t>
  </si>
  <si>
    <t>0963297538</t>
  </si>
  <si>
    <t xml:space="preserve">Phạm Thị Thanh </t>
  </si>
  <si>
    <t>THPT Phú Bình</t>
  </si>
  <si>
    <t>019304010255</t>
  </si>
  <si>
    <t>Phú Bình</t>
  </si>
  <si>
    <t>Phường Đức Thắng, Quận Bắc Từ Liêm</t>
  </si>
  <si>
    <t>0853828646</t>
  </si>
  <si>
    <t xml:space="preserve"> ảnh</t>
  </si>
  <si>
    <t>Lê Hương</t>
  </si>
  <si>
    <t>CN Hóa Học</t>
  </si>
  <si>
    <t>001198009949</t>
  </si>
  <si>
    <t>Chung Chính, Phương Trung, Thanh Oai, Hà Nội</t>
  </si>
  <si>
    <t>0354483579</t>
  </si>
  <si>
    <t>Bùi Thùy</t>
  </si>
  <si>
    <t>23,96</t>
  </si>
  <si>
    <t>THPT Tô Hiệu</t>
  </si>
  <si>
    <t>031302006465</t>
  </si>
  <si>
    <t>Vĩnh Bảo</t>
  </si>
  <si>
    <t>Thôn 4, Giang Biên, Vĩnh Bảo, Hải Phòng</t>
  </si>
  <si>
    <t>0348092088</t>
  </si>
  <si>
    <t>Vũ Diệu</t>
  </si>
  <si>
    <t>034305006834</t>
  </si>
  <si>
    <t>0977742755</t>
  </si>
  <si>
    <t xml:space="preserve">Sầm Diệu </t>
  </si>
  <si>
    <t>23,03</t>
  </si>
  <si>
    <t>THPT B Hải Hậu</t>
  </si>
  <si>
    <t>036307014280</t>
  </si>
  <si>
    <t>Xóm 2, Hải Tân, Hải Hậu, Nam Định</t>
  </si>
  <si>
    <t>0975028759</t>
  </si>
  <si>
    <t xml:space="preserve">Bùi Thị Ngọc </t>
  </si>
  <si>
    <t>8,03</t>
  </si>
  <si>
    <t>THPT Yên Khánh B</t>
  </si>
  <si>
    <t>037307002642</t>
  </si>
  <si>
    <t>Phú Trung, Khánh An, Yên Khánh, Ninh Bình</t>
  </si>
  <si>
    <t>0818525682</t>
  </si>
  <si>
    <t>Đặng Khánh</t>
  </si>
  <si>
    <t>9,06</t>
  </si>
  <si>
    <t>Văn toán Sinh</t>
  </si>
  <si>
    <t>THPT Hoàng Văn Thụ, Quảng Ninh</t>
  </si>
  <si>
    <t>022307011574</t>
  </si>
  <si>
    <t>Uông Bí</t>
  </si>
  <si>
    <t>Tổ 7, Khu 4, Vàng Danh, Uông Bí, Quảng Ninh</t>
  </si>
  <si>
    <t>0969677829</t>
  </si>
  <si>
    <t xml:space="preserve">Hoàng Thị </t>
  </si>
  <si>
    <t>Lợi</t>
  </si>
  <si>
    <t>THPT Nguyễn Du, Thanh Oai, Hà Nội</t>
  </si>
  <si>
    <t>CĐ Quản trị doanh nghiệp vừa và nhỏ</t>
  </si>
  <si>
    <t>001199031663</t>
  </si>
  <si>
    <t>Trường Xuân, Xuân Dương, Thanh Oai, Hà Nội</t>
  </si>
  <si>
    <t>0868223061</t>
  </si>
  <si>
    <t>Hoàng Khánh</t>
  </si>
  <si>
    <t>24.9</t>
  </si>
  <si>
    <t>CN Tài chính - Ngân hàng</t>
  </si>
  <si>
    <t>037302004547</t>
  </si>
  <si>
    <t>Hoa Lư</t>
  </si>
  <si>
    <t>SN 47, ngõ 150, đường Ngô Gia Tự, Vạn Phúc, Vân Giang, TP Hoa Lư, Ninh Bình</t>
  </si>
  <si>
    <t>0915855675</t>
  </si>
  <si>
    <t xml:space="preserve">Phạm Cẩm </t>
  </si>
  <si>
    <t>CN Kinh tế</t>
  </si>
  <si>
    <t>033300002773</t>
  </si>
  <si>
    <t>0866108629</t>
  </si>
  <si>
    <t>Trần Thị Ngọc</t>
  </si>
  <si>
    <t>THPT Trung Giã , Hà Nội</t>
  </si>
  <si>
    <t>ĐH Quản trị nhân lực</t>
  </si>
  <si>
    <t>001300017566</t>
  </si>
  <si>
    <t>Nam Sơn, Sóc Sơn, Hà Nội</t>
  </si>
  <si>
    <t>0332744793</t>
  </si>
  <si>
    <t>Nhận qua Bưu điện ngày 23/7/25</t>
  </si>
  <si>
    <t>Cấn Thị Khánh</t>
  </si>
  <si>
    <t>THPT Ngọc Tảo, Hà Nội</t>
  </si>
  <si>
    <t>Quản trị Kinh Doanh</t>
  </si>
  <si>
    <t>001199005706</t>
  </si>
  <si>
    <t>Phúc Thọ</t>
  </si>
  <si>
    <t>Thôn 4. Phựng Thương, Phúc Thọ, Hà Nội</t>
  </si>
  <si>
    <t>0964003506</t>
  </si>
  <si>
    <t>Nghiêm Khánh</t>
  </si>
  <si>
    <t>THPT Yên Lãng, Hà Nội</t>
  </si>
  <si>
    <t>Tài chính - ngân hàng</t>
  </si>
  <si>
    <t>001300026438</t>
  </si>
  <si>
    <t>Yên Lạc</t>
  </si>
  <si>
    <t>TT Yên Lạc, Vĩnh Phúc</t>
  </si>
  <si>
    <t>0328238868</t>
  </si>
  <si>
    <t xml:space="preserve">Tạ Quỳnh </t>
  </si>
  <si>
    <t>8,83</t>
  </si>
  <si>
    <t>THPT Tiên Lữ, Hưng Yên</t>
  </si>
  <si>
    <t>033307002453</t>
  </si>
  <si>
    <t>Phương Tường, Hoàng Hoa Thám, Tiên Lữ, Hưng Yên</t>
  </si>
  <si>
    <t>0385287715</t>
  </si>
  <si>
    <t>Hà Hà</t>
  </si>
  <si>
    <t>THPT Hoằng Hóa 2</t>
  </si>
  <si>
    <t>038304020604</t>
  </si>
  <si>
    <t>Thanh Hoá</t>
  </si>
  <si>
    <t>Hoàng Hoá</t>
  </si>
  <si>
    <t>Xã Hoằng Trinh, huyện Hoằng Hoá, Tỉnh Thanh Hoá</t>
  </si>
  <si>
    <t>0977303763</t>
  </si>
  <si>
    <t>THPT Đồ Sơn</t>
  </si>
  <si>
    <t>027302000076</t>
  </si>
  <si>
    <t>Đồ Sơn</t>
  </si>
  <si>
    <t>Số 21 ngõa 260,Nguyễn Hữu Cầu, Ngọc Xuyên, Đồ Sơn, Hải Phòng</t>
  </si>
  <si>
    <t>0569281535</t>
  </si>
  <si>
    <t>Thiếu CCCD, Ảnh</t>
  </si>
  <si>
    <t>8,34</t>
  </si>
  <si>
    <t>Võ Quỳnh</t>
  </si>
  <si>
    <t>PT Hermann Gmeiner Vinh - Nghệ An</t>
  </si>
  <si>
    <t>040306010142</t>
  </si>
  <si>
    <t>Số 3, ngõ 60, Nguyễn Duy Trinh, TP Vinh, Nghệ An</t>
  </si>
  <si>
    <t>0986530243</t>
  </si>
  <si>
    <t>Chử Thúy</t>
  </si>
  <si>
    <t>THPT Hồng Quang</t>
  </si>
  <si>
    <t>CN Kế Toán</t>
  </si>
  <si>
    <t>030199001253</t>
  </si>
  <si>
    <t>TP Hải Dương</t>
  </si>
  <si>
    <t>số 126 Chi Lăng, Nguyễn Trãi, TP Hải Dương</t>
  </si>
  <si>
    <t>0345236627</t>
  </si>
  <si>
    <t xml:space="preserve">Văn Toán Sinh </t>
  </si>
  <si>
    <t>THPT Chuyên Bắc ninh</t>
  </si>
  <si>
    <t>027303002187</t>
  </si>
  <si>
    <t>Khu Trần Thạc Lĩnh, TP Bắc Ninh</t>
  </si>
  <si>
    <t>0973061128; 0976783228 - số mẹ</t>
  </si>
  <si>
    <t xml:space="preserve">Lò Thị </t>
  </si>
  <si>
    <t>22,92</t>
  </si>
  <si>
    <t>THPT Công nghiệp- Hòa Bình</t>
  </si>
  <si>
    <t>ĐH Công Nghệ Sinh Học</t>
  </si>
  <si>
    <t>017194006257</t>
  </si>
  <si>
    <t>TDP Chiềng Sại, Mai Châu, Phú Thọ</t>
  </si>
  <si>
    <t>0348459418</t>
  </si>
  <si>
    <t xml:space="preserve">Ngô Thảo </t>
  </si>
  <si>
    <t>THPT Thạch Thành 3</t>
  </si>
  <si>
    <t>035300005382</t>
  </si>
  <si>
    <t>Chí Linh</t>
  </si>
  <si>
    <t>Thị Tứ, Lê Lợi,Chí Linh, Hải Dương</t>
  </si>
  <si>
    <t>0975705659</t>
  </si>
  <si>
    <t>kg HS lưu</t>
  </si>
  <si>
    <t>Út</t>
  </si>
  <si>
    <t xml:space="preserve">Tống Minh </t>
  </si>
  <si>
    <t>Văn Toán TA</t>
  </si>
  <si>
    <t>THPT Chương Mỹ A</t>
  </si>
  <si>
    <t>001306000531</t>
  </si>
  <si>
    <t>Tiên Phương, Chương Mỹ, Hà Nội</t>
  </si>
  <si>
    <t>0366453629</t>
  </si>
  <si>
    <t xml:space="preserve">Nguyễn Diệu </t>
  </si>
  <si>
    <t>THPT chuyên Lương Văn Tụy</t>
  </si>
  <si>
    <t>037302004045</t>
  </si>
  <si>
    <t>SN 25, ngõ 119 Lê Thái Tổ, Phố Khánh Bình, Hoa Lư, Ninh Bình</t>
  </si>
  <si>
    <t>0913536443</t>
  </si>
  <si>
    <t>Vũ Hà</t>
  </si>
  <si>
    <t>THCS&amp;THPT Lương Thế Vinh</t>
  </si>
  <si>
    <t>CN Quản lý công</t>
  </si>
  <si>
    <t>00130201209</t>
  </si>
  <si>
    <t>Thanh Xuân</t>
  </si>
  <si>
    <t>47/64 Phố Phan Đình Giót, P Phương Liệt, TP Hà Nội</t>
  </si>
  <si>
    <t>0967340609</t>
  </si>
  <si>
    <t>THPT Cao Phong, Quảng Bình</t>
  </si>
  <si>
    <t>017302000455</t>
  </si>
  <si>
    <t>Cao Phong</t>
  </si>
  <si>
    <t>Cao Phong, Phú Thọ</t>
  </si>
  <si>
    <t>0947054887</t>
  </si>
  <si>
    <t>24,65</t>
  </si>
  <si>
    <t>THPT Quảng Xương 4</t>
  </si>
  <si>
    <t>CN Quản Trị Kinh Doanh</t>
  </si>
  <si>
    <t>038201011820</t>
  </si>
  <si>
    <t>Thôn Ngọc Lâm, Quảng Thạch, Quảng Xương, Thanh Hóa</t>
  </si>
  <si>
    <t>0986658674</t>
  </si>
  <si>
    <t xml:space="preserve">Phạm Thị Cẩm </t>
  </si>
  <si>
    <t>THPT Nguyễn Khuyến, Hải Phòng</t>
  </si>
  <si>
    <t>031306007224</t>
  </si>
  <si>
    <t>Vĩnh Thịnh</t>
  </si>
  <si>
    <t>Số 16-150 Hoa Bằng, Yên Hòa, Cầu Giấy, Hà Nội</t>
  </si>
  <si>
    <t>0963532150</t>
  </si>
  <si>
    <t>Nguyễn Cẩm</t>
  </si>
  <si>
    <t>THPT Nam Khoái Châu, Hưng Yên</t>
  </si>
  <si>
    <t>033300002819</t>
  </si>
  <si>
    <t>Chí Minh</t>
  </si>
  <si>
    <t>Thôn Tân Hưng, Chí Minh, Hưng Yến</t>
  </si>
  <si>
    <t>0369580239</t>
  </si>
  <si>
    <t xml:space="preserve">Vũ Thị Phương </t>
  </si>
  <si>
    <t xml:space="preserve">Thanh </t>
  </si>
  <si>
    <t>THPT Tô Hiệu, Hải Phòng</t>
  </si>
  <si>
    <t>Bằng CĐ Quản trị khách sạn</t>
  </si>
  <si>
    <t>031301008690</t>
  </si>
  <si>
    <t>Thôn 2, Đông Quan, Dũng Tiến, Vĩnh Bảo, Hải Phòng</t>
  </si>
  <si>
    <t>0989311098</t>
  </si>
  <si>
    <t>Lê Thị Phương</t>
  </si>
  <si>
    <t>CN Quản Trị Nhân Lực</t>
  </si>
  <si>
    <t>001301022065</t>
  </si>
  <si>
    <t>Hoàng Diệu, Chương Mỹ, Hà Nội</t>
  </si>
  <si>
    <t>0972732520</t>
  </si>
  <si>
    <t>22,6</t>
  </si>
  <si>
    <t>THPT Bỉm Sơn, Thanh Hóa</t>
  </si>
  <si>
    <t>038303019973</t>
  </si>
  <si>
    <t>Bỉm Sơn</t>
  </si>
  <si>
    <t>Khu phố 4, Lam Sơn, Bỉm Sơn, Thanh Hóa</t>
  </si>
  <si>
    <t>0944113558</t>
  </si>
  <si>
    <t>THPT Thanh Oai B</t>
  </si>
  <si>
    <t>001197003086</t>
  </si>
  <si>
    <t>0366956695</t>
  </si>
  <si>
    <t>Đỗ Thanh</t>
  </si>
  <si>
    <t>THPT Hoài Đức B</t>
  </si>
  <si>
    <t>001302007036</t>
  </si>
  <si>
    <t>Hoài Đức</t>
  </si>
  <si>
    <t>Số 7, ngách 75/5Thinhj Phát, An Khánh, Hoài Đức, Hà Nội</t>
  </si>
  <si>
    <t>0354098886</t>
  </si>
  <si>
    <t xml:space="preserve">Nguyễn Thị Thùy </t>
  </si>
  <si>
    <t xml:space="preserve">Thương </t>
  </si>
  <si>
    <t xml:space="preserve"> THPT Thái Phúc, Thái Bình</t>
  </si>
  <si>
    <t>034302003444</t>
  </si>
  <si>
    <t>Thôn 9, Vũ Trung, Kiến Xương, Thái Bình</t>
  </si>
  <si>
    <t>0865968645</t>
  </si>
  <si>
    <t>Hoàng Thị Thu</t>
  </si>
  <si>
    <t>Trà</t>
  </si>
  <si>
    <t>THPT Hoà Bình, tỉnh Lạng Sơn</t>
  </si>
  <si>
    <t>020301005028</t>
  </si>
  <si>
    <t>Gia Lộc, Chi Lăng, Lạng Sơn</t>
  </si>
  <si>
    <t>0833198887</t>
  </si>
  <si>
    <t>Chuyển từ trường ra Hà nội ngày 14.7.25</t>
  </si>
  <si>
    <t>Dương Thị Thùy</t>
  </si>
  <si>
    <t>THPT A Kim Bảng</t>
  </si>
  <si>
    <t>035301002738</t>
  </si>
  <si>
    <t>Kim Bảng</t>
  </si>
  <si>
    <t>Điền Xá, Văn Xá, Kim Bảng, Hà Nam</t>
  </si>
  <si>
    <t>0972902630</t>
  </si>
  <si>
    <t>CN Kinh doanh quốc tế</t>
  </si>
  <si>
    <t>001302022555</t>
  </si>
  <si>
    <t>Ngọc Hòa, Chương Mỹ, Hà Nội</t>
  </si>
  <si>
    <t>0363399625</t>
  </si>
  <si>
    <t xml:space="preserve">Phùng Mai </t>
  </si>
  <si>
    <t>8,72</t>
  </si>
  <si>
    <t>THPT Quốc Oai</t>
  </si>
  <si>
    <t>031307047448</t>
  </si>
  <si>
    <t>Quốc Oai</t>
  </si>
  <si>
    <t>DĐội 4, Sơn Trung, Yên Sơn, Quốc Oai, HÀ Nội</t>
  </si>
  <si>
    <t>03843299948</t>
  </si>
  <si>
    <t>22,2</t>
  </si>
  <si>
    <t>THPT Hoằng Hóa 4</t>
  </si>
  <si>
    <t>038307003552</t>
  </si>
  <si>
    <t>0379618625</t>
  </si>
  <si>
    <t>THPT Phụ Dực, Thái Bình</t>
  </si>
  <si>
    <t>034194012573</t>
  </si>
  <si>
    <t>Đồng Bằng</t>
  </si>
  <si>
    <t>Cam Mỹ, Đồng Bằng, Hưng Yên</t>
  </si>
  <si>
    <t>0973250254</t>
  </si>
  <si>
    <t>THPT Cẩm Khê</t>
  </si>
  <si>
    <t>025303002027</t>
  </si>
  <si>
    <t>110 Trần Duy Hưng, Cầu Giấy, Hà Nội</t>
  </si>
  <si>
    <t>0338633219</t>
  </si>
  <si>
    <t xml:space="preserve">Trần Thị Hải </t>
  </si>
  <si>
    <t>THPT Lê Quý Đôn, Hà Đông</t>
  </si>
  <si>
    <t>ĐH Tài chính - ngân hàng</t>
  </si>
  <si>
    <t>001300022238</t>
  </si>
  <si>
    <t>Thôn Duyên Dương, Xuân Dương, Thanh Oai, Hà Nội</t>
  </si>
  <si>
    <t>0335157890</t>
  </si>
  <si>
    <t>ĐHSP Toán học (LK-HN)</t>
  </si>
  <si>
    <t>Bùi Minh</t>
  </si>
  <si>
    <t xml:space="preserve">An </t>
  </si>
  <si>
    <t xml:space="preserve">Kinh </t>
  </si>
  <si>
    <t xml:space="preserve">ĐH Hạ Long </t>
  </si>
  <si>
    <t>034094006543</t>
  </si>
  <si>
    <t>Cô Tô</t>
  </si>
  <si>
    <t xml:space="preserve">Khu 2, đặc khu Cô Tô, Quảng Ninh </t>
  </si>
  <si>
    <t>0902003193</t>
  </si>
  <si>
    <t>Thiếu: bằng THPT, GKS, ảnh</t>
  </si>
  <si>
    <t>Linh Thị</t>
  </si>
  <si>
    <t>Giấy</t>
  </si>
  <si>
    <t xml:space="preserve">CĐSP Hà Giang </t>
  </si>
  <si>
    <t>002196002005</t>
  </si>
  <si>
    <t xml:space="preserve">Hà Giang </t>
  </si>
  <si>
    <t>Mèo Vạc</t>
  </si>
  <si>
    <t xml:space="preserve">Thôn Nà Pinh, Niêm Tòng, Mèo Vạc, Hà Giang </t>
  </si>
  <si>
    <t>0373611111</t>
  </si>
  <si>
    <t>Thiếu ảnh,  ( HB photo)</t>
  </si>
  <si>
    <t xml:space="preserve">Nguyễn Hoàng </t>
  </si>
  <si>
    <t>CĐSP Thái Nguyên</t>
  </si>
  <si>
    <t>040078025436</t>
  </si>
  <si>
    <t>Đại Từ</t>
  </si>
  <si>
    <t>Xóm 7 Vạn Thọ, Đại Từ , Thái Nguyên</t>
  </si>
  <si>
    <t>0984208815</t>
  </si>
  <si>
    <t>Bằng THPT, HB, GKS</t>
  </si>
  <si>
    <t>CĐ Ngô Gia Tự</t>
  </si>
  <si>
    <t>024193004485</t>
  </si>
  <si>
    <t>TT Thắng, Hiệp Hòa, Bắc Giang</t>
  </si>
  <si>
    <t>0374064382</t>
  </si>
  <si>
    <t>Bùi Huy</t>
  </si>
  <si>
    <t>Hoàng</t>
  </si>
  <si>
    <t>ĐH Hạ Long</t>
  </si>
  <si>
    <t>022096005491</t>
  </si>
  <si>
    <t>Tổ 1, Chạp Khê, Nam Khê,TP Uông Bí, Quảng Ninh</t>
  </si>
  <si>
    <t>0388278752</t>
  </si>
  <si>
    <t>Lai Châu</t>
  </si>
  <si>
    <t>011197004798</t>
  </si>
  <si>
    <t>Sáng Nhè</t>
  </si>
  <si>
    <t>Bản Háng Khúa, Sáng Nhè, Điện Biên</t>
  </si>
  <si>
    <t>0378242587</t>
  </si>
  <si>
    <t>Thiếu Học Bạ THPT, ảnh</t>
  </si>
  <si>
    <t>CĐSP Bắc Giang</t>
  </si>
  <si>
    <t>024182019138</t>
  </si>
  <si>
    <t>Hoàng An, Hiệp Hòa, Bắc Giang</t>
  </si>
  <si>
    <t>0365166410</t>
  </si>
  <si>
    <t>Nguyễn Thị Mỹ</t>
  </si>
  <si>
    <t>SP Toán học</t>
  </si>
  <si>
    <t>6,85</t>
  </si>
  <si>
    <t>CĐSP Thái Bình</t>
  </si>
  <si>
    <t>034194011288</t>
  </si>
  <si>
    <t>Thông Thống Nhất, Tây Sơn, Kiến Xương, Thái Bình</t>
  </si>
  <si>
    <t>0982516721</t>
  </si>
  <si>
    <t xml:space="preserve">Trần Bình </t>
  </si>
  <si>
    <t>001196000040</t>
  </si>
  <si>
    <t xml:space="preserve">Hoàng Mai </t>
  </si>
  <si>
    <t>55B ngõ 260 Tân Mai, Hoàng Mai, Hà Nội</t>
  </si>
  <si>
    <t>0392691569</t>
  </si>
  <si>
    <t>SP Toán - Hóa</t>
  </si>
  <si>
    <t>Tuyên Quang</t>
  </si>
  <si>
    <t>CĐ SP Hà Giang</t>
  </si>
  <si>
    <t>008096004832</t>
  </si>
  <si>
    <t>Việt Lâm</t>
  </si>
  <si>
    <t>Lùng Sinh, Việt Lâm, Tuyên Quang</t>
  </si>
  <si>
    <t>0968207689</t>
  </si>
  <si>
    <t>Đoàn Đức</t>
  </si>
  <si>
    <t>SP Toán Lý</t>
  </si>
  <si>
    <t>033091015605</t>
  </si>
  <si>
    <t>Phố Hiến</t>
  </si>
  <si>
    <t>260Lee Văn Lương, Phố Hiến, Hưng Yên</t>
  </si>
  <si>
    <t>0382392505</t>
  </si>
  <si>
    <t>Trương Thị Mỹ</t>
  </si>
  <si>
    <t>Sư Phạm Vật Lý</t>
  </si>
  <si>
    <t>7,82</t>
  </si>
  <si>
    <t>3,22</t>
  </si>
  <si>
    <t>033194008562</t>
  </si>
  <si>
    <t>Trai Trang, Yên Mỹ, Hưng Yên</t>
  </si>
  <si>
    <t>0358947398</t>
  </si>
  <si>
    <t>Phương VP</t>
  </si>
  <si>
    <t>7,32</t>
  </si>
  <si>
    <t>030302000167</t>
  </si>
  <si>
    <t>Kinh Môn</t>
  </si>
  <si>
    <t>KDC Nam Hà, P. Hiến Thành, Kinh Môn, Hải Dương</t>
  </si>
  <si>
    <t>0869199256</t>
  </si>
  <si>
    <t>Sư phạm Sinh</t>
  </si>
  <si>
    <t>001189015986</t>
  </si>
  <si>
    <t>Tòng Bạt, Ba Vì, Hà Nội</t>
  </si>
  <si>
    <t>0975171689</t>
  </si>
  <si>
    <t>Có Lưu MM</t>
  </si>
  <si>
    <t>Vinh VP</t>
  </si>
  <si>
    <t xml:space="preserve">Nguyễn Thị Thanh </t>
  </si>
  <si>
    <t xml:space="preserve">Hải </t>
  </si>
  <si>
    <t>SP Sinh - KTNN</t>
  </si>
  <si>
    <t xml:space="preserve">khá </t>
  </si>
  <si>
    <t>024183001821</t>
  </si>
  <si>
    <t>Yên Dũng</t>
  </si>
  <si>
    <t xml:space="preserve">Thôn Liên Sơn, Tiền Phong, Yên Dũng, Bắc Giang </t>
  </si>
  <si>
    <t>0972606295</t>
  </si>
  <si>
    <t xml:space="preserve"> QĐ biên chế thay XNKN)</t>
  </si>
  <si>
    <t>001195024290</t>
  </si>
  <si>
    <t>Đan Thê, Bất Bạt, Ba Vì, Hà Nội</t>
  </si>
  <si>
    <t>0327775560</t>
  </si>
  <si>
    <t>Nguyễn Thị Kim</t>
  </si>
  <si>
    <t>CN SP Vật Lý</t>
  </si>
  <si>
    <t>001191039773</t>
  </si>
  <si>
    <t>Phù Long 1, Long Xuyên, Phúc Thọ , HÀ Nội</t>
  </si>
  <si>
    <t>Phiên</t>
  </si>
  <si>
    <t>CN SP tin học</t>
  </si>
  <si>
    <t>VHVL</t>
  </si>
  <si>
    <t>036190001177</t>
  </si>
  <si>
    <t>Đồng Thịnh</t>
  </si>
  <si>
    <t>Bình Thịnh, Đồng Thịnh, Ninh Bình</t>
  </si>
  <si>
    <t>0988955201</t>
  </si>
  <si>
    <t>Nguyễn Quỳnh</t>
  </si>
  <si>
    <t>001303014555</t>
  </si>
  <si>
    <t>Thôn Đìa, Nam Hồng, Đông Anh, Hà Nội</t>
  </si>
  <si>
    <t>0889590423</t>
  </si>
  <si>
    <t>Sư phạm Mầm Non</t>
  </si>
  <si>
    <t>CĐ Điều Dưỡng</t>
  </si>
  <si>
    <t>038188021115</t>
  </si>
  <si>
    <t>Tổ 3 Khu 7B Hồng Hải, Hạ Long, Quảng Ninh</t>
  </si>
  <si>
    <t>0967360228</t>
  </si>
  <si>
    <t>Thiếu Đơn</t>
  </si>
  <si>
    <t>Lưu BĐ CĐ- kg có BĐ TC</t>
  </si>
  <si>
    <t>Nhung. TCTN</t>
  </si>
  <si>
    <t>Dương Thị Lan</t>
  </si>
  <si>
    <t>24,63</t>
  </si>
  <si>
    <t>001199028748</t>
  </si>
  <si>
    <t>Hoàng Văn Thụ, Dương Nội, Hà Đông, Hà Nội</t>
  </si>
  <si>
    <t>0978113219</t>
  </si>
  <si>
    <t>25,33</t>
  </si>
  <si>
    <t>THPT Hoài Đức A, Hà Nội</t>
  </si>
  <si>
    <t>ĐH Y tế cộng đồng</t>
  </si>
  <si>
    <t>001300021728</t>
  </si>
  <si>
    <t>Thôn Ải, Di Trạch, Hoài Đức, Hà Nội</t>
  </si>
  <si>
    <t>0963883051</t>
  </si>
  <si>
    <t>Vũ Thị Lan</t>
  </si>
  <si>
    <t>THPT Chuyên Nguyễn Huệ</t>
  </si>
  <si>
    <t>001199028431</t>
  </si>
  <si>
    <t>Số 8, ngõ Cậy, Tổ 10, Đồng Mai, Hà Đông, Hà Nội</t>
  </si>
  <si>
    <t>0359817851</t>
  </si>
  <si>
    <t>THPT Thanh Hà, Hải Dương</t>
  </si>
  <si>
    <t>030303011348</t>
  </si>
  <si>
    <t>An Lão, Thanh Khê, Thanh Hà, Hải Dương</t>
  </si>
  <si>
    <t>0912153704</t>
  </si>
  <si>
    <t>Kg có HS lưu</t>
  </si>
  <si>
    <t xml:space="preserve">Đinh Phú </t>
  </si>
  <si>
    <t>27,37</t>
  </si>
  <si>
    <t>THPT A Phủ lý</t>
  </si>
  <si>
    <t>Kỹ thuật ô tô</t>
  </si>
  <si>
    <t>035200005666</t>
  </si>
  <si>
    <t>Phú Lý</t>
  </si>
  <si>
    <t>Thôn 4, Tái Kênh, Phủ Lý, Hà Nam</t>
  </si>
  <si>
    <t>0326830106</t>
  </si>
  <si>
    <t>Toán lý hóa</t>
  </si>
  <si>
    <t>23,37</t>
  </si>
  <si>
    <t>THPT An Lão, Hải Phòng</t>
  </si>
  <si>
    <t>TC- NH</t>
  </si>
  <si>
    <t>031301002408</t>
  </si>
  <si>
    <t>An Lão</t>
  </si>
  <si>
    <t>Thôn Đại trang, Bát Trang, An Lão, Hải Phòng</t>
  </si>
  <si>
    <t>0867082724</t>
  </si>
  <si>
    <t>Trung</t>
  </si>
  <si>
    <t>Lê Thị Đắc</t>
  </si>
  <si>
    <t>Cầu</t>
  </si>
  <si>
    <t>26,3</t>
  </si>
  <si>
    <t>THPT Nguyễn Du, Thanh Oai</t>
  </si>
  <si>
    <t>001300028940</t>
  </si>
  <si>
    <t>Liên Tân, Thanh Oai, Hà Nội</t>
  </si>
  <si>
    <t>0964156917</t>
  </si>
  <si>
    <t>Nguyễn Tiến</t>
  </si>
  <si>
    <t>Đạt</t>
  </si>
  <si>
    <t>giỏi</t>
  </si>
  <si>
    <t>THPT chuyên Nguyễn Tất Thành- Yên Bái</t>
  </si>
  <si>
    <t>CN Kinh tế Nông nghiệp</t>
  </si>
  <si>
    <t>015201004596</t>
  </si>
  <si>
    <t>Tổ 1, Phường Yên Bái, tỉnh Lào Cai</t>
  </si>
  <si>
    <t>0389012001</t>
  </si>
  <si>
    <t>Nguyễn Hoàng</t>
  </si>
  <si>
    <t>Toán Lí Hóa</t>
  </si>
  <si>
    <t>26,7</t>
  </si>
  <si>
    <t>THPT Lục Nam</t>
  </si>
  <si>
    <t>ĐH Kỹ thuật nhiệt</t>
  </si>
  <si>
    <t>024202012316</t>
  </si>
  <si>
    <t>Lục Nam</t>
  </si>
  <si>
    <t>Thị Tứ, Bảo sơn, Lục Nam, Bắc Giang</t>
  </si>
  <si>
    <t>0333978576</t>
  </si>
  <si>
    <t>24,4</t>
  </si>
  <si>
    <t>THPT Hàn Thuyên, Bắc Ninh</t>
  </si>
  <si>
    <t>Kế Toán</t>
  </si>
  <si>
    <t>027302010952</t>
  </si>
  <si>
    <t>TP. Bắc Ninh</t>
  </si>
  <si>
    <t>51 Bất Chi Ly, Đáp Cầu, TP Bắc Ninh, Bắc Ninh</t>
  </si>
  <si>
    <t>0358283784</t>
  </si>
  <si>
    <t>Nam VP</t>
  </si>
  <si>
    <t>Nguyễn Thị Nhân</t>
  </si>
  <si>
    <t>Hậu</t>
  </si>
  <si>
    <t>THPT Đan Phượng</t>
  </si>
  <si>
    <t>CN Thống kê kinh tế</t>
  </si>
  <si>
    <t>001302013151</t>
  </si>
  <si>
    <t>Đan Phượng</t>
  </si>
  <si>
    <t>Số 15/29/131, Phượng Trì, TT Phùng, Đan Phượng, Hà Nội</t>
  </si>
  <si>
    <t>0966331813</t>
  </si>
  <si>
    <t>2,73</t>
  </si>
  <si>
    <t>THPT Chuyên Thái bình</t>
  </si>
  <si>
    <t>Kinh Tế ( TMQT)</t>
  </si>
  <si>
    <t>034190000930</t>
  </si>
  <si>
    <t xml:space="preserve"> A19 KĐG Ngô Thì Nhậm, Hà Cầu, Hà Đồng, Hà Nội</t>
  </si>
  <si>
    <t>0965029446</t>
  </si>
  <si>
    <t xml:space="preserve">Quảng Ninh </t>
  </si>
  <si>
    <t>THPT Hà Đông</t>
  </si>
  <si>
    <t xml:space="preserve">CN H.thống t.tin quản lý </t>
  </si>
  <si>
    <t>022301000485</t>
  </si>
  <si>
    <t xml:space="preserve">Thanh Nghị </t>
  </si>
  <si>
    <t>207 Hoàng Lộc - Phường Lê Thanh Nghị - Thành Phố Hải Dương</t>
  </si>
  <si>
    <t>0584226754</t>
  </si>
  <si>
    <t>28,39</t>
  </si>
  <si>
    <t>THPT Hoài Đức B, Hà Nội</t>
  </si>
  <si>
    <t>TCNH</t>
  </si>
  <si>
    <t>001191010153</t>
  </si>
  <si>
    <t>An Khánh</t>
  </si>
  <si>
    <t xml:space="preserve">Thôn An Hạ, An Khánh, Hà Nội </t>
  </si>
  <si>
    <t>0934341275</t>
  </si>
  <si>
    <t>Vũ Thu</t>
  </si>
  <si>
    <t>THPT Nguyễn Văn Cừ</t>
  </si>
  <si>
    <t>030303001939</t>
  </si>
  <si>
    <t>TP. Hải Dương</t>
  </si>
  <si>
    <t>Số 57 Lý Quốc Bảo, Khu 4, Phường Hải Dương,  Hải Dương</t>
  </si>
  <si>
    <t>0382612081</t>
  </si>
  <si>
    <t>031302005400</t>
  </si>
  <si>
    <t>An Tiến, An Lão, Hải Phòng</t>
  </si>
  <si>
    <t>0902049951</t>
  </si>
  <si>
    <t xml:space="preserve">Lê Công </t>
  </si>
  <si>
    <t>Khiêm</t>
  </si>
  <si>
    <t>THPT Bắc Đông Quan</t>
  </si>
  <si>
    <t>CN Sinh học</t>
  </si>
  <si>
    <t>034085010109</t>
  </si>
  <si>
    <t>Đông Hưng</t>
  </si>
  <si>
    <t>Đông Phương, Đông Hưng, Thái Bình</t>
  </si>
  <si>
    <t>0985936628</t>
  </si>
  <si>
    <t>22,79</t>
  </si>
  <si>
    <t>THPT Chúc Động, Hà Nội</t>
  </si>
  <si>
    <t>001303025520</t>
  </si>
  <si>
    <t>Số 84, tổ 15 Hòa Bình Yên Nghĩa, Hà Đông, Hà Nội</t>
  </si>
  <si>
    <t>0888931369</t>
  </si>
  <si>
    <t>Minh VP</t>
  </si>
  <si>
    <t>9,3</t>
  </si>
  <si>
    <t>27,56</t>
  </si>
  <si>
    <t>038303007832</t>
  </si>
  <si>
    <t>Phường Hạc Thành, tỉnh Thanh Hóa</t>
  </si>
  <si>
    <t>0384192003</t>
  </si>
  <si>
    <t>CCCD, GKS công chứng</t>
  </si>
  <si>
    <t>A. Lê Minh Hiền</t>
  </si>
  <si>
    <t>Dương Văn</t>
  </si>
  <si>
    <t>27,43</t>
  </si>
  <si>
    <t>THPT Chuyên Hưng Yên</t>
  </si>
  <si>
    <t>Kỹ thuật vật liệu</t>
  </si>
  <si>
    <t>033201000920</t>
  </si>
  <si>
    <t>Hồng Châu</t>
  </si>
  <si>
    <t>Đội 2, Thôn 1, Hồng Châu, Hưng Yên</t>
  </si>
  <si>
    <t>0398556704</t>
  </si>
  <si>
    <t>28,2</t>
  </si>
  <si>
    <t>THPT Lê Hoàn, Thanh Hóa</t>
  </si>
  <si>
    <t>Khoa học máy tính</t>
  </si>
  <si>
    <t>038202018772</t>
  </si>
  <si>
    <t>Phú Hậu 1, Trường Xuân, Thọ Xuân, Thanh Hóa</t>
  </si>
  <si>
    <t>0379397905</t>
  </si>
  <si>
    <t xml:space="preserve">Trần Ngọc </t>
  </si>
  <si>
    <t>THPT chuyên Hạ Long</t>
  </si>
  <si>
    <t>022091001752</t>
  </si>
  <si>
    <t>Tổ 3A khu 2, Yết Kiêu, TP Hạ Long, Quảng Ninh</t>
  </si>
  <si>
    <t>0904288466</t>
  </si>
  <si>
    <t xml:space="preserve">Đinh Thị Vân </t>
  </si>
  <si>
    <t>Toán lý tin</t>
  </si>
  <si>
    <t>Đà Nẵng</t>
  </si>
  <si>
    <t>THPT Ngũ Hành Sơn</t>
  </si>
  <si>
    <t>048303001599</t>
  </si>
  <si>
    <t>Đã Nẵng</t>
  </si>
  <si>
    <t>TP Đà Nẵng</t>
  </si>
  <si>
    <t>35/K244 Trần Đại Nghĩa, Ngũ Hành Sơn, Đà Nẵng</t>
  </si>
  <si>
    <t>0898855410</t>
  </si>
  <si>
    <t>Lưu Thị</t>
  </si>
  <si>
    <t>THPT chuyên Bắc Ninh</t>
  </si>
  <si>
    <t>CN Kinh tế đối ngoại</t>
  </si>
  <si>
    <t>027302005942</t>
  </si>
  <si>
    <t>Băc Ninh</t>
  </si>
  <si>
    <t>Từ Sơn</t>
  </si>
  <si>
    <t>Khu Phố Đa Hội, Châu Khê, Từ Sơn, Bắc Ninh</t>
  </si>
  <si>
    <t>0936957902</t>
  </si>
  <si>
    <t xml:space="preserve">Trần Hồng </t>
  </si>
  <si>
    <t>Bằng + học bạ lớp 12 Giỏi, 11 Giỏi,12 Giỏi</t>
  </si>
  <si>
    <t>026202001051</t>
  </si>
  <si>
    <t>Hoàng Xã, Vĩnh Thinh, Vĩnh Tường, Vĩnh Phúc</t>
  </si>
  <si>
    <t>0327741416</t>
  </si>
  <si>
    <t xml:space="preserve"> </t>
  </si>
  <si>
    <t xml:space="preserve">Lê Hồng </t>
  </si>
  <si>
    <t>THPT Kim Liên</t>
  </si>
  <si>
    <t>Kinh Tế</t>
  </si>
  <si>
    <t>001201009048</t>
  </si>
  <si>
    <t>Minh Khai, Vĩnh Tuy, Hai Bà Trưng, Hà Nội</t>
  </si>
  <si>
    <t>0934538762</t>
  </si>
  <si>
    <t>Phạm Quốc</t>
  </si>
  <si>
    <t>Toản</t>
  </si>
  <si>
    <t>Công nghệ kỹ thuật cơ khí</t>
  </si>
  <si>
    <t>001099030457</t>
  </si>
  <si>
    <t>Đại Thịnh, Mê Linh, Hà Nội</t>
  </si>
  <si>
    <t>0869797985</t>
  </si>
  <si>
    <t>THPT Yên Định 1</t>
  </si>
  <si>
    <t>038301015504</t>
  </si>
  <si>
    <t>Số 81, ngách 71, ngõ 197 Hoàng Văn Thụ, Hoàng Mai, Hà Nội</t>
  </si>
  <si>
    <t>0816871686</t>
  </si>
  <si>
    <t xml:space="preserve">Phùng Thị </t>
  </si>
  <si>
    <t>THPT Mỹ Đức B</t>
  </si>
  <si>
    <t>001301032496</t>
  </si>
  <si>
    <t>Thôn Trê, Tuy Lai , Mỹ Đức, Hà Nội</t>
  </si>
  <si>
    <t>0981098582</t>
  </si>
  <si>
    <t>Thế</t>
  </si>
  <si>
    <t>KS Điện Tự động hóa</t>
  </si>
  <si>
    <t>038080006927</t>
  </si>
  <si>
    <t>Số 31, ngõ 9 Võ Chí Công, Nghĩa Đô, Cầu Giấy, hà nội</t>
  </si>
  <si>
    <t>0936536216</t>
  </si>
  <si>
    <t>THPT Văn Lâm</t>
  </si>
  <si>
    <t>033301001547</t>
  </si>
  <si>
    <t>Văn Lâm</t>
  </si>
  <si>
    <t>Hoàng Nha, Minh Hải, Văn Lâm , Hưng Yên</t>
  </si>
  <si>
    <t>0981755796</t>
  </si>
  <si>
    <t>027300002781</t>
  </si>
  <si>
    <t>Gia Bình</t>
  </si>
  <si>
    <t>Du Tràng, Giang Sơn, Gia Bình, Bắc Ninh</t>
  </si>
  <si>
    <t>0359918031</t>
  </si>
  <si>
    <t>SP GDCD - Địa</t>
  </si>
  <si>
    <t>031181001576</t>
  </si>
  <si>
    <t>Thuỷ Nguyên</t>
  </si>
  <si>
    <t>Tam Hưng, Thuỷ Nguyên, Hải Phòng</t>
  </si>
  <si>
    <t>0988218012</t>
  </si>
  <si>
    <t>học bạ THPT, thiếu ảnh</t>
  </si>
  <si>
    <t>ĐHSP Tiếng Anh (LK-HN)</t>
  </si>
  <si>
    <t>Nông Thị</t>
  </si>
  <si>
    <t>Hường</t>
  </si>
  <si>
    <t>SP Âm Nhạc</t>
  </si>
  <si>
    <t>Bắc cạn</t>
  </si>
  <si>
    <t>TC SP Âm nhạc</t>
  </si>
  <si>
    <t>006188000768</t>
  </si>
  <si>
    <t>Bắc Cạn</t>
  </si>
  <si>
    <t>Ba Bể</t>
  </si>
  <si>
    <t>Bản Mới, Hà Hiệu , Ba Bể, Bắc Cạn</t>
  </si>
  <si>
    <t>0975589596</t>
  </si>
  <si>
    <t>Lưu Bằng , BĐ TC, CĐ</t>
  </si>
  <si>
    <t xml:space="preserve">Hoàng Thị   </t>
  </si>
  <si>
    <t>Mừng</t>
  </si>
  <si>
    <t>CĐSP Lạng Sơn</t>
  </si>
  <si>
    <t>020192009222</t>
  </si>
  <si>
    <t>Cao Lộc</t>
  </si>
  <si>
    <t>Tân Cương, Xuất Lễ, Cao Lộc, Lạng Sơn</t>
  </si>
  <si>
    <t>0335345084</t>
  </si>
  <si>
    <t>CĐSP Vĩnh Phúc</t>
  </si>
  <si>
    <t>TCMN</t>
  </si>
  <si>
    <t>001196000585</t>
  </si>
  <si>
    <t>Phúc Diễn, Bắc Từ Liêm, Hà Nội</t>
  </si>
  <si>
    <t>0338246490</t>
  </si>
  <si>
    <t xml:space="preserve">Vũ Thị Hải </t>
  </si>
  <si>
    <t>ĐH GD Mầm Non</t>
  </si>
  <si>
    <t>036194003806</t>
  </si>
  <si>
    <t>Ý Yên</t>
  </si>
  <si>
    <t>Vĩnh Yên, Yên Phúc, Ý Yên, Nam Định</t>
  </si>
  <si>
    <t>0989348471</t>
  </si>
  <si>
    <t xml:space="preserve">  Bằng và HBa THPT, XNCT</t>
  </si>
  <si>
    <t xml:space="preserve">Khương Thị </t>
  </si>
  <si>
    <t xml:space="preserve">Sư Phạm Sinh Học </t>
  </si>
  <si>
    <t>Trường Đại Học Hồng Đức</t>
  </si>
  <si>
    <t>038189031985</t>
  </si>
  <si>
    <t xml:space="preserve">Vĩnh Lộc </t>
  </si>
  <si>
    <t>Vĩnh Long - Vĩnh Lộc - Thanh Hóa</t>
  </si>
  <si>
    <t>0976142196</t>
  </si>
  <si>
    <t>Cao Thị Thanh</t>
  </si>
  <si>
    <t>001196010973</t>
  </si>
  <si>
    <t>Văn Khê, Mê Linh, Hà Nội</t>
  </si>
  <si>
    <t>0971639046</t>
  </si>
  <si>
    <t xml:space="preserve">Vũ Thị </t>
  </si>
  <si>
    <t xml:space="preserve">TC Mầm non </t>
  </si>
  <si>
    <t>022190008301</t>
  </si>
  <si>
    <t>Đông Triều</t>
  </si>
  <si>
    <t>SN 11, thôn tân lập, phường Hoàng Quế, Quảng Ninh</t>
  </si>
  <si>
    <t>0869935190</t>
  </si>
  <si>
    <t>001199011347</t>
  </si>
  <si>
    <t>SN 25, Đồng Đảng, Lập Trí, Minh Trí, Sóc Sơn, Hà Nội</t>
  </si>
  <si>
    <t>0329092168</t>
  </si>
  <si>
    <t xml:space="preserve">Trương Thị </t>
  </si>
  <si>
    <t>Nhâm</t>
  </si>
  <si>
    <t>030194015381</t>
  </si>
  <si>
    <t>Hiến Thành, Kinh Môn, Hải Dương</t>
  </si>
  <si>
    <t>0989154970</t>
  </si>
  <si>
    <t>Lưu 1 bộ</t>
  </si>
  <si>
    <t xml:space="preserve">Vũ Thị Hồng </t>
  </si>
  <si>
    <t xml:space="preserve">Nhung </t>
  </si>
  <si>
    <t>ĐHSP Thái Nguyên</t>
  </si>
  <si>
    <t>03019319876</t>
  </si>
  <si>
    <t>Tân Hưng, Vĩnh Bảo,Hải Phòng</t>
  </si>
  <si>
    <t>0943918226</t>
  </si>
  <si>
    <t>Thiếu bằng THPT, HB</t>
  </si>
  <si>
    <t>Trần Thị Ánh</t>
  </si>
  <si>
    <t>036188007569</t>
  </si>
  <si>
    <t>Trực Ninh</t>
  </si>
  <si>
    <t>SN 36B,TT Cổ Lễ, Trực Ninh. Nam Định</t>
  </si>
  <si>
    <t>0372798789</t>
  </si>
  <si>
    <t>Đào Thùy</t>
  </si>
  <si>
    <t>Bằng</t>
  </si>
  <si>
    <t>027191005918</t>
  </si>
  <si>
    <t>Hương Triện, Nhân Thắng, Gia Bình, Bắc Ninh</t>
  </si>
  <si>
    <t>0978063475</t>
  </si>
  <si>
    <t>thiếu học bạ THPT</t>
  </si>
  <si>
    <t>Ma Thị Hương</t>
  </si>
  <si>
    <t>Điệp</t>
  </si>
  <si>
    <t>CĐ Tuyên Quang</t>
  </si>
  <si>
    <t>008193006826</t>
  </si>
  <si>
    <t>Chiêm Hóa</t>
  </si>
  <si>
    <t>Thôn Tân Hoa, xã Tân An, huyện Chiêm Hóa, tỉnh Tuyên Quang</t>
  </si>
  <si>
    <t>0345651665</t>
  </si>
  <si>
    <t xml:space="preserve">Toán Văn Anh </t>
  </si>
  <si>
    <t>THPT Nguyễn Trãi - Thường Tín HN</t>
  </si>
  <si>
    <t>001305053706</t>
  </si>
  <si>
    <t>Thường Tín</t>
  </si>
  <si>
    <t>Liễu Ngoại, Khánh Hà, Thường Tín, Hà Nội</t>
  </si>
  <si>
    <t>0353202691</t>
  </si>
  <si>
    <t>Đặng Quỳnh</t>
  </si>
  <si>
    <t>24,93</t>
  </si>
  <si>
    <t>037301004759</t>
  </si>
  <si>
    <t>Gia Viễn</t>
  </si>
  <si>
    <t>Tân Thịnh, Tân Thành, Ninh Bình</t>
  </si>
  <si>
    <t>0945861257</t>
  </si>
  <si>
    <t>Nguyễn Thị Thùy</t>
  </si>
  <si>
    <t>8,58</t>
  </si>
  <si>
    <t>3,75</t>
  </si>
  <si>
    <t>26,07</t>
  </si>
  <si>
    <t>THPT Minh Phú, Hà Nội</t>
  </si>
  <si>
    <t>Kinh Doanh Quốc tế</t>
  </si>
  <si>
    <t>001303042466</t>
  </si>
  <si>
    <t>Phú Thịnh, Kim Anh, TP Hà Nội</t>
  </si>
  <si>
    <t>0349258544</t>
  </si>
  <si>
    <t>Cố HS Lưu MM</t>
  </si>
  <si>
    <t>Vũ Hương</t>
  </si>
  <si>
    <t>THPT Tiên Lữ, tỉnh Hưng Yên</t>
  </si>
  <si>
    <t>03330500388</t>
  </si>
  <si>
    <t>Triều Dương, Hải Thắng, Tiên Lữ, Hưng Yên</t>
  </si>
  <si>
    <t>0867893350</t>
  </si>
  <si>
    <t>Vũ Thị Mai</t>
  </si>
  <si>
    <t>24,5</t>
  </si>
  <si>
    <t>THPT Chuyên Lương Văn Tự</t>
  </si>
  <si>
    <t>037301002407</t>
  </si>
  <si>
    <t>Ninh Khánh. TP Ninh Bình, Ninh Bình</t>
  </si>
  <si>
    <t>0943599588</t>
  </si>
  <si>
    <t>Toán Anh Sử</t>
  </si>
  <si>
    <t>THPT C Hải Hậu</t>
  </si>
  <si>
    <t xml:space="preserve">Kỹ thuật sinh học </t>
  </si>
  <si>
    <t>036198003410</t>
  </si>
  <si>
    <t>Xóm 10, Hải Lộc, Hải Hậu, Nam Định</t>
  </si>
  <si>
    <t>0358466565</t>
  </si>
  <si>
    <t xml:space="preserve">Nguyễn Thị Hồng </t>
  </si>
  <si>
    <t>Toán Anh Lý</t>
  </si>
  <si>
    <t>THPT Nguyễn Đăng Đạo</t>
  </si>
  <si>
    <t>ĐH QT KD</t>
  </si>
  <si>
    <t>027197008467</t>
  </si>
  <si>
    <t>Tiên Du</t>
  </si>
  <si>
    <t>Thôn Đình Cả, Nội Duệ, Tiên Du, Bắc Ninh</t>
  </si>
  <si>
    <t>0975947382</t>
  </si>
  <si>
    <t xml:space="preserve">Trịnh Khánh </t>
  </si>
  <si>
    <t xml:space="preserve">Toán Anh Địa </t>
  </si>
  <si>
    <t xml:space="preserve">NN Anh </t>
  </si>
  <si>
    <t>001302022338</t>
  </si>
  <si>
    <t xml:space="preserve">Chương Mỹ </t>
  </si>
  <si>
    <t>Thôn 1, Quảng Bị, Chương Mỹ, Hà Nội</t>
  </si>
  <si>
    <t>0374540366</t>
  </si>
  <si>
    <t xml:space="preserve">Nguyễn Thế Hoàng </t>
  </si>
  <si>
    <t>23,83</t>
  </si>
  <si>
    <t>THPT Mê Linh - Hà Nội</t>
  </si>
  <si>
    <t>001207039781</t>
  </si>
  <si>
    <t>Đường Bạch Đằng, KĐT Hùng Vương, Phúc Yên, Phú Thọ</t>
  </si>
  <si>
    <t>0985186588</t>
  </si>
  <si>
    <t>Nguyễn Hương</t>
  </si>
  <si>
    <t>THPT Nho Quan A, Ninh Bình</t>
  </si>
  <si>
    <t xml:space="preserve">Ngôn Ngữ Trung Quốc </t>
  </si>
  <si>
    <t>037301001466</t>
  </si>
  <si>
    <t>Thôn Hội Tiến 2 - Xã Quỳnh Lưu - Huyện Nho Quan - Tỉnh Ninh Bình</t>
  </si>
  <si>
    <t>0362627735</t>
  </si>
  <si>
    <t>THPT Mê Linh, Hà Nội</t>
  </si>
  <si>
    <t>001301036919</t>
  </si>
  <si>
    <t xml:space="preserve">Phúc Yên </t>
  </si>
  <si>
    <t>Đường Bạch Đằng KĐT Hùng Vương, Phúc Yên, Vĩnh Phúc</t>
  </si>
  <si>
    <t>0982635866</t>
  </si>
  <si>
    <t>Lưu 1 bộ đủ</t>
  </si>
  <si>
    <t xml:space="preserve">Phượng </t>
  </si>
  <si>
    <t xml:space="preserve">Dược </t>
  </si>
  <si>
    <t>027300011012</t>
  </si>
  <si>
    <t xml:space="preserve">Phố Chợ Sơn - Việt Đoàn - Tiên Du - Bắc Ninh </t>
  </si>
  <si>
    <t>0916783668</t>
  </si>
  <si>
    <t>THPT Hàn Thuyên</t>
  </si>
  <si>
    <t>027196000662</t>
  </si>
  <si>
    <t>Số 5 Dẫy B1 - TT Z176 - Gia Lâm, Hà Nội</t>
  </si>
  <si>
    <t>0911024849</t>
  </si>
  <si>
    <t>ĐHGD Thể chất (LK-HN)</t>
  </si>
  <si>
    <t xml:space="preserve">La Trần </t>
  </si>
  <si>
    <t>GD Thể chất</t>
  </si>
  <si>
    <t>002091002207</t>
  </si>
  <si>
    <t>Bắc Mê</t>
  </si>
  <si>
    <t>Pom Cút, Đường Âm, Bắc Mê, Hà Giang</t>
  </si>
  <si>
    <t>0987050232</t>
  </si>
  <si>
    <t xml:space="preserve">Phạm Thùy </t>
  </si>
  <si>
    <t>5,96</t>
  </si>
  <si>
    <t>022188009172</t>
  </si>
  <si>
    <t>Yên Đức, Đông Triều , Quảng Ninh</t>
  </si>
  <si>
    <t>0364522625</t>
  </si>
  <si>
    <t xml:space="preserve">Thiếu Bảng điểm  VB1, </t>
  </si>
  <si>
    <t>Phan Qúy</t>
  </si>
  <si>
    <t>Quyền</t>
  </si>
  <si>
    <t>6,91</t>
  </si>
  <si>
    <t>033084006923</t>
  </si>
  <si>
    <t>Việt Tiến</t>
  </si>
  <si>
    <t>Yên Trung, Việt Tiến, Hưng Yên</t>
  </si>
  <si>
    <t>0988916026</t>
  </si>
  <si>
    <t>có HS lưu</t>
  </si>
  <si>
    <t xml:space="preserve">Nguyễn Văn </t>
  </si>
  <si>
    <t>Tới</t>
  </si>
  <si>
    <t xml:space="preserve">ĐH Tân Trào </t>
  </si>
  <si>
    <t>008094006508</t>
  </si>
  <si>
    <t>Yên Sơn</t>
  </si>
  <si>
    <t>Phú Thịnh, Yên Sơn, Tuyên Quang</t>
  </si>
  <si>
    <t>0988225694</t>
  </si>
  <si>
    <t>thiếu Học Bạ , ảnh</t>
  </si>
  <si>
    <t>SP TDTT</t>
  </si>
  <si>
    <t>ĐH SP - ĐH Thái Nguyên</t>
  </si>
  <si>
    <t>036090012220</t>
  </si>
  <si>
    <t>Cát Thành, Trực Ninh, Nam Định</t>
  </si>
  <si>
    <t>0915080393</t>
  </si>
  <si>
    <t>Văn</t>
  </si>
  <si>
    <t>3,66</t>
  </si>
  <si>
    <t>Quảng NInh</t>
  </si>
  <si>
    <t>022085009182</t>
  </si>
  <si>
    <t>Bình Dương, Đông Triều, Quảng Ninh</t>
  </si>
  <si>
    <t>0986127304</t>
  </si>
  <si>
    <t>040190031766</t>
  </si>
  <si>
    <t>Tam Nông</t>
  </si>
  <si>
    <t>243 Bạch Đằng, chương Dương, Hoàn Kiếm, Hà Nội</t>
  </si>
  <si>
    <t>0918432797</t>
  </si>
  <si>
    <t>Thiếu Học bạ, Ảnh</t>
  </si>
  <si>
    <t xml:space="preserve">Hứa Văn </t>
  </si>
  <si>
    <t>Thuyên</t>
  </si>
  <si>
    <t>SP Thể dục công tác đội</t>
  </si>
  <si>
    <t>002084008968</t>
  </si>
  <si>
    <t>Tổ 1, TT Phú Yên, Băc Mê, Hà Giang</t>
  </si>
  <si>
    <t>0844659555</t>
  </si>
  <si>
    <t>THPT Trần Phú</t>
  </si>
  <si>
    <t xml:space="preserve">Liêu Thị </t>
  </si>
  <si>
    <t>SP Ngữ Văn</t>
  </si>
  <si>
    <t>004192005779</t>
  </si>
  <si>
    <t>Hạ Lang</t>
  </si>
  <si>
    <t>Răng Xe, An Lạc, Hạ Lang, Cao Bằng</t>
  </si>
  <si>
    <t>0978367405</t>
  </si>
  <si>
    <t>gửi ngày 03.8.27</t>
  </si>
  <si>
    <t xml:space="preserve">Lê Thu </t>
  </si>
  <si>
    <t>Cúc</t>
  </si>
  <si>
    <t>8.0</t>
  </si>
  <si>
    <t>CĐ Sư Phạm Hà Nội</t>
  </si>
  <si>
    <t>001189038176</t>
  </si>
  <si>
    <t>Thọ Đa, Kim Nỗ, Đông Anh, Hà Nội</t>
  </si>
  <si>
    <t>0374532120</t>
  </si>
  <si>
    <t xml:space="preserve">Phạm Thị Thu </t>
  </si>
  <si>
    <t>3,46</t>
  </si>
  <si>
    <t>027189000047</t>
  </si>
  <si>
    <t>Vĩnh Tuy</t>
  </si>
  <si>
    <t>Tổ 14, Phường Vĩnh Tuy, TP Hà Nội</t>
  </si>
  <si>
    <t>0975050306</t>
  </si>
  <si>
    <t>Văn - Công tác đội</t>
  </si>
  <si>
    <t>001178005763</t>
  </si>
  <si>
    <t>Thôn Cát Thuế, Vân Côn, Hoài Đức, Hà Nội</t>
  </si>
  <si>
    <t>0985660288</t>
  </si>
  <si>
    <t xml:space="preserve">Thảo </t>
  </si>
  <si>
    <t>SP ngữ Văn</t>
  </si>
  <si>
    <t xml:space="preserve">Bắc Giang </t>
  </si>
  <si>
    <t xml:space="preserve">CĐ Ngô Gia Tự </t>
  </si>
  <si>
    <t>024196015884</t>
  </si>
  <si>
    <t xml:space="preserve">Việt Yên </t>
  </si>
  <si>
    <t xml:space="preserve">Khả Lý Hạ, Quảng Minh, Việt Yên, Bắc Giang </t>
  </si>
  <si>
    <t>0862666696</t>
  </si>
  <si>
    <t>Văn - GDCD</t>
  </si>
  <si>
    <t>CĐ Sư Phạm Hà Tây</t>
  </si>
  <si>
    <t>001076010240</t>
  </si>
  <si>
    <t>Áng Hạ, Lê Thanh, Mỹ Đức, Hà Nội</t>
  </si>
  <si>
    <t>0977107780</t>
  </si>
  <si>
    <t>Thiếu  Học Bạ THPT</t>
  </si>
  <si>
    <t>Giáo dục Chính Trị</t>
  </si>
  <si>
    <t>ĐH SP hà Nội</t>
  </si>
  <si>
    <t>Từ Xa</t>
  </si>
  <si>
    <t>001183008733</t>
  </si>
  <si>
    <t>Phú Mỹ, Phú Sơn, Ba Vì, Hà Nội</t>
  </si>
  <si>
    <t>0989336879</t>
  </si>
  <si>
    <t>SP Mầm non</t>
  </si>
  <si>
    <t>022182006769</t>
  </si>
  <si>
    <t>Xuân Phương</t>
  </si>
  <si>
    <t>TDP Số 3, Hòe Thị, Xuân Phương, Hà Nội</t>
  </si>
  <si>
    <t>0934580447</t>
  </si>
  <si>
    <t xml:space="preserve">Đỗ Thị Ngọc </t>
  </si>
  <si>
    <t>030306010789</t>
  </si>
  <si>
    <t>Số 05, Nguyễn Viết Xuân, Sao Đỏ- TP Hải Dương</t>
  </si>
  <si>
    <t>0975223399</t>
  </si>
  <si>
    <t>Thay Đơn, CCCD Pto</t>
  </si>
  <si>
    <t xml:space="preserve">Tạ Minh </t>
  </si>
  <si>
    <t>Văn Sử GDCD</t>
  </si>
  <si>
    <t>THPT Hà Thuyên, Bắc Ninh</t>
  </si>
  <si>
    <t>ĐH Thiết Kế Đồ Họa</t>
  </si>
  <si>
    <t>027300007296</t>
  </si>
  <si>
    <t>202 TT Kinh Đáp Cầu, Khu 1, Kinh Bắc, Bắc Ninh</t>
  </si>
  <si>
    <t>0385588852</t>
  </si>
  <si>
    <t xml:space="preserve">Trịnh Như </t>
  </si>
  <si>
    <t>THCS - THPT Như Thanh</t>
  </si>
  <si>
    <t>038307028479</t>
  </si>
  <si>
    <t>Thôn 2, Du Xuân, Thanh Hóa</t>
  </si>
  <si>
    <t>0975414708</t>
  </si>
  <si>
    <t>THPT Ngô Quyền, Hải Phòng</t>
  </si>
  <si>
    <t>Quan hệ quốc tế</t>
  </si>
  <si>
    <t>031302001419</t>
  </si>
  <si>
    <t>Lê Chân</t>
  </si>
  <si>
    <t>Chợ Con, Lê Chân, Hải Phòng</t>
  </si>
  <si>
    <t>0931572582</t>
  </si>
  <si>
    <t>Toán Văn GDKT PL</t>
  </si>
  <si>
    <t>Văn Toán Hoá</t>
  </si>
  <si>
    <t>21.9</t>
  </si>
  <si>
    <t>Toán Văn GDCD</t>
  </si>
  <si>
    <t>Quản trị DVDL LH</t>
  </si>
  <si>
    <t>20.0</t>
  </si>
  <si>
    <t>23.4</t>
  </si>
  <si>
    <t>Văn Sử Toán</t>
  </si>
  <si>
    <t>Tit</t>
  </si>
  <si>
    <t>mã ngành</t>
  </si>
  <si>
    <t>H0</t>
  </si>
  <si>
    <t>nhận bưu điện ngày 09.6.25</t>
  </si>
  <si>
    <t>Giáo dục thể chất</t>
  </si>
  <si>
    <t xml:space="preserve">SP Toán học </t>
  </si>
  <si>
    <t xml:space="preserve">Sư phạm Toán </t>
  </si>
  <si>
    <t>SP Toán - Lý</t>
  </si>
  <si>
    <t>SP Toán Học</t>
  </si>
  <si>
    <t>SP Toán</t>
  </si>
  <si>
    <t xml:space="preserve">Có Lưu MM </t>
  </si>
  <si>
    <t>Có lưu BĐ, Các CC</t>
  </si>
  <si>
    <t>Diệp HD</t>
  </si>
  <si>
    <t>Có Lưu MM + CC</t>
  </si>
  <si>
    <t>Tâm VP</t>
  </si>
  <si>
    <t>CN Giáo dục Tiểu học</t>
  </si>
  <si>
    <t>Lưu BĐ VB1</t>
  </si>
  <si>
    <t>Thiếu Bằng TN THPT</t>
  </si>
  <si>
    <t>Minh. Hải</t>
  </si>
  <si>
    <t>THPT Chuyên Vĩnh Phúc</t>
  </si>
  <si>
    <t>THPT Mê Linh</t>
  </si>
  <si>
    <t>THPT Lê Văn Thịnh</t>
  </si>
  <si>
    <t>Huyền TCTN</t>
  </si>
  <si>
    <t>Thể</t>
  </si>
  <si>
    <t>HA</t>
  </si>
  <si>
    <t>C Thủy</t>
  </si>
  <si>
    <t xml:space="preserve">Phương VP </t>
  </si>
  <si>
    <t>Lê Văn Cường khoa NLNN</t>
  </si>
  <si>
    <t>Hà Nội (127)</t>
  </si>
  <si>
    <t>Hà Nội (27)</t>
  </si>
  <si>
    <t>H1</t>
  </si>
  <si>
    <t>Tổ hợp môn1</t>
  </si>
  <si>
    <t>Tổng
 điểm
 tổ 
hợp1</t>
  </si>
  <si>
    <t>Sư phạm Công Nghệ</t>
  </si>
  <si>
    <t>ĐHSP Ngữ văn (LK-HN)</t>
  </si>
  <si>
    <t>Hà Nội (49); Phú Thọ (80)</t>
  </si>
  <si>
    <t>Hà Nội (8); Phú Thọ (11)</t>
  </si>
  <si>
    <t>Khoa</t>
  </si>
  <si>
    <t>Giáo dục</t>
  </si>
  <si>
    <t>KHTN</t>
  </si>
  <si>
    <t>KHXH</t>
  </si>
  <si>
    <t>Ngoại ngữ</t>
  </si>
  <si>
    <t>KT-QTKD</t>
  </si>
  <si>
    <t>LLCT-Luật</t>
  </si>
  <si>
    <t>KTCN&amp;TT</t>
  </si>
  <si>
    <t>NLNN</t>
  </si>
  <si>
    <t>Đơn vị 
đào tạo</t>
  </si>
  <si>
    <t>10/04/1986</t>
  </si>
  <si>
    <t>10/10/1995</t>
  </si>
  <si>
    <t>25/10/1998</t>
  </si>
  <si>
    <t>20/10/1995</t>
  </si>
  <si>
    <t>13/11/1996</t>
  </si>
  <si>
    <t>05/11/1999</t>
  </si>
  <si>
    <t>05/08/1999</t>
  </si>
  <si>
    <t>05/01/2000</t>
  </si>
  <si>
    <t>08/01/1993</t>
  </si>
  <si>
    <t>30/08/2001</t>
  </si>
  <si>
    <t>28/08/1997</t>
  </si>
  <si>
    <t>25/02/1995</t>
  </si>
  <si>
    <t>17/11/1997</t>
  </si>
  <si>
    <t>23/10/2001</t>
  </si>
  <si>
    <t>26/10/1998</t>
  </si>
  <si>
    <t>01/01/2000</t>
  </si>
  <si>
    <t>30/04/2001</t>
  </si>
  <si>
    <t>03/10/1995</t>
  </si>
  <si>
    <t>07/05/1986</t>
  </si>
  <si>
    <t>08/04/1996</t>
  </si>
  <si>
    <t>01/07/1997</t>
  </si>
  <si>
    <t>15/04/1994</t>
  </si>
  <si>
    <t>08/09/1998</t>
  </si>
  <si>
    <t>19/08/1992</t>
  </si>
  <si>
    <t>01/10/1991</t>
  </si>
  <si>
    <t>09/12/1996</t>
  </si>
  <si>
    <t>30/12/1984</t>
  </si>
  <si>
    <t>25/11/1996</t>
  </si>
  <si>
    <t>05/04/1990</t>
  </si>
  <si>
    <t>28/06/1997</t>
  </si>
  <si>
    <t>04/02/1991</t>
  </si>
  <si>
    <t>10/11/1995</t>
  </si>
  <si>
    <t>02/09/1988</t>
  </si>
  <si>
    <t>17/07/1998</t>
  </si>
  <si>
    <t>17/07/2000</t>
  </si>
  <si>
    <t>21/04/1991</t>
  </si>
  <si>
    <t>05/01/1997</t>
  </si>
  <si>
    <t>24/05/1987</t>
  </si>
  <si>
    <t>12/09/1981</t>
  </si>
  <si>
    <t>12/02/1996</t>
  </si>
  <si>
    <t>25/10/1992</t>
  </si>
  <si>
    <t>21/10/1982</t>
  </si>
  <si>
    <t>25/08/1987</t>
  </si>
  <si>
    <t>24/05/1997</t>
  </si>
  <si>
    <t>16/02/1984</t>
  </si>
  <si>
    <t>06/02/1992</t>
  </si>
  <si>
    <t>14/05/2000</t>
  </si>
  <si>
    <t>10/08/1996</t>
  </si>
  <si>
    <t>01/04/1990</t>
  </si>
  <si>
    <t>03/03/1996</t>
  </si>
  <si>
    <t>24/08/1995</t>
  </si>
  <si>
    <t>06/03/1997</t>
  </si>
  <si>
    <t>21/10/1992</t>
  </si>
  <si>
    <t>10/02/1994</t>
  </si>
  <si>
    <t>09/06/2000</t>
  </si>
  <si>
    <t>22/08/1989</t>
  </si>
  <si>
    <t>12/05/1989</t>
  </si>
  <si>
    <t>07/05/1997</t>
  </si>
  <si>
    <t>14/02/1996</t>
  </si>
  <si>
    <t>19/08/1994</t>
  </si>
  <si>
    <t>18/05/1997</t>
  </si>
  <si>
    <t>21/07/1985</t>
  </si>
  <si>
    <t>10/04/1995</t>
  </si>
  <si>
    <t>02/08/1994</t>
  </si>
  <si>
    <t>14/07/1996</t>
  </si>
  <si>
    <t>05/04/1993</t>
  </si>
  <si>
    <t>08/12/1999</t>
  </si>
  <si>
    <t>04/02/1993</t>
  </si>
  <si>
    <t>17/07/1995</t>
  </si>
  <si>
    <t>11/09/1980</t>
  </si>
  <si>
    <t>31/10/1983</t>
  </si>
  <si>
    <t>06/03/1995</t>
  </si>
  <si>
    <t>21/10/1990</t>
  </si>
  <si>
    <t>01/11/1990</t>
  </si>
  <si>
    <t>10/11/1993</t>
  </si>
  <si>
    <t>20/06/1994</t>
  </si>
  <si>
    <t>01/10/1996</t>
  </si>
  <si>
    <t>29/09/1992</t>
  </si>
  <si>
    <t>29/10/2001</t>
  </si>
  <si>
    <t>20/10/1993</t>
  </si>
  <si>
    <t>20/06/1990</t>
  </si>
  <si>
    <t>28/05/1994</t>
  </si>
  <si>
    <t>10/09/1995</t>
  </si>
  <si>
    <t>10/03/1988</t>
  </si>
  <si>
    <t>03/11/2002</t>
  </si>
  <si>
    <t>29/01/2003</t>
  </si>
  <si>
    <t>13/08/2003</t>
  </si>
  <si>
    <t>25/05/1999</t>
  </si>
  <si>
    <t>09/03/2002</t>
  </si>
  <si>
    <t>12/09/1997</t>
  </si>
  <si>
    <t>03/11/2003</t>
  </si>
  <si>
    <t>28/02/1993</t>
  </si>
  <si>
    <t>12/08/1999</t>
  </si>
  <si>
    <t>01/05/1991</t>
  </si>
  <si>
    <t>06/01/1997</t>
  </si>
  <si>
    <t>05/10/1992</t>
  </si>
  <si>
    <t>08/02/1999</t>
  </si>
  <si>
    <t>09/06/1998</t>
  </si>
  <si>
    <t>20/08/2001</t>
  </si>
  <si>
    <t>06/03/1994</t>
  </si>
  <si>
    <t>'04/10/2001</t>
  </si>
  <si>
    <t>08/10/2002</t>
  </si>
  <si>
    <t>31/12/2007</t>
  </si>
  <si>
    <t>31/12/1999</t>
  </si>
  <si>
    <t>11/04/2003</t>
  </si>
  <si>
    <t>12/06/1998</t>
  </si>
  <si>
    <t>10/12/1999</t>
  </si>
  <si>
    <t>11/09/2001</t>
  </si>
  <si>
    <t>23/10/2006</t>
  </si>
  <si>
    <t>17/11/2002</t>
  </si>
  <si>
    <t>16/07/2003</t>
  </si>
  <si>
    <t>20/07/1994</t>
  </si>
  <si>
    <t>21/12/1992</t>
  </si>
  <si>
    <t>18/08/2001</t>
  </si>
  <si>
    <t>22/10/1999</t>
  </si>
  <si>
    <t>06/11/1999</t>
  </si>
  <si>
    <t>18/01/2001</t>
  </si>
  <si>
    <t>11/07/2001</t>
  </si>
  <si>
    <t>19/08/1998</t>
  </si>
  <si>
    <t>10/09/2003</t>
  </si>
  <si>
    <t>06/08/2002</t>
  </si>
  <si>
    <t>21/01/2001</t>
  </si>
  <si>
    <t>15/07/1999</t>
  </si>
  <si>
    <t>08/05/2003</t>
  </si>
  <si>
    <t>29/03/2002</t>
  </si>
  <si>
    <t>21/09/2001</t>
  </si>
  <si>
    <t>08/12/1992</t>
  </si>
  <si>
    <t>19/10/1990</t>
  </si>
  <si>
    <t>06/01/1994</t>
  </si>
  <si>
    <t>18/12/1989</t>
  </si>
  <si>
    <t>20/02/1990</t>
  </si>
  <si>
    <t>15/05/1990</t>
  </si>
  <si>
    <t>10/02/1999</t>
  </si>
  <si>
    <t>31/10/1993</t>
  </si>
  <si>
    <t>26/06/1989</t>
  </si>
  <si>
    <t>06/01/1984</t>
  </si>
  <si>
    <t>12/11/1992</t>
  </si>
  <si>
    <t>23/06/1994</t>
  </si>
  <si>
    <t>21/04/1992</t>
  </si>
  <si>
    <t>09/06/1990</t>
  </si>
  <si>
    <t>02/11/1978</t>
  </si>
  <si>
    <t>28/04/1993</t>
  </si>
  <si>
    <t>19/08/1989</t>
  </si>
  <si>
    <t>14/09/1998</t>
  </si>
  <si>
    <t>11/01/1973</t>
  </si>
  <si>
    <t>05/02/1993</t>
  </si>
  <si>
    <t>17/11/1974</t>
  </si>
  <si>
    <t>10/12/1992</t>
  </si>
  <si>
    <t>15/12/1994</t>
  </si>
  <si>
    <t>17/11/1998</t>
  </si>
  <si>
    <t>10/01/1994</t>
  </si>
  <si>
    <t>10/07/19994</t>
  </si>
  <si>
    <t>08/07/1974</t>
  </si>
  <si>
    <t>01/11/1992</t>
  </si>
  <si>
    <t>30/03/2000</t>
  </si>
  <si>
    <t>23/11/1994</t>
  </si>
  <si>
    <t>20/11/2003</t>
  </si>
  <si>
    <t>27/12/2003</t>
  </si>
  <si>
    <t>13/09/2003</t>
  </si>
  <si>
    <t>16/03/1991</t>
  </si>
  <si>
    <t>30/01/2003</t>
  </si>
  <si>
    <t>15/09/1994</t>
  </si>
  <si>
    <t>07/09/1985</t>
  </si>
  <si>
    <t>02/02/1982</t>
  </si>
  <si>
    <t>01/05/2003</t>
  </si>
  <si>
    <t>22/07/2003</t>
  </si>
  <si>
    <t>25/09/1996</t>
  </si>
  <si>
    <t>20/08/2002</t>
  </si>
  <si>
    <t>10/08/1993</t>
  </si>
  <si>
    <t>25/03/1992</t>
  </si>
  <si>
    <t>24/06/1978</t>
  </si>
  <si>
    <t>10/11/1996</t>
  </si>
  <si>
    <t>18/02/1997</t>
  </si>
  <si>
    <t>12/02/2001</t>
  </si>
  <si>
    <t>02/08/2001</t>
  </si>
  <si>
    <t>09/01/1994</t>
  </si>
  <si>
    <t>23/07/1979</t>
  </si>
  <si>
    <t>20/03/1994</t>
  </si>
  <si>
    <t>09/12/1991</t>
  </si>
  <si>
    <t>24/10/1987</t>
  </si>
  <si>
    <t>02/07/1989</t>
  </si>
  <si>
    <t>16/08/2005</t>
  </si>
  <si>
    <t>31/05/2002</t>
  </si>
  <si>
    <t>11/01/1997</t>
  </si>
  <si>
    <t>03/07/2003</t>
  </si>
  <si>
    <t>09/05/2005</t>
  </si>
  <si>
    <t>26/12/2000</t>
  </si>
  <si>
    <t>15/07/2006</t>
  </si>
  <si>
    <t>27/08/1994</t>
  </si>
  <si>
    <t>15/03/2003</t>
  </si>
  <si>
    <t>29/11/1998</t>
  </si>
  <si>
    <t>24/01/2007</t>
  </si>
  <si>
    <t>21/12/2005</t>
  </si>
  <si>
    <t>14/02/2005</t>
  </si>
  <si>
    <t>10/02/2007</t>
  </si>
  <si>
    <t>20/08/2004</t>
  </si>
  <si>
    <t>25/11/2000</t>
  </si>
  <si>
    <t>12/09/2003</t>
  </si>
  <si>
    <t>18/03/2006</t>
  </si>
  <si>
    <t>22/10/1986</t>
  </si>
  <si>
    <t>02/01/2002</t>
  </si>
  <si>
    <t>25/12/2005</t>
  </si>
  <si>
    <t>18/04/2007</t>
  </si>
  <si>
    <t>09/10/1998</t>
  </si>
  <si>
    <t>29/12/1999</t>
  </si>
  <si>
    <t>13/08/2000</t>
  </si>
  <si>
    <t>06/02/2000</t>
  </si>
  <si>
    <t>28/03/2004</t>
  </si>
  <si>
    <t>10/11/2002</t>
  </si>
  <si>
    <t>01/12/2005</t>
  </si>
  <si>
    <t>22/06/2007</t>
  </si>
  <si>
    <t>09/07/2007</t>
  </si>
  <si>
    <t>09/02/2007</t>
  </si>
  <si>
    <t>25/02/1999</t>
  </si>
  <si>
    <t>28/12/2002</t>
  </si>
  <si>
    <t>26/06/2000</t>
  </si>
  <si>
    <t>23/10/2000</t>
  </si>
  <si>
    <t>15/03/1999</t>
  </si>
  <si>
    <t>12/10/2000</t>
  </si>
  <si>
    <t>14/11/2007</t>
  </si>
  <si>
    <t>24/06/2004</t>
  </si>
  <si>
    <t>12/12/2002</t>
  </si>
  <si>
    <t>22/02/1999</t>
  </si>
  <si>
    <t>30/01/1994</t>
  </si>
  <si>
    <t>08/01/2000</t>
  </si>
  <si>
    <t>24/07/2002</t>
  </si>
  <si>
    <t>26/12/2002</t>
  </si>
  <si>
    <t>20/10/2002</t>
  </si>
  <si>
    <t>25/01/2001</t>
  </si>
  <si>
    <t>24/10/2000</t>
  </si>
  <si>
    <t>28/02/2001</t>
  </si>
  <si>
    <t>26/01/2001</t>
  </si>
  <si>
    <t>20/10/2003</t>
  </si>
  <si>
    <t>26/07/1997</t>
  </si>
  <si>
    <t>02/06/2002</t>
  </si>
  <si>
    <t>17/09/2002</t>
  </si>
  <si>
    <t>19/12/2001</t>
  </si>
  <si>
    <t>30/01/2001</t>
  </si>
  <si>
    <t>08/03/2007</t>
  </si>
  <si>
    <t>28/06/2007</t>
  </si>
  <si>
    <t>29/07/1994</t>
  </si>
  <si>
    <t>03/12/2003</t>
  </si>
  <si>
    <t>29/07/2000</t>
  </si>
  <si>
    <t>10/10/1986</t>
  </si>
  <si>
    <t>10/03/1997</t>
  </si>
  <si>
    <t>06/05/1989</t>
  </si>
  <si>
    <t>22/06/1985</t>
  </si>
  <si>
    <t>20/03/1991</t>
  </si>
  <si>
    <t>25/07/1988</t>
  </si>
  <si>
    <t>19/09/1984</t>
  </si>
  <si>
    <t>25/06/1994</t>
  </si>
  <si>
    <t>12/06/1990</t>
  </si>
  <si>
    <t>13/10/1985</t>
  </si>
  <si>
    <t>05/05/1990</t>
  </si>
  <si>
    <t>07/02/1984</t>
  </si>
  <si>
    <t>14/04/1979</t>
  </si>
  <si>
    <t>10/11/1987</t>
  </si>
  <si>
    <t>26/04/1984</t>
  </si>
  <si>
    <t>10/08/1988</t>
  </si>
  <si>
    <t>02/11/1989</t>
  </si>
  <si>
    <t>05/06/1986</t>
  </si>
  <si>
    <t>05/09/2002</t>
  </si>
  <si>
    <t>21/07/2002</t>
  </si>
  <si>
    <t>25/12/1988</t>
  </si>
  <si>
    <t>13/12/2002</t>
  </si>
  <si>
    <t>30/07/1990</t>
  </si>
  <si>
    <t>28/05/1999</t>
  </si>
  <si>
    <t>19/04/1999</t>
  </si>
  <si>
    <t>23/10/1998</t>
  </si>
  <si>
    <t>20/12/2005</t>
  </si>
  <si>
    <t>22/02/2003</t>
  </si>
  <si>
    <t>13/10/1998</t>
  </si>
  <si>
    <t>24/04/1999</t>
  </si>
  <si>
    <t>18/04/2002</t>
  </si>
  <si>
    <t>08/04/2002</t>
  </si>
  <si>
    <t>23/05/1996</t>
  </si>
  <si>
    <t>28/08/1978</t>
  </si>
  <si>
    <t>04/11/1993</t>
  </si>
  <si>
    <t>27/12/1996</t>
  </si>
  <si>
    <t>02/03/1997</t>
  </si>
  <si>
    <t>12/02/1982</t>
  </si>
  <si>
    <t>28/10/1994</t>
  </si>
  <si>
    <t>29/08/1996</t>
  </si>
  <si>
    <t>26/11/1996</t>
  </si>
  <si>
    <t>22/05/1991</t>
  </si>
  <si>
    <t>29/12/1994</t>
  </si>
  <si>
    <t>22/02/2002</t>
  </si>
  <si>
    <t>10/06/1989</t>
  </si>
  <si>
    <t>23/01/1983</t>
  </si>
  <si>
    <t>07/05/1995</t>
  </si>
  <si>
    <t>09/11/1991</t>
  </si>
  <si>
    <t>31/01/2003</t>
  </si>
  <si>
    <t>14/02/1999</t>
  </si>
  <si>
    <t>28/12/2000</t>
  </si>
  <si>
    <t>23/03/1999</t>
  </si>
  <si>
    <t>15/02/2003</t>
  </si>
  <si>
    <t>26/11/2000</t>
  </si>
  <si>
    <t>10/08/2001</t>
  </si>
  <si>
    <t>03/11/2000</t>
  </si>
  <si>
    <t>29/06/2001</t>
  </si>
  <si>
    <t>27/08/2002</t>
  </si>
  <si>
    <t>02/03/2002</t>
  </si>
  <si>
    <t>17/12/2002</t>
  </si>
  <si>
    <t>26/04/1990</t>
  </si>
  <si>
    <t>03/05/2001</t>
  </si>
  <si>
    <t>20/08/1991</t>
  </si>
  <si>
    <t>17/10/2003</t>
  </si>
  <si>
    <t>21/03/2002</t>
  </si>
  <si>
    <t>01/03/1985</t>
  </si>
  <si>
    <t>08/11/2003</t>
  </si>
  <si>
    <t>05/1102003</t>
  </si>
  <si>
    <t>08/11/2001</t>
  </si>
  <si>
    <t>30/05/2002</t>
  </si>
  <si>
    <t>12/01/1991</t>
  </si>
  <si>
    <t>30/07/2003</t>
  </si>
  <si>
    <t>09/02/2002</t>
  </si>
  <si>
    <t>26/01/2002</t>
  </si>
  <si>
    <t>27/08/2001</t>
  </si>
  <si>
    <t>18/11/1999</t>
  </si>
  <si>
    <t>08/02/2001</t>
  </si>
  <si>
    <t>21/02/1980</t>
  </si>
  <si>
    <t>02/05/2000</t>
  </si>
  <si>
    <t>02/05/1992</t>
  </si>
  <si>
    <t>17/10/1989</t>
  </si>
  <si>
    <t>05/12/1989</t>
  </si>
  <si>
    <t>20/02/1978</t>
  </si>
  <si>
    <t>27/11/1996</t>
  </si>
  <si>
    <t>16/09/1976</t>
  </si>
  <si>
    <t>07/10/1983</t>
  </si>
  <si>
    <t>16/07/1982</t>
  </si>
  <si>
    <t>04/10/2006</t>
  </si>
  <si>
    <t>08/03/2000</t>
  </si>
  <si>
    <t>12/05/2007</t>
  </si>
  <si>
    <t>09/06/2002</t>
  </si>
  <si>
    <t>03/02/1996</t>
  </si>
  <si>
    <t>21/11/1996</t>
  </si>
  <si>
    <t>23/11/1996</t>
  </si>
  <si>
    <t>24/05/1996</t>
  </si>
  <si>
    <t>04/11/2002</t>
  </si>
  <si>
    <t>31/10/2000</t>
  </si>
  <si>
    <t>14/04/2001</t>
  </si>
  <si>
    <t>30/12/1997</t>
  </si>
  <si>
    <t>31/01/1981</t>
  </si>
  <si>
    <t>29/02/1988</t>
  </si>
  <si>
    <t>22/08/1996</t>
  </si>
  <si>
    <t>24/04/1994</t>
  </si>
  <si>
    <t>01/10/1989</t>
  </si>
  <si>
    <t>13/02/1996</t>
  </si>
  <si>
    <t>05/01/1990</t>
  </si>
  <si>
    <t>28/09/1999</t>
  </si>
  <si>
    <t>27/2/1994</t>
  </si>
  <si>
    <t>15/01/1993</t>
  </si>
  <si>
    <t>07/09/1988</t>
  </si>
  <si>
    <t>20/06/1991</t>
  </si>
  <si>
    <t>24/11/1993</t>
  </si>
  <si>
    <t>26/08/2005</t>
  </si>
  <si>
    <t>25/07/2001</t>
  </si>
  <si>
    <t>15/01/2003</t>
  </si>
  <si>
    <t>27/12/2001</t>
  </si>
  <si>
    <t>01/03/1998</t>
  </si>
  <si>
    <t>10/02/1997</t>
  </si>
  <si>
    <t>18/03/2002</t>
  </si>
  <si>
    <t>18/11/2007</t>
  </si>
  <si>
    <t>20/09/2001</t>
  </si>
  <si>
    <t>27/03/2001</t>
  </si>
  <si>
    <t>01/11/2000</t>
  </si>
  <si>
    <t>24/10/2001</t>
  </si>
  <si>
    <t>22/10/1994</t>
  </si>
  <si>
    <t>07/02/2002</t>
  </si>
  <si>
    <t>28/10/2001</t>
  </si>
  <si>
    <t>20/11/2002</t>
  </si>
  <si>
    <t>27/08/1993</t>
  </si>
  <si>
    <t>16/10/1998</t>
  </si>
  <si>
    <t>15/10/1985</t>
  </si>
  <si>
    <t>06/10/1994</t>
  </si>
  <si>
    <t>03/01/1998</t>
  </si>
  <si>
    <t>05/06/1982</t>
  </si>
  <si>
    <t>23/12/2002</t>
  </si>
  <si>
    <t>18/06/1987</t>
  </si>
  <si>
    <t>12/02/1993</t>
  </si>
  <si>
    <t>18/12/1981</t>
  </si>
  <si>
    <t>06/05/1980</t>
  </si>
  <si>
    <t>02/07/1981</t>
  </si>
  <si>
    <t>01/03/2001</t>
  </si>
  <si>
    <t>24/05/1988</t>
  </si>
  <si>
    <t>07/06/1987</t>
  </si>
  <si>
    <t>31/12/1993</t>
  </si>
  <si>
    <t>30/05/1983</t>
  </si>
  <si>
    <t>13/09/2000</t>
  </si>
  <si>
    <t>16/06/1990</t>
  </si>
  <si>
    <t>26/08/1985</t>
  </si>
  <si>
    <t>04/12/1988</t>
  </si>
  <si>
    <t>05/05/1986</t>
  </si>
  <si>
    <t>20/06/1988</t>
  </si>
  <si>
    <t>27/11/2000</t>
  </si>
  <si>
    <t>21/07/1996</t>
  </si>
  <si>
    <t>03/12/1991</t>
  </si>
  <si>
    <t>10/05/2002</t>
  </si>
  <si>
    <t>19/09/1981</t>
  </si>
  <si>
    <t>18/06/1983</t>
  </si>
  <si>
    <t>03/01/2000</t>
  </si>
  <si>
    <t>07/02/1981</t>
  </si>
  <si>
    <t>22/11/2003</t>
  </si>
  <si>
    <t>27/01/1990</t>
  </si>
  <si>
    <t>26/05/1989</t>
  </si>
  <si>
    <t>11/04/1983</t>
  </si>
  <si>
    <t>12/05/1985</t>
  </si>
  <si>
    <t>02/06/1996</t>
  </si>
  <si>
    <t>04/08/1993</t>
  </si>
  <si>
    <t>20/02/1997</t>
  </si>
  <si>
    <t>06/09/1999</t>
  </si>
  <si>
    <t>27/04/1983</t>
  </si>
  <si>
    <t>16/05/2002</t>
  </si>
  <si>
    <t>02/06/1982</t>
  </si>
  <si>
    <t>20/09/1985</t>
  </si>
  <si>
    <t>02/09/1995</t>
  </si>
  <si>
    <t>06/12/2003</t>
  </si>
  <si>
    <t>18/01/2002</t>
  </si>
  <si>
    <t>20/08/1987</t>
  </si>
  <si>
    <t>25/03/1989</t>
  </si>
  <si>
    <t>24/12/2002</t>
  </si>
  <si>
    <t>24/05/1990</t>
  </si>
  <si>
    <t>03/04/1995</t>
  </si>
  <si>
    <t>13/04/1985</t>
  </si>
  <si>
    <t>05/09/2003</t>
  </si>
  <si>
    <t>18/01/1992</t>
  </si>
  <si>
    <t>20/10/2000</t>
  </si>
  <si>
    <t>08/03/1996</t>
  </si>
  <si>
    <t>22/12/2000</t>
  </si>
  <si>
    <t>13/12/1983</t>
  </si>
  <si>
    <t>02/10/1993</t>
  </si>
  <si>
    <t>17/03/1983</t>
  </si>
  <si>
    <t>01/12/2003</t>
  </si>
  <si>
    <t>12/06/1981</t>
  </si>
  <si>
    <t>01/01/1989</t>
  </si>
  <si>
    <t>10/11/1982</t>
  </si>
  <si>
    <t>25/07/2003</t>
  </si>
  <si>
    <t>13/10/1991</t>
  </si>
  <si>
    <t>17/02/1993</t>
  </si>
  <si>
    <t>09/07/1987</t>
  </si>
  <si>
    <t>06/10/2000</t>
  </si>
  <si>
    <t>01/02/1990</t>
  </si>
  <si>
    <t>18/04/1991</t>
  </si>
  <si>
    <t>20/11/1985</t>
  </si>
  <si>
    <t>25/08/1991</t>
  </si>
  <si>
    <t>08/06/1992</t>
  </si>
  <si>
    <t>19/11/1993</t>
  </si>
  <si>
    <t>03/10/2001</t>
  </si>
  <si>
    <t>01/05/2001</t>
  </si>
  <si>
    <t>16/08/2001</t>
  </si>
  <si>
    <t>17/02/1987</t>
  </si>
  <si>
    <t>12/09/2001</t>
  </si>
  <si>
    <t>20/07/1990</t>
  </si>
  <si>
    <t>12/10/1994</t>
  </si>
  <si>
    <t>26/10/1988</t>
  </si>
  <si>
    <t>16/05/1989</t>
  </si>
  <si>
    <t>06/08/2007</t>
  </si>
  <si>
    <t>14/08/1994</t>
  </si>
  <si>
    <t>02/04/2001</t>
  </si>
  <si>
    <t>25/08/2003</t>
  </si>
  <si>
    <t>16/09/2001</t>
  </si>
  <si>
    <t>01/06/1998</t>
  </si>
  <si>
    <t>04/05/1981</t>
  </si>
  <si>
    <t>27/07/1991</t>
  </si>
  <si>
    <t>23/06/1992</t>
  </si>
  <si>
    <t>01/03/1990</t>
  </si>
  <si>
    <t>19/11/1973</t>
  </si>
  <si>
    <t>18/04/1990</t>
  </si>
  <si>
    <t>27/08/1989</t>
  </si>
  <si>
    <t>02/02/1976</t>
  </si>
  <si>
    <t>12/11/1990</t>
  </si>
  <si>
    <t>30/04/1979</t>
  </si>
  <si>
    <t>26/04/1989</t>
  </si>
  <si>
    <t>30/01/1987</t>
  </si>
  <si>
    <t>25/05/1984</t>
  </si>
  <si>
    <t>28/12/1991</t>
  </si>
  <si>
    <t>02/07/1978</t>
  </si>
  <si>
    <t>04/06/2003</t>
  </si>
  <si>
    <t>05/02/1991</t>
  </si>
  <si>
    <t>08/11/1985</t>
  </si>
  <si>
    <t>02/02/1987</t>
  </si>
  <si>
    <t>02/05/1990</t>
  </si>
  <si>
    <t>20/04/1997</t>
  </si>
  <si>
    <t>02/10/1994</t>
  </si>
  <si>
    <t>10/07/1993</t>
  </si>
  <si>
    <t>05/03/2003</t>
  </si>
  <si>
    <t>27/04/1992</t>
  </si>
  <si>
    <t>28/02/1991</t>
  </si>
  <si>
    <t>01/02/2002</t>
  </si>
  <si>
    <t>05/09/1987</t>
  </si>
  <si>
    <t>16/10/1986</t>
  </si>
  <si>
    <t>10/02/1989</t>
  </si>
  <si>
    <t>25/07/1999</t>
  </si>
  <si>
    <t>22/04/1992</t>
  </si>
  <si>
    <t>20/05/1994</t>
  </si>
  <si>
    <t>02/10/1988</t>
  </si>
  <si>
    <t>11/04/2001</t>
  </si>
  <si>
    <t>13/01/1991</t>
  </si>
  <si>
    <t>06/10/1995</t>
  </si>
  <si>
    <t>06/02/1990</t>
  </si>
  <si>
    <t>06/12/2004</t>
  </si>
  <si>
    <t>29/09/1981</t>
  </si>
  <si>
    <t>22/09/1989</t>
  </si>
  <si>
    <t>09/04/1983</t>
  </si>
  <si>
    <t>06/03/1981</t>
  </si>
  <si>
    <t>16/02/1988</t>
  </si>
  <si>
    <t>28/09/1990</t>
  </si>
  <si>
    <t>08/04/1992</t>
  </si>
  <si>
    <t>19/01/2001</t>
  </si>
  <si>
    <t>15/10/1997</t>
  </si>
  <si>
    <t>13/05/1980</t>
  </si>
  <si>
    <t>28/03/1992</t>
  </si>
  <si>
    <t>19/08/1995</t>
  </si>
  <si>
    <t>22/09/1999</t>
  </si>
  <si>
    <t>27/11/1994</t>
  </si>
  <si>
    <t>10/05/1988</t>
  </si>
  <si>
    <t>26/12/1990</t>
  </si>
  <si>
    <t>28/11/1998</t>
  </si>
  <si>
    <t>12/01/2002</t>
  </si>
  <si>
    <t>28/04/1888</t>
  </si>
  <si>
    <t>21/04/1983</t>
  </si>
  <si>
    <t>06/07/1988</t>
  </si>
  <si>
    <t>08/11/1998</t>
  </si>
  <si>
    <t>22/01/2002</t>
  </si>
  <si>
    <t>30/12/1990</t>
  </si>
  <si>
    <t>26/11/2007</t>
  </si>
  <si>
    <t>12/02/2007</t>
  </si>
  <si>
    <t>12/01/2001</t>
  </si>
  <si>
    <t>12/03/1992</t>
  </si>
  <si>
    <t>12/10/1998</t>
  </si>
  <si>
    <t>11/03/1995</t>
  </si>
  <si>
    <t>11/10/1994</t>
  </si>
  <si>
    <t>07/02/2003</t>
  </si>
  <si>
    <t>12/01/2006</t>
  </si>
  <si>
    <t>07/03/2006</t>
  </si>
  <si>
    <t>08/12/2002</t>
  </si>
  <si>
    <t>01/03/1979</t>
  </si>
  <si>
    <t>MSSV</t>
  </si>
  <si>
    <t>Mã lớp học</t>
  </si>
  <si>
    <t>258901C300</t>
  </si>
  <si>
    <t>258901C301</t>
  </si>
  <si>
    <t>258901C302</t>
  </si>
  <si>
    <t>258901C303</t>
  </si>
  <si>
    <t>258901C304</t>
  </si>
  <si>
    <t>258901C305</t>
  </si>
  <si>
    <t>258901C306</t>
  </si>
  <si>
    <t>258901C307</t>
  </si>
  <si>
    <t>258901C308</t>
  </si>
  <si>
    <t>258901C309</t>
  </si>
  <si>
    <t>258901C310</t>
  </si>
  <si>
    <t>258901C311</t>
  </si>
  <si>
    <t>258901C312</t>
  </si>
  <si>
    <t>258901C313</t>
  </si>
  <si>
    <t>258901C314</t>
  </si>
  <si>
    <t>258901C315</t>
  </si>
  <si>
    <t>258901C316</t>
  </si>
  <si>
    <t>258901C317</t>
  </si>
  <si>
    <t>258901D300</t>
  </si>
  <si>
    <t>258901T300</t>
  </si>
  <si>
    <t>258901T301</t>
  </si>
  <si>
    <t>258901T302</t>
  </si>
  <si>
    <t>258901T303</t>
  </si>
  <si>
    <t>258901T304</t>
  </si>
  <si>
    <t>258901T305</t>
  </si>
  <si>
    <t>258901T306</t>
  </si>
  <si>
    <t>258901T307</t>
  </si>
  <si>
    <t>258901T308</t>
  </si>
  <si>
    <t>258901T309</t>
  </si>
  <si>
    <t>258901B1</t>
  </si>
  <si>
    <t>258901C318</t>
  </si>
  <si>
    <t>258901C319</t>
  </si>
  <si>
    <t>258901C320</t>
  </si>
  <si>
    <t>258901C321</t>
  </si>
  <si>
    <t>258901C322</t>
  </si>
  <si>
    <t>258901C323</t>
  </si>
  <si>
    <t>258901C324</t>
  </si>
  <si>
    <t>258901C325</t>
  </si>
  <si>
    <t>258901C326</t>
  </si>
  <si>
    <t>258901C327</t>
  </si>
  <si>
    <t>258901C328</t>
  </si>
  <si>
    <t>258901C329</t>
  </si>
  <si>
    <t>258901C330</t>
  </si>
  <si>
    <t>258901C331</t>
  </si>
  <si>
    <t>258901C332</t>
  </si>
  <si>
    <t>258901C333</t>
  </si>
  <si>
    <t>258901C334</t>
  </si>
  <si>
    <t>258901C335</t>
  </si>
  <si>
    <t>258901C336</t>
  </si>
  <si>
    <t>258901C337</t>
  </si>
  <si>
    <t>258901C338</t>
  </si>
  <si>
    <t>258901C339</t>
  </si>
  <si>
    <t>258901C340</t>
  </si>
  <si>
    <t>258901C341</t>
  </si>
  <si>
    <t>258901C342</t>
  </si>
  <si>
    <t>258901C343</t>
  </si>
  <si>
    <t>258901C344</t>
  </si>
  <si>
    <t>258901C345</t>
  </si>
  <si>
    <t>258901C346</t>
  </si>
  <si>
    <t>258901C347</t>
  </si>
  <si>
    <t>258901C348</t>
  </si>
  <si>
    <t>258901C349</t>
  </si>
  <si>
    <t>258901C350</t>
  </si>
  <si>
    <t>258901C351</t>
  </si>
  <si>
    <t>258901D301</t>
  </si>
  <si>
    <t>258901D302</t>
  </si>
  <si>
    <t>258901D303</t>
  </si>
  <si>
    <t>258901D304</t>
  </si>
  <si>
    <t>258901T310</t>
  </si>
  <si>
    <t>258901T311</t>
  </si>
  <si>
    <t>258901T312</t>
  </si>
  <si>
    <t>258901T313</t>
  </si>
  <si>
    <t>258901T314</t>
  </si>
  <si>
    <t>258901T315</t>
  </si>
  <si>
    <t>258901T316</t>
  </si>
  <si>
    <t>258901T317</t>
  </si>
  <si>
    <t>258901T318</t>
  </si>
  <si>
    <t>258901T319</t>
  </si>
  <si>
    <t>258901T320</t>
  </si>
  <si>
    <t>258901B2LK</t>
  </si>
  <si>
    <t>258900B1</t>
  </si>
  <si>
    <t>258900C300</t>
  </si>
  <si>
    <t>258900C301</t>
  </si>
  <si>
    <t>258900C302</t>
  </si>
  <si>
    <t>258900D300</t>
  </si>
  <si>
    <t>258900D301</t>
  </si>
  <si>
    <t>258900D302</t>
  </si>
  <si>
    <t>258900D303</t>
  </si>
  <si>
    <t>258900D304</t>
  </si>
  <si>
    <t>258900D305</t>
  </si>
  <si>
    <t>258900D306</t>
  </si>
  <si>
    <t>258900D307</t>
  </si>
  <si>
    <t>258900D308</t>
  </si>
  <si>
    <t>258900D309</t>
  </si>
  <si>
    <t>258900D310</t>
  </si>
  <si>
    <t>258900D311</t>
  </si>
  <si>
    <t>258900D312</t>
  </si>
  <si>
    <t>258900D313</t>
  </si>
  <si>
    <t>258900D314</t>
  </si>
  <si>
    <t>258900P300</t>
  </si>
  <si>
    <t>258900P301</t>
  </si>
  <si>
    <t>258900P302</t>
  </si>
  <si>
    <t>258900P303</t>
  </si>
  <si>
    <t>258900P304</t>
  </si>
  <si>
    <t>258900P305</t>
  </si>
  <si>
    <t>258900P306</t>
  </si>
  <si>
    <t>258900P307</t>
  </si>
  <si>
    <t>258900P308</t>
  </si>
  <si>
    <t>258900P309</t>
  </si>
  <si>
    <t>258900P310</t>
  </si>
  <si>
    <t>258900P311</t>
  </si>
  <si>
    <t>258900P312</t>
  </si>
  <si>
    <t>258900P313</t>
  </si>
  <si>
    <t>258900P314</t>
  </si>
  <si>
    <t>258900P315</t>
  </si>
  <si>
    <t>258900P316</t>
  </si>
  <si>
    <t>258900P317</t>
  </si>
  <si>
    <t>258900P318</t>
  </si>
  <si>
    <t>258900P319</t>
  </si>
  <si>
    <t>258900P320</t>
  </si>
  <si>
    <t>258900P321</t>
  </si>
  <si>
    <t>258900P322</t>
  </si>
  <si>
    <t>258900P323</t>
  </si>
  <si>
    <t>258900P324</t>
  </si>
  <si>
    <t>258900P325</t>
  </si>
  <si>
    <t>258900P326</t>
  </si>
  <si>
    <t>258900C303</t>
  </si>
  <si>
    <t>258900C304</t>
  </si>
  <si>
    <t>258900C305</t>
  </si>
  <si>
    <t>258900C306</t>
  </si>
  <si>
    <t>258900C307</t>
  </si>
  <si>
    <t>258900C308</t>
  </si>
  <si>
    <t>258900C309</t>
  </si>
  <si>
    <t>258900C310</t>
  </si>
  <si>
    <t>258900C311</t>
  </si>
  <si>
    <t>258900C312</t>
  </si>
  <si>
    <t>258900C313</t>
  </si>
  <si>
    <t>258900C314</t>
  </si>
  <si>
    <t>258900C315</t>
  </si>
  <si>
    <t>258900C316</t>
  </si>
  <si>
    <t>258900C317</t>
  </si>
  <si>
    <t>258900C318</t>
  </si>
  <si>
    <t>258900C319</t>
  </si>
  <si>
    <t>258900C320</t>
  </si>
  <si>
    <t>258900C321</t>
  </si>
  <si>
    <t>258900C322</t>
  </si>
  <si>
    <t>258900C323</t>
  </si>
  <si>
    <t>258900C324</t>
  </si>
  <si>
    <t>258900C325</t>
  </si>
  <si>
    <t>258900C326</t>
  </si>
  <si>
    <t>258900C327</t>
  </si>
  <si>
    <t>258900C328</t>
  </si>
  <si>
    <t>258900C329</t>
  </si>
  <si>
    <t>258900C330</t>
  </si>
  <si>
    <t>258900C331</t>
  </si>
  <si>
    <t>258900C332</t>
  </si>
  <si>
    <t>258900C333</t>
  </si>
  <si>
    <t>258900C334</t>
  </si>
  <si>
    <t>258900C335</t>
  </si>
  <si>
    <t>258900B2LK</t>
  </si>
  <si>
    <t>258900D315</t>
  </si>
  <si>
    <t>258900D316</t>
  </si>
  <si>
    <t>258900D317</t>
  </si>
  <si>
    <t>258900D318</t>
  </si>
  <si>
    <t>258900D319</t>
  </si>
  <si>
    <t>258900D320</t>
  </si>
  <si>
    <t>258900D321</t>
  </si>
  <si>
    <t>258900D322</t>
  </si>
  <si>
    <t>258900D323</t>
  </si>
  <si>
    <t>258900D324</t>
  </si>
  <si>
    <t>258900D325</t>
  </si>
  <si>
    <t>258900D326</t>
  </si>
  <si>
    <t>258900T300</t>
  </si>
  <si>
    <t>258900T301</t>
  </si>
  <si>
    <t>258900T302</t>
  </si>
  <si>
    <t>258900T303</t>
  </si>
  <si>
    <t>258900T304</t>
  </si>
  <si>
    <t>258900T305</t>
  </si>
  <si>
    <t>258900T306</t>
  </si>
  <si>
    <t>258900T307</t>
  </si>
  <si>
    <t>258900T308</t>
  </si>
  <si>
    <t>258900T309</t>
  </si>
  <si>
    <t>258900T310</t>
  </si>
  <si>
    <t>258900T311</t>
  </si>
  <si>
    <t>258900T312</t>
  </si>
  <si>
    <t>258900P327</t>
  </si>
  <si>
    <t>258900P328</t>
  </si>
  <si>
    <t>258900P329</t>
  </si>
  <si>
    <t>258900P330</t>
  </si>
  <si>
    <t>258900P331</t>
  </si>
  <si>
    <t>258900P332</t>
  </si>
  <si>
    <t>258900P333</t>
  </si>
  <si>
    <t>258900P334</t>
  </si>
  <si>
    <t>258900P335</t>
  </si>
  <si>
    <t>258900P336</t>
  </si>
  <si>
    <t>258900P337</t>
  </si>
  <si>
    <t>258900P338</t>
  </si>
  <si>
    <t>258900P339</t>
  </si>
  <si>
    <t>258900P340</t>
  </si>
  <si>
    <t>258900P341</t>
  </si>
  <si>
    <t>258900P342</t>
  </si>
  <si>
    <t>258900P343</t>
  </si>
  <si>
    <t>258900P344</t>
  </si>
  <si>
    <t>258900P345</t>
  </si>
  <si>
    <t>258900P346</t>
  </si>
  <si>
    <t>258900P347</t>
  </si>
  <si>
    <t>258900P348</t>
  </si>
  <si>
    <t>258900P349</t>
  </si>
  <si>
    <t>258900P350</t>
  </si>
  <si>
    <t>258900P351</t>
  </si>
  <si>
    <t>258900P352</t>
  </si>
  <si>
    <t>258900P353</t>
  </si>
  <si>
    <t>258900P354</t>
  </si>
  <si>
    <t>258900P355</t>
  </si>
  <si>
    <t>258900P356</t>
  </si>
  <si>
    <t>258900P357</t>
  </si>
  <si>
    <t>258900P358</t>
  </si>
  <si>
    <t>258900P359</t>
  </si>
  <si>
    <t>258900P360</t>
  </si>
  <si>
    <t>258900P361</t>
  </si>
  <si>
    <t>258900P362</t>
  </si>
  <si>
    <t>258900P363</t>
  </si>
  <si>
    <t>258900P364</t>
  </si>
  <si>
    <t>258900P365</t>
  </si>
  <si>
    <t>258900P366</t>
  </si>
  <si>
    <t>258900P367</t>
  </si>
  <si>
    <t>258900P368</t>
  </si>
  <si>
    <t>258900P369</t>
  </si>
  <si>
    <t>258900P370</t>
  </si>
  <si>
    <t>258900P371</t>
  </si>
  <si>
    <t>258900P372</t>
  </si>
  <si>
    <t>258900P373</t>
  </si>
  <si>
    <t>258900P374</t>
  </si>
  <si>
    <t>258900P375</t>
  </si>
  <si>
    <t>258900P376</t>
  </si>
  <si>
    <t>258900P377</t>
  </si>
  <si>
    <t>258900P378</t>
  </si>
  <si>
    <t>258900P379</t>
  </si>
  <si>
    <t>258900P380</t>
  </si>
  <si>
    <t>258900P381</t>
  </si>
  <si>
    <t>258900P382</t>
  </si>
  <si>
    <t>258900P383</t>
  </si>
  <si>
    <t>258900P384</t>
  </si>
  <si>
    <t>258900P385</t>
  </si>
  <si>
    <t>258900P386</t>
  </si>
  <si>
    <t>258900P387</t>
  </si>
  <si>
    <t>258900P388</t>
  </si>
  <si>
    <t>258900P389</t>
  </si>
  <si>
    <t>258900P390</t>
  </si>
  <si>
    <t>258900P391</t>
  </si>
  <si>
    <t>258900P392</t>
  </si>
  <si>
    <t>258900P393</t>
  </si>
  <si>
    <t>258900P394</t>
  </si>
  <si>
    <t>258900P395</t>
  </si>
  <si>
    <t>258902C300</t>
  </si>
  <si>
    <t>258902C301</t>
  </si>
  <si>
    <t>258902C302</t>
  </si>
  <si>
    <t>258902C303</t>
  </si>
  <si>
    <t>258902B1</t>
  </si>
  <si>
    <t>258902C304</t>
  </si>
  <si>
    <t>258902C305</t>
  </si>
  <si>
    <t>258902C306</t>
  </si>
  <si>
    <t>258902C307</t>
  </si>
  <si>
    <t>258902C308</t>
  </si>
  <si>
    <t>258902C309</t>
  </si>
  <si>
    <t>258902D300</t>
  </si>
  <si>
    <t>258902T300</t>
  </si>
  <si>
    <t>258101C300</t>
  </si>
  <si>
    <t>258101B1</t>
  </si>
  <si>
    <t>258101C301</t>
  </si>
  <si>
    <t>258101C302</t>
  </si>
  <si>
    <t>258101C303</t>
  </si>
  <si>
    <t>258101D300</t>
  </si>
  <si>
    <t>258101D301</t>
  </si>
  <si>
    <t>258101D302</t>
  </si>
  <si>
    <t>258101D303</t>
  </si>
  <si>
    <t>258101D304</t>
  </si>
  <si>
    <t>258101P300</t>
  </si>
  <si>
    <t>258101P301</t>
  </si>
  <si>
    <t>258101P302</t>
  </si>
  <si>
    <t>258101P303</t>
  </si>
  <si>
    <t>258101P304</t>
  </si>
  <si>
    <t>258101P305</t>
  </si>
  <si>
    <t>258101P306</t>
  </si>
  <si>
    <t>258101P307</t>
  </si>
  <si>
    <t>258101P308</t>
  </si>
  <si>
    <t>258101P309</t>
  </si>
  <si>
    <t>258101P310</t>
  </si>
  <si>
    <t>258101P311</t>
  </si>
  <si>
    <t>258101C304</t>
  </si>
  <si>
    <t>258101C305</t>
  </si>
  <si>
    <t>258101C306</t>
  </si>
  <si>
    <t>258101C307</t>
  </si>
  <si>
    <t>258101C308</t>
  </si>
  <si>
    <t>258101C309</t>
  </si>
  <si>
    <t>258101C310</t>
  </si>
  <si>
    <t>258101C311</t>
  </si>
  <si>
    <t>258101C312</t>
  </si>
  <si>
    <t>258101C313</t>
  </si>
  <si>
    <t>258101C314</t>
  </si>
  <si>
    <t>258101D305</t>
  </si>
  <si>
    <t>258101D306</t>
  </si>
  <si>
    <t>258101D307</t>
  </si>
  <si>
    <t>258101D308</t>
  </si>
  <si>
    <t>258101D309</t>
  </si>
  <si>
    <t>258101D310</t>
  </si>
  <si>
    <t>258101D311</t>
  </si>
  <si>
    <t>258101D312</t>
  </si>
  <si>
    <t>258101B2LK</t>
  </si>
  <si>
    <t>258101T300</t>
  </si>
  <si>
    <t>258101P312</t>
  </si>
  <si>
    <t>258101P313</t>
  </si>
  <si>
    <t>258101P314</t>
  </si>
  <si>
    <t>258101P315</t>
  </si>
  <si>
    <t>258101P316</t>
  </si>
  <si>
    <t>258101P317</t>
  </si>
  <si>
    <t>258101P318</t>
  </si>
  <si>
    <t>258101P319</t>
  </si>
  <si>
    <t>258101P320</t>
  </si>
  <si>
    <t>258101P321</t>
  </si>
  <si>
    <t>258101P322</t>
  </si>
  <si>
    <t>258101P323</t>
  </si>
  <si>
    <t>258101P324</t>
  </si>
  <si>
    <t>258101P325</t>
  </si>
  <si>
    <t>258101P326</t>
  </si>
  <si>
    <t>258101P327</t>
  </si>
  <si>
    <t>258101P328</t>
  </si>
  <si>
    <t>258101P329</t>
  </si>
  <si>
    <t>258101P330</t>
  </si>
  <si>
    <t>258101P331</t>
  </si>
  <si>
    <t>258101P332</t>
  </si>
  <si>
    <t>258101P333</t>
  </si>
  <si>
    <t>258101P334</t>
  </si>
  <si>
    <t>258101P335</t>
  </si>
  <si>
    <t>258101P336</t>
  </si>
  <si>
    <t>258101P337</t>
  </si>
  <si>
    <t>258101P338</t>
  </si>
  <si>
    <t>258101P339</t>
  </si>
  <si>
    <t>258101P340</t>
  </si>
  <si>
    <t>258101P341</t>
  </si>
  <si>
    <t>258101P342</t>
  </si>
  <si>
    <t>258101P343</t>
  </si>
  <si>
    <t>258601BLK</t>
  </si>
  <si>
    <t>258601C300</t>
  </si>
  <si>
    <t>258601C301</t>
  </si>
  <si>
    <t>258601C302</t>
  </si>
  <si>
    <t>258601C303</t>
  </si>
  <si>
    <t>258601C304</t>
  </si>
  <si>
    <t>258601C305</t>
  </si>
  <si>
    <t>258601D300</t>
  </si>
  <si>
    <t>258601T300</t>
  </si>
  <si>
    <t>258601P300</t>
  </si>
  <si>
    <t>258601P301</t>
  </si>
  <si>
    <t>258601P302</t>
  </si>
  <si>
    <t>258601P303</t>
  </si>
  <si>
    <t>258701C300</t>
  </si>
  <si>
    <t>258701C301</t>
  </si>
  <si>
    <t>258701D300</t>
  </si>
  <si>
    <t>258701D301</t>
  </si>
  <si>
    <t>258701D302</t>
  </si>
  <si>
    <t>258701P300</t>
  </si>
  <si>
    <t>258701P301</t>
  </si>
  <si>
    <t>258701P302</t>
  </si>
  <si>
    <t>258701C302</t>
  </si>
  <si>
    <t>258701B1</t>
  </si>
  <si>
    <t>258701C303</t>
  </si>
  <si>
    <t>258701C304</t>
  </si>
  <si>
    <t>258701C305</t>
  </si>
  <si>
    <t>258701C306</t>
  </si>
  <si>
    <t>258701D303</t>
  </si>
  <si>
    <t>258701D304</t>
  </si>
  <si>
    <t>258701D305</t>
  </si>
  <si>
    <t>258701D306</t>
  </si>
  <si>
    <t>258701D307</t>
  </si>
  <si>
    <t>258701D308</t>
  </si>
  <si>
    <t>258701D309</t>
  </si>
  <si>
    <t>258701T300</t>
  </si>
  <si>
    <t>258701T301</t>
  </si>
  <si>
    <t>258701P303</t>
  </si>
  <si>
    <t>258701P304</t>
  </si>
  <si>
    <t>258701P305</t>
  </si>
  <si>
    <t>258701P306</t>
  </si>
  <si>
    <t>258701P307</t>
  </si>
  <si>
    <t>258701P308</t>
  </si>
  <si>
    <t>258701P309</t>
  </si>
  <si>
    <t>258701P310</t>
  </si>
  <si>
    <t>258701P311</t>
  </si>
  <si>
    <t>258701P312</t>
  </si>
  <si>
    <t>258701P313</t>
  </si>
  <si>
    <t>258701P314</t>
  </si>
  <si>
    <t>258701P315</t>
  </si>
  <si>
    <t>258701B2LK</t>
  </si>
  <si>
    <t>258702D300</t>
  </si>
  <si>
    <t>258702D301</t>
  </si>
  <si>
    <t>258702D302</t>
  </si>
  <si>
    <t>258702D303</t>
  </si>
  <si>
    <t>258702D304</t>
  </si>
  <si>
    <t>258702D305</t>
  </si>
  <si>
    <t>258702D306</t>
  </si>
  <si>
    <t>258702D307</t>
  </si>
  <si>
    <t>258702D308</t>
  </si>
  <si>
    <t>258702D309</t>
  </si>
  <si>
    <t>258702D310</t>
  </si>
  <si>
    <t>258702D311</t>
  </si>
  <si>
    <t>258702D312</t>
  </si>
  <si>
    <t>258702D313</t>
  </si>
  <si>
    <t>258702D314</t>
  </si>
  <si>
    <t>258702D315</t>
  </si>
  <si>
    <t>258702D316</t>
  </si>
  <si>
    <t>258702D317</t>
  </si>
  <si>
    <t>258702D318</t>
  </si>
  <si>
    <t>258702D319</t>
  </si>
  <si>
    <t>258702D320</t>
  </si>
  <si>
    <t>258702D321</t>
  </si>
  <si>
    <t>258702D322</t>
  </si>
  <si>
    <t>258702D323</t>
  </si>
  <si>
    <t>258702D324</t>
  </si>
  <si>
    <t>258702D325</t>
  </si>
  <si>
    <t>258702D326</t>
  </si>
  <si>
    <t>258702D327</t>
  </si>
  <si>
    <t>258702D328</t>
  </si>
  <si>
    <t>258702D329</t>
  </si>
  <si>
    <t>258702D330</t>
  </si>
  <si>
    <t>258702D331</t>
  </si>
  <si>
    <t>258702D332</t>
  </si>
  <si>
    <t>258702D333</t>
  </si>
  <si>
    <t>258702D334</t>
  </si>
  <si>
    <t>258702D335</t>
  </si>
  <si>
    <t>258702D336</t>
  </si>
  <si>
    <t>258702D337</t>
  </si>
  <si>
    <t>258702D338</t>
  </si>
  <si>
    <t>258702D339</t>
  </si>
  <si>
    <t>258702D340</t>
  </si>
  <si>
    <t>258702D341</t>
  </si>
  <si>
    <t>258702D342</t>
  </si>
  <si>
    <t>258702D343</t>
  </si>
  <si>
    <t>258702D344</t>
  </si>
  <si>
    <t>258702D345</t>
  </si>
  <si>
    <t>258702D346</t>
  </si>
  <si>
    <t>258702D347</t>
  </si>
  <si>
    <t>258702D348</t>
  </si>
  <si>
    <t>258702D349</t>
  </si>
  <si>
    <t>258702D350</t>
  </si>
  <si>
    <t>258702D351</t>
  </si>
  <si>
    <t>258702D352</t>
  </si>
  <si>
    <t>258702D353</t>
  </si>
  <si>
    <t>258702D354</t>
  </si>
  <si>
    <t>258702D355</t>
  </si>
  <si>
    <t>258702D356</t>
  </si>
  <si>
    <t>258702D357</t>
  </si>
  <si>
    <t>258702D358</t>
  </si>
  <si>
    <t>258702D359</t>
  </si>
  <si>
    <t>258702D360</t>
  </si>
  <si>
    <t>258702D361</t>
  </si>
  <si>
    <t>258702D362</t>
  </si>
  <si>
    <t>258702D363</t>
  </si>
  <si>
    <t>258702P300</t>
  </si>
  <si>
    <t>258702B1</t>
  </si>
  <si>
    <t>258609B</t>
  </si>
  <si>
    <t>258609D300</t>
  </si>
  <si>
    <t>258609D301</t>
  </si>
  <si>
    <t>258609D302</t>
  </si>
  <si>
    <t>258609D303</t>
  </si>
  <si>
    <t>258402C300</t>
  </si>
  <si>
    <t>258402C301</t>
  </si>
  <si>
    <t>258402C302</t>
  </si>
  <si>
    <t>258402C303</t>
  </si>
  <si>
    <t>258402D300</t>
  </si>
  <si>
    <t>258402D301</t>
  </si>
  <si>
    <t>258402D302</t>
  </si>
  <si>
    <t>258402D303</t>
  </si>
  <si>
    <t>258402T300</t>
  </si>
  <si>
    <t>258402T301</t>
  </si>
  <si>
    <t>258402P300</t>
  </si>
  <si>
    <t>258402P301</t>
  </si>
  <si>
    <t>258402B</t>
  </si>
  <si>
    <t>258401C300</t>
  </si>
  <si>
    <t>258401B</t>
  </si>
  <si>
    <t>258401C301</t>
  </si>
  <si>
    <t>258401C302</t>
  </si>
  <si>
    <t>258401C303</t>
  </si>
  <si>
    <t>258401C304</t>
  </si>
  <si>
    <t>258401C305</t>
  </si>
  <si>
    <t>258401C306</t>
  </si>
  <si>
    <t>258401C307</t>
  </si>
  <si>
    <t>258401D300</t>
  </si>
  <si>
    <t>258401D301</t>
  </si>
  <si>
    <t>258401D302</t>
  </si>
  <si>
    <t>258401D303</t>
  </si>
  <si>
    <t>258401D304</t>
  </si>
  <si>
    <t>258401D305</t>
  </si>
  <si>
    <t>258401D306</t>
  </si>
  <si>
    <t>258401D307</t>
  </si>
  <si>
    <t>258401T300</t>
  </si>
  <si>
    <t>258401T301</t>
  </si>
  <si>
    <t>258401T302</t>
  </si>
  <si>
    <t>258401P300</t>
  </si>
  <si>
    <t>258401P301</t>
  </si>
  <si>
    <t>258401P302</t>
  </si>
  <si>
    <t>258401P303</t>
  </si>
  <si>
    <t>258801C300</t>
  </si>
  <si>
    <t>258801C301</t>
  </si>
  <si>
    <t>258801D300</t>
  </si>
  <si>
    <t>258801D301</t>
  </si>
  <si>
    <t>258801D302</t>
  </si>
  <si>
    <t>258801D303</t>
  </si>
  <si>
    <t>258801D304</t>
  </si>
  <si>
    <t>258801D305</t>
  </si>
  <si>
    <t>258801D306</t>
  </si>
  <si>
    <t>258801D307</t>
  </si>
  <si>
    <t>258801D308</t>
  </si>
  <si>
    <t>258801D309</t>
  </si>
  <si>
    <t>258801D310</t>
  </si>
  <si>
    <t>258801D311</t>
  </si>
  <si>
    <t>258801D312</t>
  </si>
  <si>
    <t>258801D313</t>
  </si>
  <si>
    <t>258801D314</t>
  </si>
  <si>
    <t>258801D315</t>
  </si>
  <si>
    <t>258801D316</t>
  </si>
  <si>
    <t>258801D317</t>
  </si>
  <si>
    <t>258801D318</t>
  </si>
  <si>
    <t>258801D319</t>
  </si>
  <si>
    <t>258801T300</t>
  </si>
  <si>
    <t>258801T301</t>
  </si>
  <si>
    <t>258801T302</t>
  </si>
  <si>
    <t>258801B</t>
  </si>
  <si>
    <t>257103B</t>
  </si>
  <si>
    <t>257103C300</t>
  </si>
  <si>
    <t>257103C301</t>
  </si>
  <si>
    <t>257103C302</t>
  </si>
  <si>
    <t>258902B2LK</t>
  </si>
  <si>
    <t>257103D300</t>
  </si>
  <si>
    <t>257103D301</t>
  </si>
  <si>
    <t>257103D302</t>
  </si>
  <si>
    <t>257103D303</t>
  </si>
  <si>
    <t>257103D304</t>
  </si>
  <si>
    <t>257103D305</t>
  </si>
  <si>
    <t>257103D306</t>
  </si>
  <si>
    <t>257103D307</t>
  </si>
  <si>
    <t>257103D308</t>
  </si>
  <si>
    <t>257103D309</t>
  </si>
  <si>
    <t>257103D310</t>
  </si>
  <si>
    <t>257103D311</t>
  </si>
  <si>
    <t>257103D312</t>
  </si>
  <si>
    <t>257103D313</t>
  </si>
  <si>
    <t>257103D314</t>
  </si>
  <si>
    <t>258203C300</t>
  </si>
  <si>
    <t>258203C301</t>
  </si>
  <si>
    <t>258203D300</t>
  </si>
  <si>
    <t>258203D301</t>
  </si>
  <si>
    <t>258203D302</t>
  </si>
  <si>
    <t>258203P300</t>
  </si>
  <si>
    <t>258203P301</t>
  </si>
  <si>
    <t>258203B</t>
  </si>
  <si>
    <t>258107C300</t>
  </si>
  <si>
    <t>258107C301</t>
  </si>
  <si>
    <t>258107C302</t>
  </si>
  <si>
    <t>258107C303</t>
  </si>
  <si>
    <t>258107D300</t>
  </si>
  <si>
    <t>258107D301</t>
  </si>
  <si>
    <t>258107D302</t>
  </si>
  <si>
    <t>258107D303</t>
  </si>
  <si>
    <t>258107D304</t>
  </si>
  <si>
    <t>258107T300</t>
  </si>
  <si>
    <t>258107P300</t>
  </si>
  <si>
    <t>258107B</t>
  </si>
  <si>
    <t>257311C300</t>
  </si>
  <si>
    <t>257311C301</t>
  </si>
  <si>
    <t>257311C302</t>
  </si>
  <si>
    <t>257311D300</t>
  </si>
  <si>
    <t>257311D301</t>
  </si>
  <si>
    <t>257311D302</t>
  </si>
  <si>
    <t>257311D303</t>
  </si>
  <si>
    <t>257311D304</t>
  </si>
  <si>
    <t>257311D305</t>
  </si>
  <si>
    <t>257311D306</t>
  </si>
  <si>
    <t>257311D307</t>
  </si>
  <si>
    <t>257311T300</t>
  </si>
  <si>
    <t>257311T301</t>
  </si>
  <si>
    <t>257311T302</t>
  </si>
  <si>
    <t>257311T303</t>
  </si>
  <si>
    <t>257311T304</t>
  </si>
  <si>
    <t>257311B</t>
  </si>
  <si>
    <t>K28B1 ĐHGD Mầm non</t>
  </si>
  <si>
    <t>Lớp</t>
  </si>
  <si>
    <t>K28B2 ĐHGD Mầm non</t>
  </si>
  <si>
    <t>K28B1 ĐHGD Tiểu học</t>
  </si>
  <si>
    <t>K28B2 ĐHGD Tiểu học</t>
  </si>
  <si>
    <t>K28B1 ĐHGD Thể chất</t>
  </si>
  <si>
    <t>K28B2 ĐHGD Thể chất</t>
  </si>
  <si>
    <t>K28B1 ĐHSP Toán học</t>
  </si>
  <si>
    <t>K28B2 ĐHSP Toán học</t>
  </si>
  <si>
    <t>K28B ĐHSP Ngữ văn</t>
  </si>
  <si>
    <t>K28B1 ĐHSP Tiếng Anh</t>
  </si>
  <si>
    <t>K28B2 ĐHSP Tiếng Anh</t>
  </si>
  <si>
    <t>K28B1 ĐH Ngôn ngữ Anh</t>
  </si>
  <si>
    <t>K28B ĐH Tâm lý học</t>
  </si>
  <si>
    <t>K28B ĐH QTKD</t>
  </si>
  <si>
    <t>K28B ĐH Kế toán</t>
  </si>
  <si>
    <t>K28B ĐH Luật</t>
  </si>
  <si>
    <t>K28B ĐH CNTT</t>
  </si>
  <si>
    <t>K28B ĐH Kỹ thuật điện</t>
  </si>
  <si>
    <t>K28B ĐH Kỹ thuật xây dựng</t>
  </si>
  <si>
    <t>K28B ĐH Chăn nuôi thú y</t>
  </si>
  <si>
    <t>CỘNG HÒA XÃ HỘI CHỦ NGHĨA VIỆT NAM</t>
  </si>
  <si>
    <t>Độc lập - Tự do  - Hạnh phúc</t>
  </si>
  <si>
    <t>UBND TỈNH THANH HÓA</t>
  </si>
  <si>
    <t xml:space="preserve">BẢNG TỔNG HỢP SỐ LƯỢNG SINH VIÊN K28A ĐÀO TẠO CHÍNH QUY (LIÊN THÔNG TỪ TRUNG CẤP, CAO ĐẲNG, ĐẠI HỌC) 
VÀ VỪA LÀM VỪA HỌC (LIÊN THÔNG TỪ TRUNG CẤP, CAO ĐẲNG, ĐẠI HỌC, THPT) TRÌNH ĐỘ ĐẠI HỌC ĐỢT 2 NĂM 2025 </t>
  </si>
  <si>
    <t>LK
ĐT</t>
  </si>
  <si>
    <t>BAN TIẾP SINH</t>
  </si>
  <si>
    <t>0904728383</t>
  </si>
  <si>
    <t>Thanh Hóa, ngày 20  tháng 8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</si>
</sst>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0"/>
    <numFmt numFmtId="165" formatCode="0.0"/>
    <numFmt numFmtId="166" formatCode="d\.m"/>
    <numFmt numFmtId="167" formatCode="d/m/yyyy"/>
    <numFmt numFmtId="168" formatCode="0000000000"/>
    <numFmt numFmtId="169" formatCode="000000000000"/>
  </numFmts>
  <fonts count="48" x14ac:knownFonts="1">
    <font>
      <sz val="11"/>
      <color theme="1"/>
      <name val="Arial"/>
      <family val="2"/>
      <scheme val="minor"/>
    </font>
    <font>
      <sz val="10.5"/>
      <name val="Times New Roman"/>
      <family val="1"/>
    </font>
    <font>
      <sz val="15"/>
      <name val="Times New Roman"/>
      <family val="1"/>
    </font>
    <font>
      <sz val="12"/>
      <color theme="1"/>
      <name val="Times New Roman"/>
      <family val="1"/>
    </font>
    <font>
      <sz val="15"/>
      <color theme="1"/>
      <name val="Times New Roman"/>
      <family val="1"/>
    </font>
    <font>
      <b/>
      <sz val="15"/>
      <name val="Times New Roman"/>
      <family val="1"/>
    </font>
    <font>
      <sz val="12"/>
      <name val="Times New Roman"/>
      <family val="1"/>
    </font>
    <font>
      <b/>
      <sz val="15"/>
      <color theme="1"/>
      <name val="Times New Roman"/>
      <family val="1"/>
    </font>
    <font>
      <sz val="11"/>
      <color theme="1"/>
      <name val="Arial"/>
      <family val="2"/>
      <scheme val="minor"/>
    </font>
    <font>
      <sz val="10"/>
      <name val="Arial"/>
      <family val="2"/>
    </font>
    <font>
      <b/>
      <sz val="12"/>
      <color theme="1"/>
      <name val="Times New Roman"/>
      <family val="1"/>
    </font>
    <font>
      <b/>
      <sz val="10"/>
      <name val="Times New Roman"/>
      <family val="1"/>
      <charset val="163"/>
    </font>
    <font>
      <b/>
      <sz val="12"/>
      <name val="Times New Roman"/>
      <family val="2"/>
      <charset val="163"/>
    </font>
    <font>
      <b/>
      <sz val="11"/>
      <color theme="1"/>
      <name val="Times New Roman"/>
      <family val="1"/>
    </font>
    <font>
      <b/>
      <sz val="10"/>
      <name val="Times New Roman"/>
      <family val="1"/>
    </font>
    <font>
      <b/>
      <sz val="8"/>
      <color theme="1"/>
      <name val="Times New Roman"/>
      <family val="1"/>
    </font>
    <font>
      <b/>
      <sz val="9"/>
      <color theme="1"/>
      <name val="Times New Roman"/>
      <family val="1"/>
    </font>
    <font>
      <b/>
      <sz val="8"/>
      <name val="Times New Roman"/>
      <family val="1"/>
    </font>
    <font>
      <b/>
      <i/>
      <sz val="10"/>
      <color theme="1"/>
      <name val="Times New Roman"/>
      <family val="1"/>
    </font>
    <font>
      <i/>
      <sz val="10"/>
      <color theme="1"/>
      <name val="Times New Roman"/>
      <family val="1"/>
    </font>
    <font>
      <i/>
      <sz val="11"/>
      <color theme="1"/>
      <name val="Times New Roman"/>
      <family val="1"/>
    </font>
    <font>
      <sz val="13"/>
      <name val="Times New Roman"/>
      <family val="1"/>
    </font>
    <font>
      <sz val="12"/>
      <color rgb="FF000000"/>
      <name val="Times New Roman"/>
      <family val="1"/>
    </font>
    <font>
      <i/>
      <sz val="12"/>
      <color theme="1"/>
      <name val="Times New Roman"/>
      <family val="1"/>
    </font>
    <font>
      <b/>
      <sz val="14"/>
      <color theme="1"/>
      <name val="Times New Roman"/>
      <family val="1"/>
    </font>
    <font>
      <sz val="14"/>
      <color theme="1"/>
      <name val="Times New Roman"/>
      <family val="1"/>
    </font>
    <font>
      <sz val="12"/>
      <name val="Times New Roman"/>
      <family val="2"/>
      <charset val="163"/>
    </font>
    <font>
      <sz val="11"/>
      <name val="Times New Roman"/>
      <family val="2"/>
      <charset val="163"/>
    </font>
    <font>
      <b/>
      <sz val="12"/>
      <name val="Times New Roman"/>
      <family val="1"/>
    </font>
    <font>
      <sz val="11"/>
      <name val="Times New Roman"/>
      <family val="1"/>
    </font>
    <font>
      <sz val="11"/>
      <color indexed="8"/>
      <name val="Times New Roman"/>
      <family val="1"/>
    </font>
    <font>
      <sz val="12"/>
      <color indexed="8"/>
      <name val="Times New Roman"/>
      <family val="1"/>
    </font>
    <font>
      <b/>
      <sz val="12"/>
      <color rgb="FF000000"/>
      <name val="Times New Roman"/>
      <family val="1"/>
    </font>
    <font>
      <b/>
      <sz val="14"/>
      <name val="Times New Roman"/>
      <family val="1"/>
    </font>
    <font>
      <sz val="14"/>
      <name val="Times New Roman"/>
      <family val="1"/>
    </font>
    <font>
      <i/>
      <sz val="13"/>
      <name val="Times New Roman"/>
      <family val="1"/>
    </font>
    <font>
      <b/>
      <sz val="10.5"/>
      <name val="Times New Roman"/>
      <family val="1"/>
      <charset val="163"/>
    </font>
    <font>
      <b/>
      <sz val="11"/>
      <name val="Times New Roman"/>
      <family val="1"/>
      <charset val="163"/>
    </font>
    <font>
      <sz val="12"/>
      <name val="Times New Roman"/>
      <family val="1"/>
      <charset val="163"/>
    </font>
    <font>
      <sz val="11"/>
      <name val="Times New Roman"/>
      <family val="1"/>
      <charset val="163"/>
    </font>
    <font>
      <sz val="13"/>
      <name val="Times New Roman"/>
      <family val="1"/>
      <charset val="163"/>
    </font>
    <font>
      <sz val="11"/>
      <name val="Segoe UI"/>
      <family val="2"/>
      <charset val="163"/>
    </font>
    <font>
      <sz val="13"/>
      <color theme="1"/>
      <name val="Times New Roman"/>
      <family val="1"/>
    </font>
    <font>
      <b/>
      <sz val="13"/>
      <color theme="1"/>
      <name val="Times New Roman"/>
      <family val="1"/>
    </font>
    <font>
      <b/>
      <sz val="13.5"/>
      <color theme="1"/>
      <name val="Times New Roman"/>
      <family val="1"/>
    </font>
    <font>
      <b/>
      <i/>
      <sz val="13"/>
      <color theme="1"/>
      <name val="Times New Roman"/>
      <family val="1"/>
    </font>
    <font>
      <sz val="11"/>
      <color rgb="FFFF0000"/>
      <name val="Times New Roman"/>
      <family val="1"/>
      <charset val="163"/>
    </font>
    <font>
      <sz val="11"/>
      <color rgb="FFFF0000"/>
      <name val="Times New Roman"/>
      <family val="1"/>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8" fillId="0" borderId="0"/>
    <xf numFmtId="0" fontId="9" fillId="0" borderId="0"/>
  </cellStyleXfs>
  <cellXfs count="485">
    <xf numFmtId="0" fontId="0" fillId="0" borderId="0" xfId="0"/>
    <xf numFmtId="0" fontId="1" fillId="0" borderId="0" xfId="0" applyFont="1" applyAlignment="1">
      <alignment horizontal="center"/>
    </xf>
    <xf numFmtId="0" fontId="2" fillId="0" borderId="0" xfId="0" applyFont="1" applyAlignment="1">
      <alignment horizontal="left"/>
    </xf>
    <xf numFmtId="0" fontId="2" fillId="0" borderId="0" xfId="0" applyFont="1" applyAlignment="1">
      <alignment horizontal="center"/>
    </xf>
    <xf numFmtId="0" fontId="3" fillId="0" borderId="0" xfId="0" applyFont="1"/>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5" fillId="0" borderId="0" xfId="0" applyFont="1" applyAlignment="1">
      <alignment horizontal="left"/>
    </xf>
    <xf numFmtId="0" fontId="7" fillId="0" borderId="0" xfId="0" applyFont="1" applyAlignment="1">
      <alignment horizontal="center"/>
    </xf>
    <xf numFmtId="0" fontId="0" fillId="0" borderId="0" xfId="0" applyAlignment="1">
      <alignment horizontal="center"/>
    </xf>
    <xf numFmtId="0" fontId="23" fillId="0" borderId="0" xfId="0" applyFont="1"/>
    <xf numFmtId="0" fontId="24" fillId="0" borderId="0" xfId="0" applyFont="1"/>
    <xf numFmtId="0" fontId="25" fillId="0" borderId="0" xfId="0" applyFont="1"/>
    <xf numFmtId="0" fontId="25" fillId="0" borderId="0" xfId="0" quotePrefix="1" applyFont="1"/>
    <xf numFmtId="2" fontId="1" fillId="0" borderId="0" xfId="0" applyNumberFormat="1" applyFont="1" applyAlignment="1">
      <alignment horizontal="center"/>
    </xf>
    <xf numFmtId="0" fontId="26" fillId="0" borderId="0" xfId="0" applyFont="1"/>
    <xf numFmtId="2" fontId="27" fillId="0" borderId="0" xfId="0" applyNumberFormat="1" applyFont="1"/>
    <xf numFmtId="0" fontId="33" fillId="0" borderId="0" xfId="0" applyFont="1"/>
    <xf numFmtId="0" fontId="34" fillId="0" borderId="0" xfId="0" quotePrefix="1" applyFont="1"/>
    <xf numFmtId="0" fontId="21" fillId="0" borderId="0" xfId="0" applyFont="1" applyAlignment="1">
      <alignment horizontal="center"/>
    </xf>
    <xf numFmtId="0" fontId="21" fillId="0" borderId="0" xfId="0" applyFont="1"/>
    <xf numFmtId="0" fontId="6" fillId="0" borderId="0" xfId="0" applyFont="1"/>
    <xf numFmtId="0" fontId="21" fillId="0" borderId="0" xfId="0" applyFont="1" applyAlignment="1">
      <alignment horizontal="center" vertical="center"/>
    </xf>
    <xf numFmtId="0" fontId="6" fillId="0" borderId="0" xfId="0" applyFont="1" applyAlignment="1">
      <alignment horizontal="center" vertical="center"/>
    </xf>
    <xf numFmtId="0" fontId="29" fillId="0" borderId="0" xfId="0" applyFont="1" applyAlignment="1">
      <alignment horizontal="right"/>
    </xf>
    <xf numFmtId="49" fontId="6" fillId="0" borderId="0" xfId="0" applyNumberFormat="1" applyFont="1"/>
    <xf numFmtId="0" fontId="6" fillId="0" borderId="0" xfId="0" applyFont="1" applyAlignment="1">
      <alignment horizontal="left"/>
    </xf>
    <xf numFmtId="0" fontId="35" fillId="0" borderId="0" xfId="0" applyFont="1" applyAlignment="1">
      <alignment horizontal="left"/>
    </xf>
    <xf numFmtId="49" fontId="21" fillId="0" borderId="0" xfId="1" applyNumberFormat="1" applyFont="1" applyAlignment="1">
      <alignment horizontal="center" vertical="center" wrapText="1"/>
    </xf>
    <xf numFmtId="0" fontId="21" fillId="0" borderId="0" xfId="1" applyFont="1" applyAlignment="1">
      <alignment horizontal="center"/>
    </xf>
    <xf numFmtId="0" fontId="21" fillId="0" borderId="0" xfId="0" applyFont="1" applyAlignment="1">
      <alignment vertical="center"/>
    </xf>
    <xf numFmtId="0" fontId="21" fillId="0" borderId="0" xfId="0" quotePrefix="1" applyFont="1" applyAlignment="1">
      <alignment horizontal="center"/>
    </xf>
    <xf numFmtId="0" fontId="21" fillId="0" borderId="0" xfId="0" quotePrefix="1" applyFont="1" applyAlignment="1">
      <alignment horizontal="right"/>
    </xf>
    <xf numFmtId="0" fontId="21" fillId="0" borderId="2" xfId="0" applyFont="1" applyBorder="1" applyAlignment="1">
      <alignment horizontal="center"/>
    </xf>
    <xf numFmtId="49" fontId="36" fillId="0" borderId="0" xfId="1" applyNumberFormat="1" applyFont="1" applyAlignment="1">
      <alignment horizontal="center" vertical="center" wrapText="1"/>
    </xf>
    <xf numFmtId="49" fontId="37" fillId="0" borderId="0" xfId="1" applyNumberFormat="1" applyFont="1" applyAlignment="1">
      <alignment horizontal="center" vertical="center" wrapText="1"/>
    </xf>
    <xf numFmtId="2" fontId="37" fillId="0" borderId="0" xfId="1" applyNumberFormat="1" applyFont="1" applyAlignment="1">
      <alignment horizontal="center" vertical="center" wrapText="1"/>
    </xf>
    <xf numFmtId="0" fontId="37" fillId="0" borderId="0" xfId="0" applyFont="1" applyAlignment="1">
      <alignment horizontal="center"/>
    </xf>
    <xf numFmtId="0" fontId="38" fillId="0" borderId="0" xfId="0" applyFont="1"/>
    <xf numFmtId="0" fontId="39" fillId="0" borderId="0" xfId="0" applyFont="1" applyAlignment="1">
      <alignment horizontal="center"/>
    </xf>
    <xf numFmtId="0" fontId="37" fillId="0" borderId="7" xfId="0" applyFont="1" applyBorder="1" applyAlignment="1">
      <alignment horizontal="center"/>
    </xf>
    <xf numFmtId="0" fontId="39" fillId="0" borderId="14" xfId="0" applyFont="1" applyBorder="1" applyAlignment="1">
      <alignment horizontal="center"/>
    </xf>
    <xf numFmtId="0" fontId="40" fillId="0" borderId="0" xfId="0" applyFont="1"/>
    <xf numFmtId="0" fontId="39" fillId="0" borderId="0" xfId="0" applyFont="1" applyAlignment="1">
      <alignment horizontal="right"/>
    </xf>
    <xf numFmtId="0" fontId="36" fillId="0" borderId="7" xfId="0" applyFont="1" applyBorder="1" applyAlignment="1">
      <alignment horizontal="center" vertical="center"/>
    </xf>
    <xf numFmtId="49" fontId="36" fillId="0" borderId="7" xfId="1" applyNumberFormat="1" applyFont="1" applyBorder="1" applyAlignment="1">
      <alignment horizontal="center" vertical="center" wrapText="1"/>
    </xf>
    <xf numFmtId="49" fontId="36" fillId="0" borderId="7" xfId="1" applyNumberFormat="1" applyFont="1" applyBorder="1" applyAlignment="1">
      <alignment horizontal="left" vertical="center" wrapText="1"/>
    </xf>
    <xf numFmtId="49" fontId="36" fillId="0" borderId="7" xfId="1" applyNumberFormat="1" applyFont="1" applyBorder="1" applyAlignment="1">
      <alignment vertical="center" wrapText="1"/>
    </xf>
    <xf numFmtId="49" fontId="37" fillId="0" borderId="7" xfId="1" applyNumberFormat="1" applyFont="1" applyBorder="1" applyAlignment="1">
      <alignment horizontal="center" vertical="center" wrapText="1"/>
    </xf>
    <xf numFmtId="2" fontId="37" fillId="0" borderId="7" xfId="1" applyNumberFormat="1" applyFont="1" applyBorder="1" applyAlignment="1">
      <alignment horizontal="center" vertical="center" wrapText="1"/>
    </xf>
    <xf numFmtId="49" fontId="37" fillId="0" borderId="14" xfId="1" applyNumberFormat="1" applyFont="1" applyBorder="1" applyAlignment="1">
      <alignment horizontal="center" vertical="center" wrapText="1"/>
    </xf>
    <xf numFmtId="0" fontId="38" fillId="0" borderId="7" xfId="0" applyFont="1" applyBorder="1"/>
    <xf numFmtId="0" fontId="39" fillId="0" borderId="7" xfId="0" applyFont="1" applyBorder="1" applyAlignment="1">
      <alignment horizontal="center"/>
    </xf>
    <xf numFmtId="0" fontId="39" fillId="0" borderId="2" xfId="0" applyFont="1" applyBorder="1" applyAlignment="1">
      <alignment horizontal="center"/>
    </xf>
    <xf numFmtId="0" fontId="37" fillId="0" borderId="7" xfId="0" applyFont="1" applyBorder="1" applyAlignment="1">
      <alignment horizontal="center" vertical="center"/>
    </xf>
    <xf numFmtId="0" fontId="37" fillId="0" borderId="7" xfId="0" applyFont="1" applyBorder="1"/>
    <xf numFmtId="0" fontId="39" fillId="0" borderId="7" xfId="0" quotePrefix="1" applyFont="1" applyBorder="1" applyAlignment="1">
      <alignment horizontal="center"/>
    </xf>
    <xf numFmtId="0" fontId="39" fillId="0" borderId="7" xfId="0" applyFont="1" applyBorder="1"/>
    <xf numFmtId="49" fontId="39" fillId="0" borderId="7" xfId="1" applyNumberFormat="1" applyFont="1" applyBorder="1" applyAlignment="1">
      <alignment horizontal="center" vertical="center" wrapText="1"/>
    </xf>
    <xf numFmtId="0" fontId="39" fillId="0" borderId="14" xfId="0" applyFont="1" applyBorder="1"/>
    <xf numFmtId="0" fontId="39" fillId="0" borderId="14" xfId="0" quotePrefix="1" applyFont="1" applyBorder="1" applyAlignment="1">
      <alignment horizontal="right"/>
    </xf>
    <xf numFmtId="0" fontId="39" fillId="0" borderId="1" xfId="0" applyFont="1" applyBorder="1" applyAlignment="1">
      <alignment horizontal="center" vertical="center"/>
    </xf>
    <xf numFmtId="0" fontId="39" fillId="0" borderId="1" xfId="0" applyFont="1" applyBorder="1"/>
    <xf numFmtId="0" fontId="39" fillId="0" borderId="7" xfId="0" applyFont="1" applyBorder="1" applyAlignment="1">
      <alignment horizontal="left"/>
    </xf>
    <xf numFmtId="0" fontId="39" fillId="0" borderId="7" xfId="0" quotePrefix="1" applyFont="1" applyBorder="1" applyAlignment="1">
      <alignment horizontal="right"/>
    </xf>
    <xf numFmtId="0" fontId="39" fillId="0" borderId="0" xfId="0" applyFont="1" applyAlignment="1">
      <alignment horizontal="left"/>
    </xf>
    <xf numFmtId="0" fontId="39" fillId="0" borderId="0" xfId="0" applyFont="1"/>
    <xf numFmtId="0" fontId="39" fillId="0" borderId="7" xfId="0" applyFont="1" applyBorder="1" applyAlignment="1">
      <alignment horizontal="center" vertical="center"/>
    </xf>
    <xf numFmtId="0" fontId="39" fillId="0" borderId="14" xfId="1" applyFont="1" applyBorder="1" applyAlignment="1">
      <alignment horizontal="center"/>
    </xf>
    <xf numFmtId="0" fontId="39" fillId="0" borderId="7" xfId="0" applyFont="1" applyBorder="1" applyAlignment="1">
      <alignment vertical="center"/>
    </xf>
    <xf numFmtId="49" fontId="39" fillId="0" borderId="1" xfId="1" applyNumberFormat="1" applyFont="1" applyBorder="1" applyAlignment="1">
      <alignment horizontal="center" vertical="center" wrapText="1"/>
    </xf>
    <xf numFmtId="2" fontId="39" fillId="0" borderId="7" xfId="0" applyNumberFormat="1" applyFont="1" applyBorder="1" applyAlignment="1">
      <alignment horizontal="center"/>
    </xf>
    <xf numFmtId="49" fontId="39" fillId="0" borderId="7" xfId="1" applyNumberFormat="1" applyFont="1" applyBorder="1" applyAlignment="1">
      <alignment vertical="center" wrapText="1"/>
    </xf>
    <xf numFmtId="49" fontId="39" fillId="0" borderId="7" xfId="1" applyNumberFormat="1" applyFont="1" applyBorder="1" applyAlignment="1">
      <alignment horizontal="left" vertical="center" wrapText="1"/>
    </xf>
    <xf numFmtId="49" fontId="39" fillId="0" borderId="7" xfId="1" quotePrefix="1" applyNumberFormat="1" applyFont="1" applyBorder="1" applyAlignment="1">
      <alignment horizontal="center" vertical="center" wrapText="1"/>
    </xf>
    <xf numFmtId="49" fontId="39" fillId="0" borderId="14" xfId="1" applyNumberFormat="1" applyFont="1" applyBorder="1" applyAlignment="1">
      <alignment horizontal="center" vertical="center" wrapText="1"/>
    </xf>
    <xf numFmtId="49" fontId="39" fillId="0" borderId="14" xfId="1" quotePrefix="1" applyNumberFormat="1" applyFont="1" applyBorder="1" applyAlignment="1">
      <alignment horizontal="right" vertical="center" wrapText="1"/>
    </xf>
    <xf numFmtId="49" fontId="39" fillId="0" borderId="7" xfId="1" quotePrefix="1" applyNumberFormat="1" applyFont="1" applyBorder="1" applyAlignment="1">
      <alignment horizontal="right" vertical="center" wrapText="1"/>
    </xf>
    <xf numFmtId="0" fontId="39" fillId="0" borderId="6" xfId="0" applyFont="1" applyBorder="1" applyAlignment="1">
      <alignment horizontal="left"/>
    </xf>
    <xf numFmtId="14" fontId="39" fillId="0" borderId="7" xfId="0" applyNumberFormat="1" applyFont="1" applyBorder="1"/>
    <xf numFmtId="0" fontId="39" fillId="0" borderId="7" xfId="0" quotePrefix="1" applyFont="1" applyBorder="1" applyAlignment="1">
      <alignment horizontal="center" vertical="center"/>
    </xf>
    <xf numFmtId="0" fontId="39" fillId="0" borderId="7" xfId="0" applyFont="1" applyBorder="1" applyAlignment="1">
      <alignment vertical="top"/>
    </xf>
    <xf numFmtId="49" fontId="39" fillId="0" borderId="6" xfId="1" applyNumberFormat="1" applyFont="1" applyBorder="1" applyAlignment="1">
      <alignment horizontal="left" vertical="center" wrapText="1"/>
    </xf>
    <xf numFmtId="14" fontId="39" fillId="0" borderId="0" xfId="0" applyNumberFormat="1" applyFont="1"/>
    <xf numFmtId="0" fontId="39" fillId="0" borderId="7" xfId="0" applyFont="1" applyBorder="1" applyAlignment="1">
      <alignment vertical="center" wrapText="1"/>
    </xf>
    <xf numFmtId="2" fontId="39" fillId="0" borderId="7" xfId="0" applyNumberFormat="1" applyFont="1" applyBorder="1" applyAlignment="1">
      <alignment horizontal="center" vertical="center"/>
    </xf>
    <xf numFmtId="0" fontId="39" fillId="0" borderId="14" xfId="0" quotePrefix="1" applyFont="1" applyBorder="1" applyAlignment="1">
      <alignment horizontal="right" vertical="center"/>
    </xf>
    <xf numFmtId="0" fontId="39" fillId="0" borderId="0" xfId="0" quotePrefix="1" applyFont="1" applyAlignment="1">
      <alignment horizontal="left"/>
    </xf>
    <xf numFmtId="0" fontId="39" fillId="0" borderId="7" xfId="0" applyFont="1" applyBorder="1" applyAlignment="1">
      <alignment horizontal="left" vertical="center"/>
    </xf>
    <xf numFmtId="0" fontId="39" fillId="0" borderId="7" xfId="0" quotePrefix="1" applyFont="1" applyBorder="1" applyAlignment="1">
      <alignment horizontal="right" vertical="center"/>
    </xf>
    <xf numFmtId="0" fontId="39" fillId="0" borderId="16" xfId="0" quotePrefix="1" applyFont="1" applyBorder="1" applyAlignment="1">
      <alignment horizontal="right"/>
    </xf>
    <xf numFmtId="0" fontId="39" fillId="0" borderId="17" xfId="0" applyFont="1" applyBorder="1" applyAlignment="1">
      <alignment horizontal="center" vertical="center"/>
    </xf>
    <xf numFmtId="0" fontId="39" fillId="0" borderId="17" xfId="0" applyFont="1" applyBorder="1"/>
    <xf numFmtId="0" fontId="39" fillId="0" borderId="17" xfId="0" applyFont="1" applyBorder="1" applyAlignment="1">
      <alignment horizontal="left"/>
    </xf>
    <xf numFmtId="0" fontId="39" fillId="0" borderId="17" xfId="0" quotePrefix="1" applyFont="1" applyBorder="1" applyAlignment="1">
      <alignment horizontal="right"/>
    </xf>
    <xf numFmtId="0" fontId="39" fillId="0" borderId="17" xfId="0" applyFont="1" applyBorder="1" applyAlignment="1">
      <alignment horizontal="center"/>
    </xf>
    <xf numFmtId="0" fontId="39" fillId="0" borderId="0" xfId="0" applyFont="1" applyAlignment="1">
      <alignment horizontal="left" vertical="center"/>
    </xf>
    <xf numFmtId="0" fontId="39" fillId="0" borderId="14" xfId="0" applyFont="1" applyBorder="1" applyAlignment="1">
      <alignment horizontal="center" vertical="center"/>
    </xf>
    <xf numFmtId="49" fontId="39" fillId="0" borderId="7" xfId="0" applyNumberFormat="1" applyFont="1" applyBorder="1" applyAlignment="1">
      <alignment horizontal="center"/>
    </xf>
    <xf numFmtId="49" fontId="39" fillId="0" borderId="7" xfId="0" applyNumberFormat="1" applyFont="1" applyBorder="1"/>
    <xf numFmtId="49" fontId="39" fillId="0" borderId="14" xfId="0" quotePrefix="1" applyNumberFormat="1" applyFont="1" applyBorder="1" applyAlignment="1">
      <alignment horizontal="center"/>
    </xf>
    <xf numFmtId="0" fontId="39" fillId="0" borderId="1" xfId="0" applyFont="1" applyBorder="1" applyAlignment="1">
      <alignment horizontal="left"/>
    </xf>
    <xf numFmtId="49" fontId="39" fillId="0" borderId="7" xfId="0" quotePrefix="1" applyNumberFormat="1" applyFont="1" applyBorder="1" applyAlignment="1">
      <alignment horizontal="center"/>
    </xf>
    <xf numFmtId="49" fontId="39" fillId="0" borderId="7" xfId="0" applyNumberFormat="1" applyFont="1" applyBorder="1" applyAlignment="1">
      <alignment horizontal="left"/>
    </xf>
    <xf numFmtId="49" fontId="39" fillId="0" borderId="14" xfId="0" applyNumberFormat="1" applyFont="1" applyBorder="1" applyAlignment="1">
      <alignment horizontal="center" vertical="center"/>
    </xf>
    <xf numFmtId="0" fontId="39" fillId="0" borderId="7" xfId="0" quotePrefix="1" applyFont="1" applyBorder="1"/>
    <xf numFmtId="166" fontId="39" fillId="0" borderId="7" xfId="0" applyNumberFormat="1" applyFont="1" applyBorder="1" applyAlignment="1">
      <alignment horizontal="center"/>
    </xf>
    <xf numFmtId="0" fontId="39" fillId="0" borderId="7" xfId="0" applyFont="1" applyBorder="1" applyAlignment="1">
      <alignment wrapText="1"/>
    </xf>
    <xf numFmtId="14" fontId="39" fillId="0" borderId="7" xfId="0" quotePrefix="1" applyNumberFormat="1" applyFont="1" applyBorder="1" applyAlignment="1">
      <alignment horizontal="center" wrapText="1"/>
    </xf>
    <xf numFmtId="0" fontId="39" fillId="0" borderId="7" xfId="0" applyFont="1" applyBorder="1" applyAlignment="1">
      <alignment horizontal="center" wrapText="1"/>
    </xf>
    <xf numFmtId="0" fontId="39" fillId="0" borderId="14" xfId="0" quotePrefix="1" applyFont="1" applyBorder="1" applyAlignment="1">
      <alignment wrapText="1"/>
    </xf>
    <xf numFmtId="0" fontId="39" fillId="0" borderId="1" xfId="0" applyFont="1" applyBorder="1" applyAlignment="1">
      <alignment wrapText="1"/>
    </xf>
    <xf numFmtId="0" fontId="39" fillId="0" borderId="7" xfId="0" quotePrefix="1" applyFont="1" applyBorder="1" applyAlignment="1">
      <alignment horizontal="center" vertical="center" wrapText="1"/>
    </xf>
    <xf numFmtId="0" fontId="39" fillId="0" borderId="0" xfId="0" applyFont="1" applyAlignment="1">
      <alignment wrapText="1"/>
    </xf>
    <xf numFmtId="0" fontId="39" fillId="0" borderId="14" xfId="0" quotePrefix="1" applyFont="1" applyBorder="1" applyAlignment="1">
      <alignment horizontal="center" wrapText="1"/>
    </xf>
    <xf numFmtId="0" fontId="39" fillId="0" borderId="6" xfId="0" applyFont="1" applyBorder="1" applyAlignment="1">
      <alignment wrapText="1"/>
    </xf>
    <xf numFmtId="49" fontId="39" fillId="0" borderId="1" xfId="0" applyNumberFormat="1" applyFont="1" applyBorder="1" applyAlignment="1">
      <alignment horizontal="left"/>
    </xf>
    <xf numFmtId="49" fontId="39" fillId="0" borderId="6" xfId="0" applyNumberFormat="1" applyFont="1" applyBorder="1"/>
    <xf numFmtId="167" fontId="39" fillId="0" borderId="7" xfId="0" quotePrefix="1" applyNumberFormat="1" applyFont="1" applyBorder="1" applyAlignment="1">
      <alignment horizontal="center"/>
    </xf>
    <xf numFmtId="0" fontId="39" fillId="0" borderId="14" xfId="0" quotePrefix="1" applyFont="1" applyBorder="1"/>
    <xf numFmtId="49" fontId="39" fillId="0" borderId="14" xfId="0" applyNumberFormat="1" applyFont="1" applyBorder="1" applyAlignment="1">
      <alignment horizontal="center"/>
    </xf>
    <xf numFmtId="0" fontId="39" fillId="0" borderId="6" xfId="0" applyFont="1" applyBorder="1"/>
    <xf numFmtId="4" fontId="39" fillId="0" borderId="7" xfId="0" applyNumberFormat="1" applyFont="1" applyBorder="1" applyAlignment="1">
      <alignment horizontal="center"/>
    </xf>
    <xf numFmtId="49" fontId="39" fillId="0" borderId="7" xfId="0" applyNumberFormat="1" applyFont="1" applyBorder="1" applyAlignment="1">
      <alignment horizontal="center" vertical="center"/>
    </xf>
    <xf numFmtId="49" fontId="39" fillId="0" borderId="1" xfId="0" applyNumberFormat="1" applyFont="1" applyBorder="1"/>
    <xf numFmtId="49" fontId="39" fillId="0" borderId="0" xfId="0" applyNumberFormat="1" applyFont="1" applyAlignment="1">
      <alignment horizontal="left"/>
    </xf>
    <xf numFmtId="49" fontId="39" fillId="0" borderId="0" xfId="0" applyNumberFormat="1" applyFont="1"/>
    <xf numFmtId="0" fontId="39" fillId="0" borderId="6" xfId="0" quotePrefix="1" applyFont="1" applyBorder="1" applyAlignment="1">
      <alignment wrapText="1"/>
    </xf>
    <xf numFmtId="0" fontId="39" fillId="0" borderId="1" xfId="0" quotePrefix="1" applyFont="1" applyBorder="1" applyAlignment="1">
      <alignment horizontal="center" vertical="center" wrapText="1"/>
    </xf>
    <xf numFmtId="0" fontId="39" fillId="0" borderId="6" xfId="0" quotePrefix="1" applyFont="1" applyBorder="1" applyAlignment="1">
      <alignment horizontal="center" wrapText="1"/>
    </xf>
    <xf numFmtId="49" fontId="39" fillId="0" borderId="16" xfId="0" quotePrefix="1" applyNumberFormat="1" applyFont="1" applyBorder="1" applyAlignment="1">
      <alignment horizontal="center"/>
    </xf>
    <xf numFmtId="49" fontId="39" fillId="0" borderId="17" xfId="0" applyNumberFormat="1" applyFont="1" applyBorder="1" applyAlignment="1">
      <alignment horizontal="left"/>
    </xf>
    <xf numFmtId="49" fontId="39" fillId="0" borderId="17" xfId="0" quotePrefix="1" applyNumberFormat="1" applyFont="1" applyBorder="1" applyAlignment="1">
      <alignment horizontal="center"/>
    </xf>
    <xf numFmtId="49" fontId="39" fillId="0" borderId="17" xfId="0" applyNumberFormat="1" applyFont="1" applyBorder="1"/>
    <xf numFmtId="0" fontId="39" fillId="0" borderId="16" xfId="0" quotePrefix="1" applyFont="1" applyBorder="1" applyAlignment="1">
      <alignment horizontal="center" wrapText="1"/>
    </xf>
    <xf numFmtId="0" fontId="39" fillId="0" borderId="17" xfId="0" applyFont="1" applyBorder="1" applyAlignment="1">
      <alignment wrapText="1"/>
    </xf>
    <xf numFmtId="0" fontId="39" fillId="0" borderId="17" xfId="0" quotePrefix="1" applyFont="1" applyBorder="1" applyAlignment="1">
      <alignment horizontal="center" vertical="center" wrapText="1"/>
    </xf>
    <xf numFmtId="14" fontId="39" fillId="0" borderId="7" xfId="0" applyNumberFormat="1" applyFont="1" applyBorder="1" applyAlignment="1">
      <alignment horizontal="center" wrapText="1"/>
    </xf>
    <xf numFmtId="14" fontId="39" fillId="0" borderId="7" xfId="0" applyNumberFormat="1" applyFont="1" applyBorder="1" applyAlignment="1">
      <alignment horizontal="center"/>
    </xf>
    <xf numFmtId="0" fontId="39" fillId="0" borderId="14" xfId="0" quotePrefix="1" applyFont="1" applyBorder="1" applyAlignment="1">
      <alignment horizontal="center"/>
    </xf>
    <xf numFmtId="0" fontId="39" fillId="0" borderId="7" xfId="0" applyFont="1" applyBorder="1" applyAlignment="1">
      <alignment horizontal="center" vertical="center" wrapText="1"/>
    </xf>
    <xf numFmtId="49" fontId="39" fillId="0" borderId="7" xfId="0" applyNumberFormat="1" applyFont="1" applyBorder="1" applyAlignment="1">
      <alignment wrapText="1"/>
    </xf>
    <xf numFmtId="49" fontId="39" fillId="0" borderId="7" xfId="0" applyNumberFormat="1" applyFont="1" applyBorder="1" applyAlignment="1">
      <alignment horizontal="left" wrapText="1"/>
    </xf>
    <xf numFmtId="49" fontId="39" fillId="0" borderId="7" xfId="0" quotePrefix="1" applyNumberFormat="1" applyFont="1" applyBorder="1" applyAlignment="1">
      <alignment horizontal="center" wrapText="1"/>
    </xf>
    <xf numFmtId="0" fontId="39" fillId="0" borderId="0" xfId="0" quotePrefix="1" applyFont="1" applyAlignment="1">
      <alignment wrapText="1"/>
    </xf>
    <xf numFmtId="0" fontId="39" fillId="0" borderId="0" xfId="0" quotePrefix="1" applyFont="1" applyAlignment="1">
      <alignment horizontal="center" vertical="center" wrapText="1"/>
    </xf>
    <xf numFmtId="49" fontId="39" fillId="0" borderId="0" xfId="0" quotePrefix="1" applyNumberFormat="1" applyFont="1" applyAlignment="1">
      <alignment horizontal="center"/>
    </xf>
    <xf numFmtId="0" fontId="39" fillId="0" borderId="7" xfId="1" applyFont="1" applyBorder="1" applyAlignment="1">
      <alignment horizontal="center"/>
    </xf>
    <xf numFmtId="0" fontId="39" fillId="0" borderId="6" xfId="0" applyFont="1" applyBorder="1" applyAlignment="1">
      <alignment horizontal="center"/>
    </xf>
    <xf numFmtId="0" fontId="39" fillId="0" borderId="0" xfId="0" applyFont="1" applyAlignment="1">
      <alignment horizontal="center" vertical="center"/>
    </xf>
    <xf numFmtId="0" fontId="39" fillId="0" borderId="0" xfId="0" quotePrefix="1" applyFont="1" applyAlignment="1">
      <alignment horizontal="center"/>
    </xf>
    <xf numFmtId="0" fontId="39" fillId="0" borderId="1" xfId="0" applyFont="1" applyBorder="1" applyAlignment="1">
      <alignment horizontal="center"/>
    </xf>
    <xf numFmtId="14" fontId="39" fillId="0" borderId="7" xfId="0" quotePrefix="1" applyNumberFormat="1" applyFont="1" applyBorder="1" applyAlignment="1">
      <alignment horizontal="center" vertical="center"/>
    </xf>
    <xf numFmtId="49" fontId="39" fillId="0" borderId="6" xfId="1" applyNumberFormat="1" applyFont="1" applyBorder="1" applyAlignment="1">
      <alignment horizontal="center" vertical="center" wrapText="1"/>
    </xf>
    <xf numFmtId="49" fontId="39" fillId="0" borderId="1" xfId="1" quotePrefix="1" applyNumberFormat="1" applyFont="1" applyBorder="1" applyAlignment="1">
      <alignment horizontal="right" vertical="center" wrapText="1"/>
    </xf>
    <xf numFmtId="0" fontId="39" fillId="0" borderId="6" xfId="0" quotePrefix="1" applyFont="1" applyBorder="1" applyAlignment="1">
      <alignment horizontal="center"/>
    </xf>
    <xf numFmtId="0" fontId="39" fillId="0" borderId="1" xfId="0" quotePrefix="1" applyFont="1" applyBorder="1" applyAlignment="1">
      <alignment horizontal="right"/>
    </xf>
    <xf numFmtId="0" fontId="39" fillId="0" borderId="7" xfId="0" applyFont="1" applyBorder="1" applyAlignment="1">
      <alignment horizontal="right"/>
    </xf>
    <xf numFmtId="0" fontId="39" fillId="0" borderId="0" xfId="1" applyFont="1" applyAlignment="1">
      <alignment horizontal="center"/>
    </xf>
    <xf numFmtId="49" fontId="39" fillId="0" borderId="0" xfId="1" applyNumberFormat="1" applyFont="1" applyAlignment="1">
      <alignment horizontal="center" vertical="center" wrapText="1"/>
    </xf>
    <xf numFmtId="0" fontId="39" fillId="0" borderId="0" xfId="0" quotePrefix="1" applyFont="1" applyAlignment="1">
      <alignment horizontal="right"/>
    </xf>
    <xf numFmtId="2" fontId="39" fillId="0" borderId="0" xfId="0" applyNumberFormat="1" applyFont="1" applyAlignment="1">
      <alignment horizontal="center"/>
    </xf>
    <xf numFmtId="49" fontId="39" fillId="0" borderId="0" xfId="1" quotePrefix="1" applyNumberFormat="1" applyFont="1" applyAlignment="1">
      <alignment horizontal="right" vertical="center" wrapText="1"/>
    </xf>
    <xf numFmtId="0" fontId="39" fillId="0" borderId="15" xfId="0" applyFont="1" applyBorder="1" applyAlignment="1">
      <alignment horizontal="center"/>
    </xf>
    <xf numFmtId="49" fontId="37" fillId="0" borderId="7" xfId="1" applyNumberFormat="1" applyFont="1" applyBorder="1" applyAlignment="1">
      <alignment vertical="center" wrapText="1"/>
    </xf>
    <xf numFmtId="49" fontId="39" fillId="0" borderId="6" xfId="1" quotePrefix="1" applyNumberFormat="1" applyFont="1" applyBorder="1" applyAlignment="1">
      <alignment horizontal="right" vertical="center" wrapText="1"/>
    </xf>
    <xf numFmtId="0" fontId="39" fillId="0" borderId="6" xfId="0" quotePrefix="1" applyFont="1" applyBorder="1" applyAlignment="1">
      <alignment horizontal="right"/>
    </xf>
    <xf numFmtId="0" fontId="39" fillId="0" borderId="7" xfId="1" applyFont="1" applyBorder="1" applyAlignment="1">
      <alignment horizontal="center" vertical="center"/>
    </xf>
    <xf numFmtId="0" fontId="39" fillId="0" borderId="7" xfId="0" quotePrefix="1" applyFont="1" applyBorder="1" applyAlignment="1">
      <alignment horizontal="left"/>
    </xf>
    <xf numFmtId="0" fontId="39" fillId="0" borderId="7" xfId="0" applyFont="1" applyBorder="1" applyAlignment="1">
      <alignment horizontal="left" vertical="top"/>
    </xf>
    <xf numFmtId="0" fontId="39" fillId="0" borderId="6" xfId="0" quotePrefix="1" applyFont="1" applyBorder="1" applyAlignment="1">
      <alignment horizontal="right" vertical="center"/>
    </xf>
    <xf numFmtId="2" fontId="39" fillId="0" borderId="1" xfId="0" applyNumberFormat="1" applyFont="1" applyBorder="1" applyAlignment="1">
      <alignment horizontal="center"/>
    </xf>
    <xf numFmtId="0" fontId="39" fillId="0" borderId="1" xfId="0" applyFont="1" applyBorder="1" applyAlignment="1">
      <alignment vertical="center"/>
    </xf>
    <xf numFmtId="0" fontId="39" fillId="0" borderId="1" xfId="0" applyFont="1" applyBorder="1" applyAlignment="1">
      <alignment horizontal="left" vertical="center"/>
    </xf>
    <xf numFmtId="0" fontId="39" fillId="0" borderId="1" xfId="0" quotePrefix="1" applyFont="1" applyBorder="1" applyAlignment="1">
      <alignment horizontal="right" vertical="center"/>
    </xf>
    <xf numFmtId="0" fontId="39" fillId="0" borderId="0" xfId="0" quotePrefix="1" applyFont="1" applyAlignment="1">
      <alignment horizontal="left" vertical="center"/>
    </xf>
    <xf numFmtId="0" fontId="39" fillId="0" borderId="0" xfId="0" applyFont="1" applyAlignment="1">
      <alignment vertical="center"/>
    </xf>
    <xf numFmtId="49" fontId="39" fillId="0" borderId="1" xfId="1" applyNumberFormat="1" applyFont="1" applyBorder="1" applyAlignment="1">
      <alignment horizontal="left" vertical="center" wrapText="1"/>
    </xf>
    <xf numFmtId="0" fontId="39" fillId="0" borderId="13" xfId="0" quotePrefix="1" applyFont="1" applyBorder="1" applyAlignment="1">
      <alignment horizontal="right"/>
    </xf>
    <xf numFmtId="49" fontId="39" fillId="0" borderId="15" xfId="1" applyNumberFormat="1" applyFont="1" applyBorder="1" applyAlignment="1">
      <alignment horizontal="center" vertical="center" wrapText="1"/>
    </xf>
    <xf numFmtId="0" fontId="39" fillId="0" borderId="15" xfId="0" applyFont="1" applyBorder="1" applyAlignment="1">
      <alignment horizontal="left"/>
    </xf>
    <xf numFmtId="0" fontId="39" fillId="0" borderId="15" xfId="0" quotePrefix="1" applyFont="1" applyBorder="1" applyAlignment="1">
      <alignment horizontal="right"/>
    </xf>
    <xf numFmtId="0" fontId="39" fillId="0" borderId="15" xfId="0" applyFont="1" applyBorder="1"/>
    <xf numFmtId="49" fontId="39" fillId="0" borderId="6" xfId="0" quotePrefix="1" applyNumberFormat="1" applyFont="1" applyBorder="1" applyAlignment="1">
      <alignment horizontal="center"/>
    </xf>
    <xf numFmtId="49" fontId="39" fillId="0" borderId="1" xfId="0" quotePrefix="1" applyNumberFormat="1" applyFont="1" applyBorder="1" applyAlignment="1">
      <alignment horizontal="center"/>
    </xf>
    <xf numFmtId="0" fontId="39" fillId="0" borderId="1" xfId="0" applyFont="1" applyBorder="1" applyAlignment="1">
      <alignment horizontal="right"/>
    </xf>
    <xf numFmtId="0" fontId="39" fillId="0" borderId="14" xfId="0" applyFont="1" applyBorder="1" applyAlignment="1">
      <alignment wrapText="1"/>
    </xf>
    <xf numFmtId="0" fontId="39" fillId="0" borderId="14" xfId="0" applyFont="1" applyBorder="1" applyAlignment="1">
      <alignment horizontal="left"/>
    </xf>
    <xf numFmtId="49" fontId="39" fillId="0" borderId="2" xfId="0" quotePrefix="1" applyNumberFormat="1" applyFont="1" applyBorder="1" applyAlignment="1">
      <alignment horizontal="center"/>
    </xf>
    <xf numFmtId="3" fontId="39" fillId="0" borderId="7" xfId="0" applyNumberFormat="1" applyFont="1" applyBorder="1"/>
    <xf numFmtId="165" fontId="39" fillId="0" borderId="7" xfId="0" applyNumberFormat="1" applyFont="1" applyBorder="1" applyAlignment="1">
      <alignment horizontal="center"/>
    </xf>
    <xf numFmtId="0" fontId="39" fillId="0" borderId="2" xfId="0" quotePrefix="1" applyFont="1" applyBorder="1" applyAlignment="1">
      <alignment horizontal="center" vertical="center" wrapText="1"/>
    </xf>
    <xf numFmtId="3" fontId="39" fillId="0" borderId="0" xfId="0" applyNumberFormat="1" applyFont="1"/>
    <xf numFmtId="168" fontId="39" fillId="0" borderId="2" xfId="0" applyNumberFormat="1" applyFont="1" applyBorder="1" applyAlignment="1">
      <alignment horizontal="center"/>
    </xf>
    <xf numFmtId="14" fontId="39" fillId="0" borderId="14" xfId="0" applyNumberFormat="1" applyFont="1" applyBorder="1"/>
    <xf numFmtId="0" fontId="39" fillId="0" borderId="2" xfId="0" quotePrefix="1" applyFont="1" applyBorder="1"/>
    <xf numFmtId="14" fontId="39" fillId="0" borderId="7" xfId="0" quotePrefix="1" applyNumberFormat="1" applyFont="1" applyBorder="1" applyAlignment="1">
      <alignment horizontal="center"/>
    </xf>
    <xf numFmtId="0" fontId="39" fillId="0" borderId="4" xfId="0" quotePrefix="1" applyFont="1" applyBorder="1"/>
    <xf numFmtId="0" fontId="39" fillId="0" borderId="2" xfId="0" quotePrefix="1" applyFont="1" applyBorder="1" applyAlignment="1">
      <alignment horizontal="center"/>
    </xf>
    <xf numFmtId="3" fontId="39" fillId="0" borderId="7" xfId="0" applyNumberFormat="1" applyFont="1" applyBorder="1" applyAlignment="1">
      <alignment horizontal="left"/>
    </xf>
    <xf numFmtId="0" fontId="39" fillId="0" borderId="2" xfId="0" applyFont="1" applyBorder="1"/>
    <xf numFmtId="49" fontId="39" fillId="0" borderId="17" xfId="0" applyNumberFormat="1" applyFont="1" applyBorder="1" applyAlignment="1">
      <alignment horizontal="center"/>
    </xf>
    <xf numFmtId="0" fontId="39" fillId="0" borderId="16" xfId="0" applyFont="1" applyBorder="1" applyAlignment="1">
      <alignment horizontal="left"/>
    </xf>
    <xf numFmtId="0" fontId="39" fillId="0" borderId="16" xfId="0" applyFont="1" applyBorder="1"/>
    <xf numFmtId="0" fontId="39" fillId="0" borderId="18" xfId="0" applyFont="1" applyBorder="1"/>
    <xf numFmtId="0" fontId="39" fillId="0" borderId="16" xfId="0" quotePrefix="1" applyFont="1" applyBorder="1"/>
    <xf numFmtId="0" fontId="39" fillId="0" borderId="17" xfId="0" quotePrefix="1" applyFont="1" applyBorder="1" applyAlignment="1">
      <alignment horizontal="center"/>
    </xf>
    <xf numFmtId="3" fontId="39" fillId="0" borderId="17" xfId="0" applyNumberFormat="1" applyFont="1" applyBorder="1"/>
    <xf numFmtId="0" fontId="39" fillId="0" borderId="16" xfId="0" applyFont="1" applyBorder="1" applyAlignment="1">
      <alignment wrapText="1"/>
    </xf>
    <xf numFmtId="0" fontId="39" fillId="0" borderId="14" xfId="0" quotePrefix="1" applyFont="1" applyBorder="1" applyAlignment="1">
      <alignment horizontal="right" wrapText="1"/>
    </xf>
    <xf numFmtId="0" fontId="39" fillId="0" borderId="7" xfId="0" quotePrefix="1" applyFont="1" applyBorder="1" applyAlignment="1">
      <alignment horizontal="center" wrapText="1"/>
    </xf>
    <xf numFmtId="0" fontId="39" fillId="0" borderId="0" xfId="0" quotePrefix="1" applyFont="1" applyAlignment="1">
      <alignment horizontal="center" wrapText="1"/>
    </xf>
    <xf numFmtId="0" fontId="39" fillId="0" borderId="0" xfId="0" applyFont="1" applyAlignment="1">
      <alignment horizontal="center" vertical="center" wrapText="1"/>
    </xf>
    <xf numFmtId="0" fontId="39" fillId="0" borderId="0" xfId="0" quotePrefix="1" applyFont="1"/>
    <xf numFmtId="49" fontId="39" fillId="0" borderId="6" xfId="0" applyNumberFormat="1" applyFont="1" applyBorder="1" applyAlignment="1">
      <alignment horizontal="center"/>
    </xf>
    <xf numFmtId="49" fontId="39" fillId="0" borderId="1" xfId="0" applyNumberFormat="1" applyFont="1" applyBorder="1" applyAlignment="1">
      <alignment horizontal="center"/>
    </xf>
    <xf numFmtId="4" fontId="39" fillId="0" borderId="1" xfId="0" applyNumberFormat="1" applyFont="1" applyBorder="1"/>
    <xf numFmtId="0" fontId="39" fillId="0" borderId="6" xfId="0" quotePrefix="1" applyFont="1" applyBorder="1"/>
    <xf numFmtId="0" fontId="39" fillId="0" borderId="1" xfId="0" quotePrefix="1" applyFont="1" applyBorder="1" applyAlignment="1">
      <alignment horizontal="center"/>
    </xf>
    <xf numFmtId="3" fontId="39" fillId="0" borderId="1" xfId="0" applyNumberFormat="1" applyFont="1" applyBorder="1" applyAlignment="1">
      <alignment horizontal="left"/>
    </xf>
    <xf numFmtId="3" fontId="39" fillId="0" borderId="0" xfId="0" applyNumberFormat="1" applyFont="1" applyAlignment="1">
      <alignment horizontal="right"/>
    </xf>
    <xf numFmtId="167" fontId="39" fillId="0" borderId="7" xfId="0" applyNumberFormat="1" applyFont="1" applyBorder="1" applyAlignment="1">
      <alignment horizontal="center"/>
    </xf>
    <xf numFmtId="49" fontId="39" fillId="0" borderId="6" xfId="0" quotePrefix="1" applyNumberFormat="1" applyFont="1" applyBorder="1"/>
    <xf numFmtId="49" fontId="39" fillId="0" borderId="1" xfId="0" quotePrefix="1" applyNumberFormat="1" applyFont="1" applyBorder="1"/>
    <xf numFmtId="3" fontId="39" fillId="0" borderId="1" xfId="0" applyNumberFormat="1" applyFont="1" applyBorder="1"/>
    <xf numFmtId="49" fontId="39" fillId="0" borderId="7" xfId="1" applyNumberFormat="1" applyFont="1" applyBorder="1" applyAlignment="1">
      <alignment horizontal="center" wrapText="1"/>
    </xf>
    <xf numFmtId="49" fontId="39" fillId="0" borderId="0" xfId="1" applyNumberFormat="1" applyFont="1" applyAlignment="1">
      <alignment horizontal="left" vertical="center" wrapText="1"/>
    </xf>
    <xf numFmtId="1" fontId="39" fillId="0" borderId="7" xfId="0" applyNumberFormat="1" applyFont="1" applyBorder="1" applyAlignment="1">
      <alignment horizontal="center"/>
    </xf>
    <xf numFmtId="49" fontId="39" fillId="0" borderId="0" xfId="0" applyNumberFormat="1" applyFont="1" applyAlignment="1">
      <alignment horizontal="center"/>
    </xf>
    <xf numFmtId="0" fontId="39" fillId="2" borderId="0" xfId="0" applyFont="1" applyFill="1"/>
    <xf numFmtId="49" fontId="36" fillId="0" borderId="14" xfId="1" applyNumberFormat="1" applyFont="1" applyBorder="1" applyAlignment="1">
      <alignment horizontal="center" vertical="center" wrapText="1"/>
    </xf>
    <xf numFmtId="49" fontId="39" fillId="0" borderId="7" xfId="0" quotePrefix="1" applyNumberFormat="1" applyFont="1" applyBorder="1" applyAlignment="1">
      <alignment horizontal="right"/>
    </xf>
    <xf numFmtId="0" fontId="39" fillId="0" borderId="4" xfId="0" applyFont="1" applyBorder="1" applyAlignment="1">
      <alignment horizontal="center"/>
    </xf>
    <xf numFmtId="49" fontId="39" fillId="0" borderId="7" xfId="0" quotePrefix="1" applyNumberFormat="1" applyFont="1" applyBorder="1" applyAlignment="1">
      <alignment horizontal="center" vertical="center"/>
    </xf>
    <xf numFmtId="0" fontId="39" fillId="0" borderId="4" xfId="0" applyFont="1" applyBorder="1"/>
    <xf numFmtId="49" fontId="39" fillId="0" borderId="7" xfId="0" applyNumberFormat="1" applyFont="1" applyBorder="1" applyAlignment="1">
      <alignment horizontal="right"/>
    </xf>
    <xf numFmtId="49" fontId="39" fillId="0" borderId="14" xfId="0" quotePrefix="1" applyNumberFormat="1" applyFont="1" applyBorder="1"/>
    <xf numFmtId="167" fontId="39" fillId="0" borderId="7" xfId="0" quotePrefix="1" applyNumberFormat="1" applyFont="1" applyBorder="1" applyAlignment="1">
      <alignment horizontal="center" vertical="center"/>
    </xf>
    <xf numFmtId="49" fontId="39" fillId="0" borderId="7" xfId="0" quotePrefix="1" applyNumberFormat="1" applyFont="1" applyBorder="1"/>
    <xf numFmtId="4" fontId="39" fillId="0" borderId="7" xfId="0" applyNumberFormat="1" applyFont="1" applyBorder="1" applyAlignment="1">
      <alignment horizontal="center" vertical="center"/>
    </xf>
    <xf numFmtId="3" fontId="39" fillId="0" borderId="7" xfId="0" applyNumberFormat="1" applyFont="1" applyBorder="1" applyAlignment="1">
      <alignment horizontal="right"/>
    </xf>
    <xf numFmtId="167" fontId="39" fillId="0" borderId="7" xfId="0" applyNumberFormat="1" applyFont="1" applyBorder="1" applyAlignment="1">
      <alignment horizontal="center" vertical="center"/>
    </xf>
    <xf numFmtId="49" fontId="39" fillId="0" borderId="14" xfId="0" quotePrefix="1" applyNumberFormat="1" applyFont="1" applyBorder="1" applyAlignment="1">
      <alignment horizontal="right"/>
    </xf>
    <xf numFmtId="0" fontId="41" fillId="0" borderId="7" xfId="0" applyFont="1" applyBorder="1"/>
    <xf numFmtId="49" fontId="37" fillId="0" borderId="1" xfId="1" applyNumberFormat="1" applyFont="1" applyBorder="1" applyAlignment="1">
      <alignment horizontal="center" vertical="center" wrapText="1"/>
    </xf>
    <xf numFmtId="49" fontId="37" fillId="0" borderId="6" xfId="1" applyNumberFormat="1" applyFont="1" applyBorder="1" applyAlignment="1">
      <alignment horizontal="center" vertical="center" wrapText="1"/>
    </xf>
    <xf numFmtId="0" fontId="37" fillId="0" borderId="2" xfId="0" applyFont="1" applyBorder="1" applyAlignment="1">
      <alignment horizontal="center"/>
    </xf>
    <xf numFmtId="0" fontId="26" fillId="0" borderId="7" xfId="0" applyFont="1" applyBorder="1"/>
    <xf numFmtId="169" fontId="39" fillId="0" borderId="14" xfId="0" quotePrefix="1" applyNumberFormat="1" applyFont="1" applyBorder="1"/>
    <xf numFmtId="168" fontId="39" fillId="0" borderId="7" xfId="0" quotePrefix="1" applyNumberFormat="1" applyFont="1" applyBorder="1" applyAlignment="1">
      <alignment horizontal="center"/>
    </xf>
    <xf numFmtId="49" fontId="39" fillId="0" borderId="14" xfId="0" quotePrefix="1" applyNumberFormat="1" applyFont="1" applyBorder="1" applyAlignment="1">
      <alignment horizontal="left"/>
    </xf>
    <xf numFmtId="166" fontId="39" fillId="0" borderId="7" xfId="0" applyNumberFormat="1" applyFont="1" applyBorder="1" applyAlignment="1">
      <alignment horizontal="center" vertical="center"/>
    </xf>
    <xf numFmtId="0" fontId="39" fillId="0" borderId="3" xfId="0" applyFont="1" applyBorder="1" applyAlignment="1">
      <alignment horizontal="center"/>
    </xf>
    <xf numFmtId="0" fontId="39" fillId="0" borderId="16" xfId="0" quotePrefix="1" applyFont="1" applyBorder="1" applyAlignment="1">
      <alignment horizontal="center"/>
    </xf>
    <xf numFmtId="0" fontId="39" fillId="0" borderId="16" xfId="0" applyFont="1" applyBorder="1" applyAlignment="1">
      <alignment horizontal="center" vertical="center"/>
    </xf>
    <xf numFmtId="49" fontId="39" fillId="0" borderId="16" xfId="1" applyNumberFormat="1" applyFont="1" applyBorder="1" applyAlignment="1">
      <alignment horizontal="center" vertical="center" wrapText="1"/>
    </xf>
    <xf numFmtId="0" fontId="39" fillId="0" borderId="18" xfId="0" quotePrefix="1" applyFont="1" applyBorder="1" applyAlignment="1">
      <alignment horizontal="right"/>
    </xf>
    <xf numFmtId="0" fontId="39" fillId="0" borderId="18" xfId="0" applyFont="1" applyBorder="1" applyAlignment="1">
      <alignment horizontal="center" vertical="center"/>
    </xf>
    <xf numFmtId="49" fontId="39" fillId="0" borderId="18" xfId="1" applyNumberFormat="1" applyFont="1" applyBorder="1" applyAlignment="1">
      <alignment horizontal="center" vertical="center" wrapText="1"/>
    </xf>
    <xf numFmtId="0" fontId="39" fillId="0" borderId="18" xfId="0" applyFont="1" applyBorder="1" applyAlignment="1">
      <alignment horizontal="left"/>
    </xf>
    <xf numFmtId="0" fontId="39" fillId="0" borderId="18" xfId="0" applyFont="1" applyBorder="1" applyAlignment="1">
      <alignment horizontal="center"/>
    </xf>
    <xf numFmtId="49" fontId="39" fillId="0" borderId="16" xfId="1" applyNumberFormat="1" applyFont="1" applyBorder="1" applyAlignment="1">
      <alignment horizontal="left" vertical="center" wrapText="1"/>
    </xf>
    <xf numFmtId="49" fontId="39" fillId="0" borderId="17" xfId="1" applyNumberFormat="1" applyFont="1" applyBorder="1" applyAlignment="1">
      <alignment horizontal="center" vertical="center" wrapText="1"/>
    </xf>
    <xf numFmtId="0" fontId="39" fillId="0" borderId="19" xfId="0" applyFont="1" applyBorder="1" applyAlignment="1">
      <alignment horizontal="center"/>
    </xf>
    <xf numFmtId="0" fontId="39" fillId="0" borderId="20" xfId="0" quotePrefix="1" applyFont="1" applyBorder="1" applyAlignment="1">
      <alignment horizontal="right"/>
    </xf>
    <xf numFmtId="49" fontId="39" fillId="0" borderId="17" xfId="1" applyNumberFormat="1" applyFont="1" applyBorder="1" applyAlignment="1">
      <alignment horizontal="left" vertical="center" wrapText="1"/>
    </xf>
    <xf numFmtId="49" fontId="39" fillId="0" borderId="16" xfId="1" quotePrefix="1" applyNumberFormat="1" applyFont="1" applyBorder="1" applyAlignment="1">
      <alignment horizontal="right" vertical="center" wrapText="1"/>
    </xf>
    <xf numFmtId="0" fontId="39" fillId="0" borderId="17" xfId="0" quotePrefix="1" applyFont="1" applyBorder="1"/>
    <xf numFmtId="0" fontId="39" fillId="0" borderId="17" xfId="0" quotePrefix="1" applyFont="1" applyBorder="1" applyAlignment="1">
      <alignment horizontal="center" vertical="center"/>
    </xf>
    <xf numFmtId="0" fontId="39" fillId="0" borderId="17" xfId="0" applyFont="1" applyBorder="1" applyAlignment="1">
      <alignment horizontal="left" vertical="center"/>
    </xf>
    <xf numFmtId="0" fontId="39" fillId="0" borderId="0" xfId="0" quotePrefix="1" applyFont="1" applyAlignment="1">
      <alignment horizontal="right" vertical="center"/>
    </xf>
    <xf numFmtId="0" fontId="39" fillId="0" borderId="17" xfId="0" applyFont="1" applyBorder="1" applyAlignment="1">
      <alignment horizontal="right"/>
    </xf>
    <xf numFmtId="49" fontId="39" fillId="0" borderId="17" xfId="1" quotePrefix="1" applyNumberFormat="1" applyFont="1" applyBorder="1" applyAlignment="1">
      <alignment horizontal="right" vertical="center" wrapText="1"/>
    </xf>
    <xf numFmtId="0" fontId="37" fillId="0" borderId="1" xfId="0" applyFont="1" applyBorder="1" applyAlignment="1">
      <alignment horizontal="center"/>
    </xf>
    <xf numFmtId="49" fontId="39" fillId="0" borderId="21" xfId="1" applyNumberFormat="1" applyFont="1" applyBorder="1" applyAlignment="1">
      <alignment horizontal="center" vertical="center" wrapText="1"/>
    </xf>
    <xf numFmtId="0" fontId="39" fillId="0" borderId="22" xfId="0" applyFont="1" applyBorder="1"/>
    <xf numFmtId="0" fontId="39" fillId="0" borderId="22" xfId="0" applyFont="1" applyBorder="1" applyAlignment="1">
      <alignment horizontal="center"/>
    </xf>
    <xf numFmtId="0" fontId="39" fillId="0" borderId="22" xfId="0" quotePrefix="1" applyFont="1" applyBorder="1" applyAlignment="1">
      <alignment horizontal="right"/>
    </xf>
    <xf numFmtId="0" fontId="39" fillId="0" borderId="22" xfId="0" applyFont="1" applyBorder="1" applyAlignment="1">
      <alignment horizontal="center" vertical="center"/>
    </xf>
    <xf numFmtId="49" fontId="39" fillId="0" borderId="22" xfId="1" applyNumberFormat="1" applyFont="1" applyBorder="1" applyAlignment="1">
      <alignment horizontal="center" vertical="center" wrapText="1"/>
    </xf>
    <xf numFmtId="0" fontId="39" fillId="0" borderId="22" xfId="0" applyFont="1" applyBorder="1" applyAlignment="1">
      <alignment horizontal="left"/>
    </xf>
    <xf numFmtId="0" fontId="39" fillId="0" borderId="7" xfId="1" applyFont="1" applyBorder="1" applyAlignment="1">
      <alignment horizontal="center" vertical="center" wrapText="1"/>
    </xf>
    <xf numFmtId="2" fontId="39" fillId="0" borderId="17" xfId="0" applyNumberFormat="1" applyFont="1" applyBorder="1" applyAlignment="1">
      <alignment horizontal="center"/>
    </xf>
    <xf numFmtId="0" fontId="39" fillId="0" borderId="17" xfId="0" quotePrefix="1" applyFont="1" applyBorder="1" applyAlignment="1">
      <alignment horizontal="left"/>
    </xf>
    <xf numFmtId="0" fontId="39" fillId="0" borderId="1" xfId="0" quotePrefix="1" applyFont="1" applyBorder="1"/>
    <xf numFmtId="2" fontId="39" fillId="0" borderId="0" xfId="0" applyNumberFormat="1" applyFont="1" applyAlignment="1">
      <alignment horizontal="left" vertical="center"/>
    </xf>
    <xf numFmtId="0" fontId="39" fillId="0" borderId="4" xfId="0" applyFont="1" applyBorder="1" applyAlignment="1">
      <alignment horizontal="left"/>
    </xf>
    <xf numFmtId="0" fontId="39" fillId="0" borderId="14" xfId="0" applyFont="1" applyBorder="1" applyAlignment="1">
      <alignment horizontal="right"/>
    </xf>
    <xf numFmtId="0" fontId="39" fillId="0" borderId="7" xfId="0" quotePrefix="1" applyFont="1" applyBorder="1" applyAlignment="1">
      <alignment vertical="center"/>
    </xf>
    <xf numFmtId="0" fontId="42" fillId="0" borderId="0" xfId="0" applyFont="1"/>
    <xf numFmtId="0" fontId="43" fillId="0" borderId="0" xfId="0" applyFont="1" applyAlignment="1">
      <alignment horizontal="centerContinuous"/>
    </xf>
    <xf numFmtId="0" fontId="6" fillId="2" borderId="0" xfId="0" applyFont="1" applyFill="1"/>
    <xf numFmtId="0" fontId="6" fillId="4" borderId="0" xfId="0" applyFont="1" applyFill="1"/>
    <xf numFmtId="2" fontId="6" fillId="0" borderId="0" xfId="0" applyNumberFormat="1" applyFont="1" applyAlignment="1">
      <alignment horizontal="center" vertical="center"/>
    </xf>
    <xf numFmtId="2" fontId="6" fillId="0" borderId="0" xfId="0" applyNumberFormat="1" applyFont="1" applyAlignment="1">
      <alignment horizontal="center"/>
    </xf>
    <xf numFmtId="0" fontId="6" fillId="3" borderId="0" xfId="0" applyFont="1" applyFill="1"/>
    <xf numFmtId="0" fontId="17" fillId="0" borderId="7" xfId="0" applyFont="1" applyBorder="1" applyAlignment="1">
      <alignment horizontal="center" vertical="center" wrapText="1"/>
    </xf>
    <xf numFmtId="0" fontId="15" fillId="0" borderId="7" xfId="0" applyFont="1" applyBorder="1" applyAlignment="1">
      <alignment horizontal="center" vertical="center" wrapText="1"/>
    </xf>
    <xf numFmtId="0" fontId="10" fillId="0" borderId="7" xfId="0" applyFont="1" applyBorder="1" applyAlignment="1">
      <alignment horizontal="center" vertical="center"/>
    </xf>
    <xf numFmtId="0" fontId="18" fillId="0" borderId="7"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left" vertical="center"/>
    </xf>
    <xf numFmtId="0" fontId="6" fillId="0" borderId="2" xfId="0" applyFont="1" applyBorder="1" applyAlignment="1">
      <alignment vertical="center"/>
    </xf>
    <xf numFmtId="0" fontId="6" fillId="0" borderId="2" xfId="0" applyFont="1" applyBorder="1" applyAlignment="1">
      <alignment horizontal="center" vertical="center"/>
    </xf>
    <xf numFmtId="0" fontId="6" fillId="0" borderId="7" xfId="0" applyFont="1" applyBorder="1" applyAlignment="1">
      <alignment horizontal="center" vertical="center"/>
    </xf>
    <xf numFmtId="2" fontId="3" fillId="0" borderId="7" xfId="0" applyNumberFormat="1" applyFont="1" applyBorder="1" applyAlignment="1">
      <alignment horizontal="center" vertical="center"/>
    </xf>
    <xf numFmtId="0" fontId="23" fillId="0" borderId="7" xfId="0" applyFont="1" applyBorder="1" applyAlignment="1">
      <alignment horizontal="center" vertical="center" wrapText="1"/>
    </xf>
    <xf numFmtId="0" fontId="19" fillId="0" borderId="7" xfId="0" applyFont="1" applyBorder="1" applyAlignment="1">
      <alignment horizontal="center" vertical="center" wrapText="1"/>
    </xf>
    <xf numFmtId="0" fontId="23" fillId="0" borderId="7" xfId="0" applyFont="1" applyBorder="1" applyAlignment="1">
      <alignment horizontal="center" vertical="center"/>
    </xf>
    <xf numFmtId="0" fontId="20" fillId="0" borderId="7" xfId="0" applyFont="1" applyBorder="1" applyAlignment="1">
      <alignment horizontal="center" vertical="center" wrapText="1"/>
    </xf>
    <xf numFmtId="0" fontId="19" fillId="0" borderId="7" xfId="0" applyFont="1" applyBorder="1" applyAlignment="1">
      <alignment horizontal="center" vertical="center"/>
    </xf>
    <xf numFmtId="0" fontId="6" fillId="0" borderId="4" xfId="0" applyFont="1" applyBorder="1" applyAlignment="1">
      <alignment vertical="center"/>
    </xf>
    <xf numFmtId="0" fontId="3" fillId="0" borderId="7" xfId="0" applyFont="1" applyBorder="1" applyAlignment="1">
      <alignment vertical="center"/>
    </xf>
    <xf numFmtId="0" fontId="10" fillId="0" borderId="7" xfId="0" applyFont="1" applyBorder="1" applyAlignment="1">
      <alignment vertical="center"/>
    </xf>
    <xf numFmtId="0" fontId="6" fillId="0" borderId="2" xfId="0" applyFont="1" applyBorder="1" applyAlignment="1">
      <alignment vertical="center" wrapText="1"/>
    </xf>
    <xf numFmtId="0" fontId="3" fillId="0" borderId="2" xfId="0" applyFont="1" applyBorder="1" applyAlignment="1">
      <alignment vertical="center"/>
    </xf>
    <xf numFmtId="0" fontId="28" fillId="0" borderId="2" xfId="0" applyFont="1" applyBorder="1" applyAlignment="1">
      <alignment horizontal="left" vertical="center"/>
    </xf>
    <xf numFmtId="0" fontId="3" fillId="0" borderId="0" xfId="0" applyFont="1" applyAlignment="1">
      <alignment vertical="center"/>
    </xf>
    <xf numFmtId="0" fontId="3" fillId="0" borderId="2" xfId="0" applyFont="1" applyBorder="1" applyAlignment="1">
      <alignment vertical="center" wrapText="1"/>
    </xf>
    <xf numFmtId="0" fontId="29" fillId="0" borderId="2" xfId="0" applyFont="1" applyBorder="1" applyAlignment="1">
      <alignment horizontal="center" vertical="center"/>
    </xf>
    <xf numFmtId="0" fontId="6" fillId="0" borderId="7" xfId="0" applyFont="1" applyBorder="1" applyAlignment="1">
      <alignment horizontal="left" vertical="center"/>
    </xf>
    <xf numFmtId="164" fontId="28" fillId="0" borderId="2" xfId="0" applyNumberFormat="1" applyFont="1" applyBorder="1" applyAlignment="1">
      <alignment horizontal="left" vertical="center"/>
    </xf>
    <xf numFmtId="0" fontId="6" fillId="0" borderId="2" xfId="2" applyFont="1" applyBorder="1" applyAlignment="1">
      <alignment horizontal="left" vertical="center"/>
    </xf>
    <xf numFmtId="0" fontId="30" fillId="0" borderId="7" xfId="0" applyFont="1" applyBorder="1" applyAlignment="1">
      <alignment horizontal="center" vertical="center" wrapText="1"/>
    </xf>
    <xf numFmtId="0" fontId="30" fillId="0" borderId="2" xfId="0" applyFont="1" applyBorder="1" applyAlignment="1">
      <alignment horizontal="center" vertical="center" wrapText="1"/>
    </xf>
    <xf numFmtId="1" fontId="10" fillId="0" borderId="7" xfId="0" applyNumberFormat="1" applyFont="1" applyBorder="1" applyAlignment="1">
      <alignment horizontal="center" vertical="center"/>
    </xf>
    <xf numFmtId="0" fontId="29" fillId="0" borderId="7" xfId="0" applyFont="1" applyBorder="1" applyAlignment="1">
      <alignment horizontal="center" vertical="center"/>
    </xf>
    <xf numFmtId="164" fontId="28" fillId="0" borderId="7" xfId="0" applyNumberFormat="1" applyFont="1" applyBorder="1" applyAlignment="1">
      <alignment horizontal="left" vertical="center"/>
    </xf>
    <xf numFmtId="0" fontId="31" fillId="0" borderId="7" xfId="0" applyFont="1" applyBorder="1" applyAlignment="1">
      <alignment horizontal="left" vertical="center" wrapText="1"/>
    </xf>
    <xf numFmtId="0" fontId="29" fillId="0" borderId="7" xfId="2" applyFont="1" applyBorder="1" applyAlignment="1">
      <alignment horizontal="center" vertical="center"/>
    </xf>
    <xf numFmtId="164" fontId="28" fillId="0" borderId="7" xfId="0" applyNumberFormat="1" applyFont="1" applyBorder="1" applyAlignment="1">
      <alignment horizontal="center" vertical="center"/>
    </xf>
    <xf numFmtId="0" fontId="3" fillId="0" borderId="2" xfId="0" applyFont="1" applyBorder="1" applyAlignment="1">
      <alignment horizontal="center" vertical="center"/>
    </xf>
    <xf numFmtId="0" fontId="22" fillId="0" borderId="7" xfId="0" applyFont="1" applyBorder="1" applyAlignment="1">
      <alignment horizontal="center" vertical="center" wrapText="1"/>
    </xf>
    <xf numFmtId="0" fontId="32" fillId="0" borderId="7" xfId="0" applyFont="1" applyBorder="1" applyAlignment="1">
      <alignment horizontal="center" vertical="center" wrapText="1"/>
    </xf>
    <xf numFmtId="0" fontId="10" fillId="0" borderId="2" xfId="0" applyFont="1" applyBorder="1" applyAlignment="1">
      <alignment vertical="center"/>
    </xf>
    <xf numFmtId="0" fontId="10" fillId="0" borderId="2" xfId="0" applyFont="1" applyBorder="1" applyAlignment="1">
      <alignment horizontal="center" vertical="center"/>
    </xf>
    <xf numFmtId="0" fontId="23" fillId="0" borderId="7" xfId="0" applyFont="1" applyBorder="1" applyAlignment="1">
      <alignment vertical="center"/>
    </xf>
    <xf numFmtId="49" fontId="39" fillId="0" borderId="7" xfId="0" applyNumberFormat="1" applyFont="1" applyBorder="1" applyAlignment="1">
      <alignment horizontal="center" wrapText="1"/>
    </xf>
    <xf numFmtId="49" fontId="21" fillId="0" borderId="0" xfId="0" applyNumberFormat="1" applyFont="1" applyAlignment="1">
      <alignment horizontal="center" vertical="center"/>
    </xf>
    <xf numFmtId="49" fontId="6" fillId="0" borderId="0" xfId="0" applyNumberFormat="1" applyFont="1" applyAlignment="1">
      <alignment horizontal="center" vertical="center"/>
    </xf>
    <xf numFmtId="0" fontId="39" fillId="0" borderId="23" xfId="0" applyFont="1" applyBorder="1" applyAlignment="1">
      <alignment horizontal="center"/>
    </xf>
    <xf numFmtId="49" fontId="39" fillId="0" borderId="2" xfId="1" applyNumberFormat="1" applyFont="1" applyBorder="1" applyAlignment="1">
      <alignment horizontal="center" vertical="center" wrapText="1"/>
    </xf>
    <xf numFmtId="0" fontId="39" fillId="0" borderId="20" xfId="0" applyFont="1" applyBorder="1"/>
    <xf numFmtId="0" fontId="34" fillId="0" borderId="7" xfId="0" applyFont="1" applyBorder="1" applyAlignment="1">
      <alignment horizontal="center" vertical="center"/>
    </xf>
    <xf numFmtId="0" fontId="43" fillId="0" borderId="7" xfId="0" applyFont="1" applyBorder="1" applyAlignment="1">
      <alignment horizontal="center" vertical="center" wrapText="1"/>
    </xf>
    <xf numFmtId="0" fontId="45" fillId="0" borderId="7" xfId="0" applyFont="1" applyBorder="1" applyAlignment="1">
      <alignment horizontal="center" vertical="center"/>
    </xf>
    <xf numFmtId="0" fontId="42" fillId="0" borderId="7" xfId="0" applyFont="1" applyBorder="1" applyAlignment="1">
      <alignment horizontal="center" vertical="center"/>
    </xf>
    <xf numFmtId="0" fontId="21" fillId="0" borderId="2" xfId="0" applyFont="1" applyBorder="1" applyAlignment="1">
      <alignment vertical="center"/>
    </xf>
    <xf numFmtId="0" fontId="43" fillId="0" borderId="7" xfId="0" applyFont="1" applyBorder="1" applyAlignment="1">
      <alignment horizontal="center" vertical="center"/>
    </xf>
    <xf numFmtId="2" fontId="42" fillId="0" borderId="7" xfId="0" applyNumberFormat="1" applyFont="1" applyBorder="1" applyAlignment="1">
      <alignment horizontal="center" vertical="center"/>
    </xf>
    <xf numFmtId="0" fontId="21" fillId="0" borderId="4" xfId="0" applyFont="1" applyBorder="1" applyAlignment="1">
      <alignment vertical="center"/>
    </xf>
    <xf numFmtId="0" fontId="42" fillId="0" borderId="2" xfId="0" applyFont="1" applyBorder="1" applyAlignment="1">
      <alignment vertical="center"/>
    </xf>
    <xf numFmtId="0" fontId="42" fillId="0" borderId="7" xfId="0" applyFont="1" applyBorder="1" applyAlignment="1">
      <alignment vertical="center"/>
    </xf>
    <xf numFmtId="0" fontId="43" fillId="0" borderId="2" xfId="0" applyFont="1" applyBorder="1" applyAlignment="1">
      <alignment vertical="center"/>
    </xf>
    <xf numFmtId="0" fontId="20" fillId="0" borderId="7" xfId="0" applyFont="1" applyBorder="1" applyAlignment="1">
      <alignment horizontal="center" vertical="center"/>
    </xf>
    <xf numFmtId="0" fontId="20" fillId="0" borderId="7" xfId="0" applyFont="1" applyBorder="1" applyAlignment="1">
      <alignment vertical="center"/>
    </xf>
    <xf numFmtId="49" fontId="6" fillId="0" borderId="0" xfId="0" applyNumberFormat="1" applyFont="1" applyAlignment="1">
      <alignment horizontal="center"/>
    </xf>
    <xf numFmtId="0" fontId="24" fillId="0" borderId="7" xfId="0" applyFont="1" applyBorder="1" applyAlignment="1">
      <alignment horizontal="center" vertical="center"/>
    </xf>
    <xf numFmtId="0" fontId="29" fillId="0" borderId="0" xfId="0" applyFont="1" applyAlignment="1">
      <alignment horizontal="center"/>
    </xf>
    <xf numFmtId="49" fontId="37" fillId="0" borderId="7" xfId="1" applyNumberFormat="1" applyFont="1" applyBorder="1" applyAlignment="1">
      <alignment horizontal="left" vertical="center" wrapText="1"/>
    </xf>
    <xf numFmtId="0" fontId="21" fillId="0" borderId="0" xfId="0" applyFont="1" applyAlignment="1">
      <alignment horizontal="left"/>
    </xf>
    <xf numFmtId="49" fontId="39" fillId="0" borderId="14" xfId="1" quotePrefix="1" applyNumberFormat="1" applyFont="1" applyBorder="1" applyAlignment="1">
      <alignment horizontal="center" vertical="center" wrapText="1"/>
    </xf>
    <xf numFmtId="0" fontId="14" fillId="0" borderId="7" xfId="0" applyFont="1" applyBorder="1" applyAlignment="1">
      <alignment horizontal="center" vertical="center" wrapText="1"/>
    </xf>
    <xf numFmtId="0" fontId="10" fillId="0" borderId="1" xfId="0" applyFont="1" applyBorder="1" applyAlignment="1">
      <alignment horizontal="center" vertical="center"/>
    </xf>
    <xf numFmtId="0" fontId="10" fillId="0" borderId="8" xfId="0" applyFont="1" applyBorder="1" applyAlignment="1">
      <alignment horizontal="center" vertical="center"/>
    </xf>
    <xf numFmtId="0" fontId="10" fillId="0" borderId="15" xfId="0" applyFont="1" applyBorder="1" applyAlignment="1">
      <alignment horizontal="center" vertical="center"/>
    </xf>
    <xf numFmtId="0" fontId="10" fillId="0" borderId="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5"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5"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15" xfId="0" applyFont="1" applyBorder="1" applyAlignment="1">
      <alignment horizontal="center" vertical="center" wrapText="1"/>
    </xf>
    <xf numFmtId="0" fontId="12" fillId="0" borderId="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2" fillId="0" borderId="9" xfId="0" applyFont="1" applyBorder="1" applyAlignment="1">
      <alignment horizontal="center" vertical="center"/>
    </xf>
    <xf numFmtId="0" fontId="12" fillId="0" borderId="0" xfId="0" applyFont="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3" fillId="0" borderId="1"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5"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4"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5"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25" fillId="0" borderId="0" xfId="0" applyFont="1" applyAlignment="1">
      <alignment horizontal="center"/>
    </xf>
    <xf numFmtId="0" fontId="24" fillId="0" borderId="0" xfId="0" applyFont="1" applyAlignment="1">
      <alignment horizontal="center"/>
    </xf>
    <xf numFmtId="0" fontId="44" fillId="0" borderId="0" xfId="0" applyFont="1" applyAlignment="1">
      <alignment horizontal="center" wrapText="1"/>
    </xf>
    <xf numFmtId="0" fontId="44" fillId="0" borderId="0" xfId="0" applyFont="1" applyAlignment="1">
      <alignment horizontal="center"/>
    </xf>
    <xf numFmtId="0" fontId="33" fillId="0" borderId="1"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15" xfId="0" applyFont="1" applyBorder="1" applyAlignment="1">
      <alignment horizontal="center" vertical="center" wrapText="1"/>
    </xf>
    <xf numFmtId="0" fontId="43" fillId="0" borderId="1" xfId="0" applyFont="1" applyBorder="1" applyAlignment="1">
      <alignment horizontal="center" vertical="center"/>
    </xf>
    <xf numFmtId="0" fontId="43" fillId="0" borderId="8" xfId="0" applyFont="1" applyBorder="1" applyAlignment="1">
      <alignment horizontal="center" vertical="center"/>
    </xf>
    <xf numFmtId="0" fontId="43" fillId="0" borderId="15" xfId="0" applyFont="1" applyBorder="1" applyAlignment="1">
      <alignment horizontal="center" vertical="center"/>
    </xf>
    <xf numFmtId="0" fontId="43" fillId="0" borderId="1"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5" xfId="0" applyFont="1" applyBorder="1" applyAlignment="1">
      <alignment horizontal="center" vertical="center" wrapText="1"/>
    </xf>
    <xf numFmtId="0" fontId="43" fillId="0" borderId="7" xfId="0" applyFont="1" applyBorder="1" applyAlignment="1">
      <alignment horizontal="center" vertical="center"/>
    </xf>
    <xf numFmtId="0" fontId="43" fillId="0" borderId="2" xfId="0" applyFont="1" applyBorder="1" applyAlignment="1">
      <alignment horizontal="center" vertical="center" wrapText="1"/>
    </xf>
    <xf numFmtId="0" fontId="43" fillId="0" borderId="3" xfId="0" applyFont="1" applyBorder="1" applyAlignment="1">
      <alignment horizontal="center" vertical="center" wrapText="1"/>
    </xf>
    <xf numFmtId="0" fontId="43" fillId="0" borderId="14"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5" xfId="0" applyFont="1" applyBorder="1" applyAlignment="1">
      <alignment horizontal="center" vertical="center" wrapText="1"/>
    </xf>
    <xf numFmtId="0" fontId="43" fillId="0" borderId="6" xfId="0" applyFont="1" applyBorder="1" applyAlignment="1">
      <alignment horizontal="center" vertical="center" wrapText="1"/>
    </xf>
    <xf numFmtId="0" fontId="43" fillId="0" borderId="11" xfId="0" applyFont="1" applyBorder="1" applyAlignment="1">
      <alignment horizontal="center" vertical="center" wrapText="1"/>
    </xf>
    <xf numFmtId="0" fontId="43" fillId="0" borderId="12" xfId="0" applyFont="1" applyBorder="1" applyAlignment="1">
      <alignment horizontal="center" vertical="center" wrapText="1"/>
    </xf>
    <xf numFmtId="0" fontId="43" fillId="0" borderId="13" xfId="0" applyFont="1" applyBorder="1" applyAlignment="1">
      <alignment horizontal="center" vertical="center" wrapText="1"/>
    </xf>
    <xf numFmtId="49" fontId="37" fillId="0" borderId="2" xfId="1" applyNumberFormat="1" applyFont="1" applyBorder="1" applyAlignment="1">
      <alignment horizontal="center" vertical="center" wrapText="1"/>
    </xf>
    <xf numFmtId="49" fontId="37" fillId="0" borderId="14" xfId="1" applyNumberFormat="1" applyFont="1" applyBorder="1" applyAlignment="1">
      <alignment horizontal="center" vertical="center" wrapText="1"/>
    </xf>
    <xf numFmtId="0" fontId="39" fillId="3" borderId="7" xfId="0" applyFont="1" applyFill="1" applyBorder="1" applyAlignment="1">
      <alignment horizontal="center" vertical="center"/>
    </xf>
    <xf numFmtId="49" fontId="39" fillId="3" borderId="7" xfId="1" applyNumberFormat="1" applyFont="1" applyFill="1" applyBorder="1" applyAlignment="1">
      <alignment horizontal="center" vertical="center" wrapText="1"/>
    </xf>
    <xf numFmtId="0" fontId="39" fillId="3" borderId="7" xfId="0" applyFont="1" applyFill="1" applyBorder="1" applyAlignment="1">
      <alignment horizontal="center"/>
    </xf>
    <xf numFmtId="49" fontId="39" fillId="3" borderId="7" xfId="1" applyNumberFormat="1" applyFont="1" applyFill="1" applyBorder="1" applyAlignment="1">
      <alignment vertical="center" wrapText="1"/>
    </xf>
    <xf numFmtId="49" fontId="46" fillId="3" borderId="7" xfId="1" applyNumberFormat="1" applyFont="1" applyFill="1" applyBorder="1" applyAlignment="1">
      <alignment horizontal="left" vertical="center" wrapText="1"/>
    </xf>
    <xf numFmtId="49" fontId="39" fillId="3" borderId="7" xfId="1" quotePrefix="1" applyNumberFormat="1" applyFont="1" applyFill="1" applyBorder="1" applyAlignment="1">
      <alignment horizontal="center" vertical="center" wrapText="1"/>
    </xf>
    <xf numFmtId="49" fontId="39" fillId="3" borderId="1" xfId="1" quotePrefix="1" applyNumberFormat="1" applyFont="1" applyFill="1" applyBorder="1" applyAlignment="1">
      <alignment horizontal="center" vertical="center" wrapText="1"/>
    </xf>
    <xf numFmtId="49" fontId="39" fillId="3" borderId="7" xfId="1" applyNumberFormat="1" applyFont="1" applyFill="1" applyBorder="1" applyAlignment="1">
      <alignment horizontal="left" vertical="center" wrapText="1"/>
    </xf>
    <xf numFmtId="49" fontId="39" fillId="3" borderId="6" xfId="1" quotePrefix="1" applyNumberFormat="1" applyFont="1" applyFill="1" applyBorder="1" applyAlignment="1">
      <alignment horizontal="center" vertical="center" wrapText="1"/>
    </xf>
    <xf numFmtId="0" fontId="39" fillId="3" borderId="1" xfId="0" applyFont="1" applyFill="1" applyBorder="1" applyAlignment="1">
      <alignment horizontal="center" vertical="center"/>
    </xf>
    <xf numFmtId="49" fontId="39" fillId="3" borderId="1" xfId="1" applyNumberFormat="1" applyFont="1" applyFill="1" applyBorder="1" applyAlignment="1">
      <alignment horizontal="center" vertical="center" wrapText="1"/>
    </xf>
    <xf numFmtId="49" fontId="39" fillId="3" borderId="6" xfId="1" applyNumberFormat="1" applyFont="1" applyFill="1" applyBorder="1" applyAlignment="1">
      <alignment horizontal="left" vertical="center" wrapText="1"/>
    </xf>
    <xf numFmtId="0" fontId="39" fillId="3" borderId="0" xfId="0" applyFont="1" applyFill="1" applyAlignment="1">
      <alignment horizontal="left"/>
    </xf>
    <xf numFmtId="0" fontId="39" fillId="3" borderId="0" xfId="0" applyFont="1" applyFill="1"/>
    <xf numFmtId="0" fontId="39" fillId="3" borderId="7" xfId="0" applyFont="1" applyFill="1" applyBorder="1"/>
    <xf numFmtId="0" fontId="46" fillId="3" borderId="7" xfId="0" applyFont="1" applyFill="1" applyBorder="1"/>
    <xf numFmtId="49" fontId="39" fillId="3" borderId="7" xfId="0" quotePrefix="1" applyNumberFormat="1" applyFont="1" applyFill="1" applyBorder="1" applyAlignment="1">
      <alignment horizontal="center" vertical="center"/>
    </xf>
    <xf numFmtId="0" fontId="39" fillId="3" borderId="7" xfId="0" quotePrefix="1" applyFont="1" applyFill="1" applyBorder="1" applyAlignment="1">
      <alignment horizontal="center"/>
    </xf>
    <xf numFmtId="0" fontId="39" fillId="3" borderId="7" xfId="0" applyFont="1" applyFill="1" applyBorder="1" applyAlignment="1">
      <alignment vertical="top"/>
    </xf>
    <xf numFmtId="0" fontId="39" fillId="3" borderId="7" xfId="0" applyFont="1" applyFill="1" applyBorder="1" applyAlignment="1">
      <alignment horizontal="left"/>
    </xf>
    <xf numFmtId="0" fontId="39" fillId="3" borderId="14" xfId="0" quotePrefix="1" applyFont="1" applyFill="1" applyBorder="1" applyAlignment="1">
      <alignment horizontal="center"/>
    </xf>
    <xf numFmtId="49" fontId="39" fillId="3" borderId="14" xfId="1" quotePrefix="1" applyNumberFormat="1" applyFont="1" applyFill="1" applyBorder="1" applyAlignment="1">
      <alignment horizontal="center" vertical="center" wrapText="1"/>
    </xf>
    <xf numFmtId="0" fontId="29" fillId="3" borderId="7" xfId="0" applyFont="1" applyFill="1" applyBorder="1" applyAlignment="1">
      <alignment horizontal="center" vertical="center"/>
    </xf>
    <xf numFmtId="49" fontId="29" fillId="3" borderId="7" xfId="1" applyNumberFormat="1" applyFont="1" applyFill="1" applyBorder="1" applyAlignment="1">
      <alignment horizontal="center" vertical="center" wrapText="1"/>
    </xf>
    <xf numFmtId="0" fontId="29" fillId="3" borderId="7" xfId="0" applyFont="1" applyFill="1" applyBorder="1" applyAlignment="1">
      <alignment horizontal="center"/>
    </xf>
    <xf numFmtId="49" fontId="29" fillId="3" borderId="7" xfId="1" applyNumberFormat="1" applyFont="1" applyFill="1" applyBorder="1" applyAlignment="1">
      <alignment vertical="center" wrapText="1"/>
    </xf>
    <xf numFmtId="49" fontId="47" fillId="3" borderId="7" xfId="1" applyNumberFormat="1" applyFont="1" applyFill="1" applyBorder="1" applyAlignment="1">
      <alignment horizontal="left" vertical="center" wrapText="1"/>
    </xf>
    <xf numFmtId="49" fontId="29" fillId="3" borderId="7" xfId="1" quotePrefix="1" applyNumberFormat="1" applyFont="1" applyFill="1" applyBorder="1" applyAlignment="1">
      <alignment horizontal="center" vertical="center" wrapText="1"/>
    </xf>
    <xf numFmtId="49" fontId="29" fillId="3" borderId="1" xfId="1" quotePrefix="1" applyNumberFormat="1" applyFont="1" applyFill="1" applyBorder="1" applyAlignment="1">
      <alignment horizontal="center" vertical="center" wrapText="1"/>
    </xf>
    <xf numFmtId="49" fontId="29" fillId="3" borderId="7" xfId="1" applyNumberFormat="1" applyFont="1" applyFill="1" applyBorder="1" applyAlignment="1">
      <alignment horizontal="left" vertical="center" wrapText="1"/>
    </xf>
    <xf numFmtId="49" fontId="29" fillId="3" borderId="6" xfId="1" quotePrefix="1" applyNumberFormat="1" applyFont="1" applyFill="1" applyBorder="1" applyAlignment="1">
      <alignment horizontal="center" vertical="center" wrapText="1"/>
    </xf>
    <xf numFmtId="0" fontId="29" fillId="3" borderId="1" xfId="0" applyFont="1" applyFill="1" applyBorder="1" applyAlignment="1">
      <alignment horizontal="center" vertical="center"/>
    </xf>
    <xf numFmtId="49" fontId="29" fillId="3" borderId="1" xfId="1" applyNumberFormat="1" applyFont="1" applyFill="1" applyBorder="1" applyAlignment="1">
      <alignment horizontal="center" vertical="center" wrapText="1"/>
    </xf>
    <xf numFmtId="49" fontId="29" fillId="3" borderId="6" xfId="1" applyNumberFormat="1" applyFont="1" applyFill="1" applyBorder="1" applyAlignment="1">
      <alignment horizontal="left" vertical="center" wrapText="1"/>
    </xf>
    <xf numFmtId="0" fontId="29" fillId="3" borderId="0" xfId="0" applyFont="1" applyFill="1" applyAlignment="1">
      <alignment horizontal="left"/>
    </xf>
    <xf numFmtId="0" fontId="29" fillId="3" borderId="0" xfId="0" applyFont="1" applyFill="1"/>
    <xf numFmtId="0" fontId="29" fillId="3" borderId="7" xfId="0" applyFont="1" applyFill="1" applyBorder="1"/>
    <xf numFmtId="0" fontId="47" fillId="3" borderId="7" xfId="0" applyFont="1" applyFill="1" applyBorder="1"/>
    <xf numFmtId="49" fontId="29" fillId="3" borderId="7" xfId="0" quotePrefix="1" applyNumberFormat="1" applyFont="1" applyFill="1" applyBorder="1" applyAlignment="1">
      <alignment horizontal="center" vertical="center"/>
    </xf>
    <xf numFmtId="0" fontId="29" fillId="3" borderId="1" xfId="0" quotePrefix="1" applyFont="1" applyFill="1" applyBorder="1" applyAlignment="1">
      <alignment horizontal="center" vertical="center"/>
    </xf>
    <xf numFmtId="0" fontId="29" fillId="3" borderId="7" xfId="0" applyFont="1" applyFill="1" applyBorder="1" applyAlignment="1">
      <alignment vertical="top"/>
    </xf>
    <xf numFmtId="0" fontId="29" fillId="3" borderId="6" xfId="0" quotePrefix="1" applyFont="1" applyFill="1" applyBorder="1" applyAlignment="1">
      <alignment horizontal="center"/>
    </xf>
    <xf numFmtId="0" fontId="29" fillId="3" borderId="1" xfId="0" applyFont="1" applyFill="1" applyBorder="1" applyAlignment="1">
      <alignment vertical="center"/>
    </xf>
    <xf numFmtId="0" fontId="29" fillId="3" borderId="1" xfId="0" applyFont="1" applyFill="1" applyBorder="1" applyAlignment="1">
      <alignment horizontal="left" vertical="center"/>
    </xf>
    <xf numFmtId="2" fontId="29" fillId="3" borderId="0" xfId="0" applyNumberFormat="1" applyFont="1" applyFill="1" applyAlignment="1">
      <alignment horizontal="left" vertical="center"/>
    </xf>
    <xf numFmtId="49" fontId="39" fillId="3" borderId="7" xfId="0" quotePrefix="1" applyNumberFormat="1" applyFont="1" applyFill="1" applyBorder="1" applyAlignment="1">
      <alignment horizontal="center"/>
    </xf>
    <xf numFmtId="0" fontId="39" fillId="3" borderId="1" xfId="0" quotePrefix="1" applyFont="1" applyFill="1" applyBorder="1" applyAlignment="1">
      <alignment horizontal="center"/>
    </xf>
    <xf numFmtId="0" fontId="39" fillId="3" borderId="6" xfId="0" quotePrefix="1" applyFont="1" applyFill="1" applyBorder="1" applyAlignment="1">
      <alignment horizontal="center"/>
    </xf>
    <xf numFmtId="0" fontId="39" fillId="3" borderId="1" xfId="0" applyFont="1" applyFill="1" applyBorder="1"/>
    <xf numFmtId="0" fontId="39" fillId="3" borderId="6" xfId="0" applyFont="1" applyFill="1" applyBorder="1" applyAlignment="1">
      <alignment horizontal="left"/>
    </xf>
    <xf numFmtId="0" fontId="39" fillId="3" borderId="7" xfId="0" applyFont="1" applyFill="1" applyBorder="1" applyAlignment="1">
      <alignment horizontal="right"/>
    </xf>
    <xf numFmtId="0" fontId="39" fillId="3" borderId="14" xfId="0" applyFont="1" applyFill="1" applyBorder="1" applyAlignment="1">
      <alignment horizontal="center" vertical="center"/>
    </xf>
    <xf numFmtId="0" fontId="39" fillId="3" borderId="1" xfId="0" applyFont="1" applyFill="1" applyBorder="1" applyAlignment="1">
      <alignment horizontal="center"/>
    </xf>
    <xf numFmtId="0" fontId="39" fillId="3" borderId="0" xfId="0" applyFont="1" applyFill="1" applyAlignment="1">
      <alignment horizontal="left" vertical="center"/>
    </xf>
    <xf numFmtId="49" fontId="39" fillId="3" borderId="7" xfId="0" applyNumberFormat="1" applyFont="1" applyFill="1" applyBorder="1" applyAlignment="1">
      <alignment horizontal="center"/>
    </xf>
    <xf numFmtId="49" fontId="29" fillId="3" borderId="7" xfId="0" quotePrefix="1" applyNumberFormat="1" applyFont="1" applyFill="1" applyBorder="1" applyAlignment="1">
      <alignment horizontal="center"/>
    </xf>
    <xf numFmtId="0" fontId="29" fillId="3" borderId="7" xfId="0" quotePrefix="1" applyFont="1" applyFill="1" applyBorder="1" applyAlignment="1">
      <alignment horizontal="center"/>
    </xf>
    <xf numFmtId="0" fontId="29" fillId="3" borderId="7" xfId="0" applyFont="1" applyFill="1" applyBorder="1" applyAlignment="1">
      <alignment horizontal="left"/>
    </xf>
    <xf numFmtId="0" fontId="29" fillId="3" borderId="14" xfId="0" quotePrefix="1" applyFont="1" applyFill="1" applyBorder="1" applyAlignment="1">
      <alignment horizontal="center"/>
    </xf>
  </cellXfs>
  <cellStyles count="3">
    <cellStyle name="Normal" xfId="0" builtinId="0"/>
    <cellStyle name="Normal 2" xfId="2" xr:uid="{00000000-0005-0000-0000-000001000000}"/>
    <cellStyle name="Normal 3" xfId="1" xr:uid="{00000000-0005-0000-0000-000002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356708</xdr:colOff>
      <xdr:row>91</xdr:row>
      <xdr:rowOff>38100</xdr:rowOff>
    </xdr:from>
    <xdr:to>
      <xdr:col>2</xdr:col>
      <xdr:colOff>1236183</xdr:colOff>
      <xdr:row>91</xdr:row>
      <xdr:rowOff>38100</xdr:rowOff>
    </xdr:to>
    <xdr:cxnSp macro="">
      <xdr:nvCxnSpPr>
        <xdr:cNvPr id="6" name="Straight Connector 5">
          <a:extLst>
            <a:ext uri="{FF2B5EF4-FFF2-40B4-BE49-F238E27FC236}">
              <a16:creationId xmlns:a16="http://schemas.microsoft.com/office/drawing/2014/main" id="{00000000-0008-0000-0100-000006000000}"/>
            </a:ext>
          </a:extLst>
        </xdr:cNvPr>
        <xdr:cNvCxnSpPr/>
      </xdr:nvCxnSpPr>
      <xdr:spPr>
        <a:xfrm>
          <a:off x="1604483" y="4051935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91</xdr:row>
      <xdr:rowOff>44160</xdr:rowOff>
    </xdr:from>
    <xdr:to>
      <xdr:col>24</xdr:col>
      <xdr:colOff>294408</xdr:colOff>
      <xdr:row>91</xdr:row>
      <xdr:rowOff>44160</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10754846" y="4052541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264</xdr:row>
      <xdr:rowOff>38100</xdr:rowOff>
    </xdr:from>
    <xdr:to>
      <xdr:col>2</xdr:col>
      <xdr:colOff>1236183</xdr:colOff>
      <xdr:row>264</xdr:row>
      <xdr:rowOff>38100</xdr:rowOff>
    </xdr:to>
    <xdr:cxnSp macro="">
      <xdr:nvCxnSpPr>
        <xdr:cNvPr id="8" name="Straight Connector 7">
          <a:extLst>
            <a:ext uri="{FF2B5EF4-FFF2-40B4-BE49-F238E27FC236}">
              <a16:creationId xmlns:a16="http://schemas.microsoft.com/office/drawing/2014/main" id="{00000000-0008-0000-0100-000008000000}"/>
            </a:ext>
          </a:extLst>
        </xdr:cNvPr>
        <xdr:cNvCxnSpPr/>
      </xdr:nvCxnSpPr>
      <xdr:spPr>
        <a:xfrm>
          <a:off x="1604483" y="7960995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264</xdr:row>
      <xdr:rowOff>44160</xdr:rowOff>
    </xdr:from>
    <xdr:to>
      <xdr:col>24</xdr:col>
      <xdr:colOff>294408</xdr:colOff>
      <xdr:row>264</xdr:row>
      <xdr:rowOff>44160</xdr:rowOff>
    </xdr:to>
    <xdr:cxnSp macro="">
      <xdr:nvCxnSpPr>
        <xdr:cNvPr id="9" name="Straight Connector 8">
          <a:extLst>
            <a:ext uri="{FF2B5EF4-FFF2-40B4-BE49-F238E27FC236}">
              <a16:creationId xmlns:a16="http://schemas.microsoft.com/office/drawing/2014/main" id="{00000000-0008-0000-0100-000009000000}"/>
            </a:ext>
          </a:extLst>
        </xdr:cNvPr>
        <xdr:cNvCxnSpPr/>
      </xdr:nvCxnSpPr>
      <xdr:spPr>
        <a:xfrm>
          <a:off x="10754846" y="7961601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286</xdr:row>
      <xdr:rowOff>38100</xdr:rowOff>
    </xdr:from>
    <xdr:to>
      <xdr:col>2</xdr:col>
      <xdr:colOff>1236183</xdr:colOff>
      <xdr:row>286</xdr:row>
      <xdr:rowOff>38100</xdr:rowOff>
    </xdr:to>
    <xdr:cxnSp macro="">
      <xdr:nvCxnSpPr>
        <xdr:cNvPr id="10" name="Straight Connector 9">
          <a:extLst>
            <a:ext uri="{FF2B5EF4-FFF2-40B4-BE49-F238E27FC236}">
              <a16:creationId xmlns:a16="http://schemas.microsoft.com/office/drawing/2014/main" id="{00000000-0008-0000-0100-00000A000000}"/>
            </a:ext>
          </a:extLst>
        </xdr:cNvPr>
        <xdr:cNvCxnSpPr/>
      </xdr:nvCxnSpPr>
      <xdr:spPr>
        <a:xfrm>
          <a:off x="1604483" y="9077325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286</xdr:row>
      <xdr:rowOff>44160</xdr:rowOff>
    </xdr:from>
    <xdr:to>
      <xdr:col>24</xdr:col>
      <xdr:colOff>294408</xdr:colOff>
      <xdr:row>286</xdr:row>
      <xdr:rowOff>44160</xdr:rowOff>
    </xdr:to>
    <xdr:cxnSp macro="">
      <xdr:nvCxnSpPr>
        <xdr:cNvPr id="11" name="Straight Connector 10">
          <a:extLst>
            <a:ext uri="{FF2B5EF4-FFF2-40B4-BE49-F238E27FC236}">
              <a16:creationId xmlns:a16="http://schemas.microsoft.com/office/drawing/2014/main" id="{00000000-0008-0000-0100-00000B000000}"/>
            </a:ext>
          </a:extLst>
        </xdr:cNvPr>
        <xdr:cNvCxnSpPr/>
      </xdr:nvCxnSpPr>
      <xdr:spPr>
        <a:xfrm>
          <a:off x="10754846" y="9077931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358</xdr:row>
      <xdr:rowOff>38100</xdr:rowOff>
    </xdr:from>
    <xdr:to>
      <xdr:col>2</xdr:col>
      <xdr:colOff>1236183</xdr:colOff>
      <xdr:row>358</xdr:row>
      <xdr:rowOff>38100</xdr:rowOff>
    </xdr:to>
    <xdr:cxnSp macro="">
      <xdr:nvCxnSpPr>
        <xdr:cNvPr id="12" name="Straight Connector 11">
          <a:extLst>
            <a:ext uri="{FF2B5EF4-FFF2-40B4-BE49-F238E27FC236}">
              <a16:creationId xmlns:a16="http://schemas.microsoft.com/office/drawing/2014/main" id="{00000000-0008-0000-0100-00000C000000}"/>
            </a:ext>
          </a:extLst>
        </xdr:cNvPr>
        <xdr:cNvCxnSpPr/>
      </xdr:nvCxnSpPr>
      <xdr:spPr>
        <a:xfrm>
          <a:off x="1604483" y="112537875"/>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358</xdr:row>
      <xdr:rowOff>44160</xdr:rowOff>
    </xdr:from>
    <xdr:to>
      <xdr:col>24</xdr:col>
      <xdr:colOff>294408</xdr:colOff>
      <xdr:row>358</xdr:row>
      <xdr:rowOff>44160</xdr:rowOff>
    </xdr:to>
    <xdr:cxnSp macro="">
      <xdr:nvCxnSpPr>
        <xdr:cNvPr id="13" name="Straight Connector 12">
          <a:extLst>
            <a:ext uri="{FF2B5EF4-FFF2-40B4-BE49-F238E27FC236}">
              <a16:creationId xmlns:a16="http://schemas.microsoft.com/office/drawing/2014/main" id="{00000000-0008-0000-0100-00000D000000}"/>
            </a:ext>
          </a:extLst>
        </xdr:cNvPr>
        <xdr:cNvCxnSpPr/>
      </xdr:nvCxnSpPr>
      <xdr:spPr>
        <a:xfrm>
          <a:off x="10754846" y="112543935"/>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395</xdr:row>
      <xdr:rowOff>38100</xdr:rowOff>
    </xdr:from>
    <xdr:to>
      <xdr:col>2</xdr:col>
      <xdr:colOff>1236183</xdr:colOff>
      <xdr:row>395</xdr:row>
      <xdr:rowOff>38100</xdr:rowOff>
    </xdr:to>
    <xdr:cxnSp macro="">
      <xdr:nvCxnSpPr>
        <xdr:cNvPr id="14" name="Straight Connector 13">
          <a:extLst>
            <a:ext uri="{FF2B5EF4-FFF2-40B4-BE49-F238E27FC236}">
              <a16:creationId xmlns:a16="http://schemas.microsoft.com/office/drawing/2014/main" id="{00000000-0008-0000-0100-00000E000000}"/>
            </a:ext>
          </a:extLst>
        </xdr:cNvPr>
        <xdr:cNvCxnSpPr/>
      </xdr:nvCxnSpPr>
      <xdr:spPr>
        <a:xfrm>
          <a:off x="1604483" y="12426315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395</xdr:row>
      <xdr:rowOff>44160</xdr:rowOff>
    </xdr:from>
    <xdr:to>
      <xdr:col>24</xdr:col>
      <xdr:colOff>294408</xdr:colOff>
      <xdr:row>395</xdr:row>
      <xdr:rowOff>44160</xdr:rowOff>
    </xdr:to>
    <xdr:cxnSp macro="">
      <xdr:nvCxnSpPr>
        <xdr:cNvPr id="15" name="Straight Connector 14">
          <a:extLst>
            <a:ext uri="{FF2B5EF4-FFF2-40B4-BE49-F238E27FC236}">
              <a16:creationId xmlns:a16="http://schemas.microsoft.com/office/drawing/2014/main" id="{00000000-0008-0000-0100-00000F000000}"/>
            </a:ext>
          </a:extLst>
        </xdr:cNvPr>
        <xdr:cNvCxnSpPr/>
      </xdr:nvCxnSpPr>
      <xdr:spPr>
        <a:xfrm>
          <a:off x="10754846" y="12426921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461</xdr:row>
      <xdr:rowOff>38100</xdr:rowOff>
    </xdr:from>
    <xdr:to>
      <xdr:col>2</xdr:col>
      <xdr:colOff>1236183</xdr:colOff>
      <xdr:row>461</xdr:row>
      <xdr:rowOff>38100</xdr:rowOff>
    </xdr:to>
    <xdr:cxnSp macro="">
      <xdr:nvCxnSpPr>
        <xdr:cNvPr id="16" name="Straight Connector 15">
          <a:extLst>
            <a:ext uri="{FF2B5EF4-FFF2-40B4-BE49-F238E27FC236}">
              <a16:creationId xmlns:a16="http://schemas.microsoft.com/office/drawing/2014/main" id="{00000000-0008-0000-0100-000010000000}"/>
            </a:ext>
          </a:extLst>
        </xdr:cNvPr>
        <xdr:cNvCxnSpPr/>
      </xdr:nvCxnSpPr>
      <xdr:spPr>
        <a:xfrm>
          <a:off x="1604483" y="14190345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461</xdr:row>
      <xdr:rowOff>44160</xdr:rowOff>
    </xdr:from>
    <xdr:to>
      <xdr:col>24</xdr:col>
      <xdr:colOff>294408</xdr:colOff>
      <xdr:row>461</xdr:row>
      <xdr:rowOff>44160</xdr:rowOff>
    </xdr:to>
    <xdr:cxnSp macro="">
      <xdr:nvCxnSpPr>
        <xdr:cNvPr id="17" name="Straight Connector 16">
          <a:extLst>
            <a:ext uri="{FF2B5EF4-FFF2-40B4-BE49-F238E27FC236}">
              <a16:creationId xmlns:a16="http://schemas.microsoft.com/office/drawing/2014/main" id="{00000000-0008-0000-0100-000011000000}"/>
            </a:ext>
          </a:extLst>
        </xdr:cNvPr>
        <xdr:cNvCxnSpPr/>
      </xdr:nvCxnSpPr>
      <xdr:spPr>
        <a:xfrm>
          <a:off x="10754846" y="14190951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466</xdr:row>
      <xdr:rowOff>38100</xdr:rowOff>
    </xdr:from>
    <xdr:to>
      <xdr:col>2</xdr:col>
      <xdr:colOff>1236183</xdr:colOff>
      <xdr:row>466</xdr:row>
      <xdr:rowOff>38100</xdr:rowOff>
    </xdr:to>
    <xdr:cxnSp macro="">
      <xdr:nvCxnSpPr>
        <xdr:cNvPr id="18" name="Straight Connector 17">
          <a:extLst>
            <a:ext uri="{FF2B5EF4-FFF2-40B4-BE49-F238E27FC236}">
              <a16:creationId xmlns:a16="http://schemas.microsoft.com/office/drawing/2014/main" id="{00000000-0008-0000-0100-000012000000}"/>
            </a:ext>
          </a:extLst>
        </xdr:cNvPr>
        <xdr:cNvCxnSpPr/>
      </xdr:nvCxnSpPr>
      <xdr:spPr>
        <a:xfrm>
          <a:off x="1604483" y="147456525"/>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466</xdr:row>
      <xdr:rowOff>44160</xdr:rowOff>
    </xdr:from>
    <xdr:to>
      <xdr:col>24</xdr:col>
      <xdr:colOff>294408</xdr:colOff>
      <xdr:row>466</xdr:row>
      <xdr:rowOff>44160</xdr:rowOff>
    </xdr:to>
    <xdr:cxnSp macro="">
      <xdr:nvCxnSpPr>
        <xdr:cNvPr id="19" name="Straight Connector 18">
          <a:extLst>
            <a:ext uri="{FF2B5EF4-FFF2-40B4-BE49-F238E27FC236}">
              <a16:creationId xmlns:a16="http://schemas.microsoft.com/office/drawing/2014/main" id="{00000000-0008-0000-0100-000013000000}"/>
            </a:ext>
          </a:extLst>
        </xdr:cNvPr>
        <xdr:cNvCxnSpPr/>
      </xdr:nvCxnSpPr>
      <xdr:spPr>
        <a:xfrm>
          <a:off x="10754846" y="147462585"/>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479</xdr:row>
      <xdr:rowOff>38100</xdr:rowOff>
    </xdr:from>
    <xdr:to>
      <xdr:col>2</xdr:col>
      <xdr:colOff>1236183</xdr:colOff>
      <xdr:row>479</xdr:row>
      <xdr:rowOff>38100</xdr:rowOff>
    </xdr:to>
    <xdr:cxnSp macro="">
      <xdr:nvCxnSpPr>
        <xdr:cNvPr id="20" name="Straight Connector 19">
          <a:extLst>
            <a:ext uri="{FF2B5EF4-FFF2-40B4-BE49-F238E27FC236}">
              <a16:creationId xmlns:a16="http://schemas.microsoft.com/office/drawing/2014/main" id="{00000000-0008-0000-0100-000014000000}"/>
            </a:ext>
          </a:extLst>
        </xdr:cNvPr>
        <xdr:cNvCxnSpPr/>
      </xdr:nvCxnSpPr>
      <xdr:spPr>
        <a:xfrm>
          <a:off x="1604483" y="15449550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479</xdr:row>
      <xdr:rowOff>44160</xdr:rowOff>
    </xdr:from>
    <xdr:to>
      <xdr:col>24</xdr:col>
      <xdr:colOff>294408</xdr:colOff>
      <xdr:row>479</xdr:row>
      <xdr:rowOff>44160</xdr:rowOff>
    </xdr:to>
    <xdr:cxnSp macro="">
      <xdr:nvCxnSpPr>
        <xdr:cNvPr id="21" name="Straight Connector 20">
          <a:extLst>
            <a:ext uri="{FF2B5EF4-FFF2-40B4-BE49-F238E27FC236}">
              <a16:creationId xmlns:a16="http://schemas.microsoft.com/office/drawing/2014/main" id="{00000000-0008-0000-0100-000015000000}"/>
            </a:ext>
          </a:extLst>
        </xdr:cNvPr>
        <xdr:cNvCxnSpPr/>
      </xdr:nvCxnSpPr>
      <xdr:spPr>
        <a:xfrm>
          <a:off x="10754846" y="15450156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503</xdr:row>
      <xdr:rowOff>38100</xdr:rowOff>
    </xdr:from>
    <xdr:to>
      <xdr:col>2</xdr:col>
      <xdr:colOff>1236183</xdr:colOff>
      <xdr:row>503</xdr:row>
      <xdr:rowOff>38100</xdr:rowOff>
    </xdr:to>
    <xdr:cxnSp macro="">
      <xdr:nvCxnSpPr>
        <xdr:cNvPr id="22" name="Straight Connector 21">
          <a:extLst>
            <a:ext uri="{FF2B5EF4-FFF2-40B4-BE49-F238E27FC236}">
              <a16:creationId xmlns:a16="http://schemas.microsoft.com/office/drawing/2014/main" id="{00000000-0008-0000-0100-000016000000}"/>
            </a:ext>
          </a:extLst>
        </xdr:cNvPr>
        <xdr:cNvCxnSpPr/>
      </xdr:nvCxnSpPr>
      <xdr:spPr>
        <a:xfrm>
          <a:off x="1604483" y="16365855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503</xdr:row>
      <xdr:rowOff>44160</xdr:rowOff>
    </xdr:from>
    <xdr:to>
      <xdr:col>24</xdr:col>
      <xdr:colOff>294408</xdr:colOff>
      <xdr:row>503</xdr:row>
      <xdr:rowOff>44160</xdr:rowOff>
    </xdr:to>
    <xdr:cxnSp macro="">
      <xdr:nvCxnSpPr>
        <xdr:cNvPr id="23" name="Straight Connector 22">
          <a:extLst>
            <a:ext uri="{FF2B5EF4-FFF2-40B4-BE49-F238E27FC236}">
              <a16:creationId xmlns:a16="http://schemas.microsoft.com/office/drawing/2014/main" id="{00000000-0008-0000-0100-000017000000}"/>
            </a:ext>
          </a:extLst>
        </xdr:cNvPr>
        <xdr:cNvCxnSpPr/>
      </xdr:nvCxnSpPr>
      <xdr:spPr>
        <a:xfrm>
          <a:off x="10754846" y="16366461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529</xdr:row>
      <xdr:rowOff>38100</xdr:rowOff>
    </xdr:from>
    <xdr:to>
      <xdr:col>2</xdr:col>
      <xdr:colOff>1236183</xdr:colOff>
      <xdr:row>529</xdr:row>
      <xdr:rowOff>38100</xdr:rowOff>
    </xdr:to>
    <xdr:cxnSp macro="">
      <xdr:nvCxnSpPr>
        <xdr:cNvPr id="24" name="Straight Connector 23">
          <a:extLst>
            <a:ext uri="{FF2B5EF4-FFF2-40B4-BE49-F238E27FC236}">
              <a16:creationId xmlns:a16="http://schemas.microsoft.com/office/drawing/2014/main" id="{00000000-0008-0000-0100-000018000000}"/>
            </a:ext>
          </a:extLst>
        </xdr:cNvPr>
        <xdr:cNvCxnSpPr/>
      </xdr:nvCxnSpPr>
      <xdr:spPr>
        <a:xfrm>
          <a:off x="1604483" y="173221650"/>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529</xdr:row>
      <xdr:rowOff>44160</xdr:rowOff>
    </xdr:from>
    <xdr:to>
      <xdr:col>24</xdr:col>
      <xdr:colOff>294408</xdr:colOff>
      <xdr:row>529</xdr:row>
      <xdr:rowOff>44160</xdr:rowOff>
    </xdr:to>
    <xdr:cxnSp macro="">
      <xdr:nvCxnSpPr>
        <xdr:cNvPr id="25" name="Straight Connector 24">
          <a:extLst>
            <a:ext uri="{FF2B5EF4-FFF2-40B4-BE49-F238E27FC236}">
              <a16:creationId xmlns:a16="http://schemas.microsoft.com/office/drawing/2014/main" id="{00000000-0008-0000-0100-000019000000}"/>
            </a:ext>
          </a:extLst>
        </xdr:cNvPr>
        <xdr:cNvCxnSpPr/>
      </xdr:nvCxnSpPr>
      <xdr:spPr>
        <a:xfrm>
          <a:off x="10754846" y="173227710"/>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548</xdr:row>
      <xdr:rowOff>38100</xdr:rowOff>
    </xdr:from>
    <xdr:to>
      <xdr:col>2</xdr:col>
      <xdr:colOff>1236183</xdr:colOff>
      <xdr:row>548</xdr:row>
      <xdr:rowOff>38100</xdr:rowOff>
    </xdr:to>
    <xdr:cxnSp macro="">
      <xdr:nvCxnSpPr>
        <xdr:cNvPr id="26" name="Straight Connector 25">
          <a:extLst>
            <a:ext uri="{FF2B5EF4-FFF2-40B4-BE49-F238E27FC236}">
              <a16:creationId xmlns:a16="http://schemas.microsoft.com/office/drawing/2014/main" id="{00000000-0008-0000-0100-00001A000000}"/>
            </a:ext>
          </a:extLst>
        </xdr:cNvPr>
        <xdr:cNvCxnSpPr/>
      </xdr:nvCxnSpPr>
      <xdr:spPr>
        <a:xfrm>
          <a:off x="1604483" y="181384575"/>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548</xdr:row>
      <xdr:rowOff>44160</xdr:rowOff>
    </xdr:from>
    <xdr:to>
      <xdr:col>24</xdr:col>
      <xdr:colOff>294408</xdr:colOff>
      <xdr:row>548</xdr:row>
      <xdr:rowOff>44160</xdr:rowOff>
    </xdr:to>
    <xdr:cxnSp macro="">
      <xdr:nvCxnSpPr>
        <xdr:cNvPr id="27" name="Straight Connector 26">
          <a:extLst>
            <a:ext uri="{FF2B5EF4-FFF2-40B4-BE49-F238E27FC236}">
              <a16:creationId xmlns:a16="http://schemas.microsoft.com/office/drawing/2014/main" id="{00000000-0008-0000-0100-00001B000000}"/>
            </a:ext>
          </a:extLst>
        </xdr:cNvPr>
        <xdr:cNvCxnSpPr/>
      </xdr:nvCxnSpPr>
      <xdr:spPr>
        <a:xfrm>
          <a:off x="10754846" y="181390635"/>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556</xdr:row>
      <xdr:rowOff>38100</xdr:rowOff>
    </xdr:from>
    <xdr:to>
      <xdr:col>2</xdr:col>
      <xdr:colOff>1236183</xdr:colOff>
      <xdr:row>556</xdr:row>
      <xdr:rowOff>38100</xdr:rowOff>
    </xdr:to>
    <xdr:cxnSp macro="">
      <xdr:nvCxnSpPr>
        <xdr:cNvPr id="28" name="Straight Connector 27">
          <a:extLst>
            <a:ext uri="{FF2B5EF4-FFF2-40B4-BE49-F238E27FC236}">
              <a16:creationId xmlns:a16="http://schemas.microsoft.com/office/drawing/2014/main" id="{00000000-0008-0000-0100-00001C000000}"/>
            </a:ext>
          </a:extLst>
        </xdr:cNvPr>
        <xdr:cNvCxnSpPr/>
      </xdr:nvCxnSpPr>
      <xdr:spPr>
        <a:xfrm>
          <a:off x="1604483" y="187347225"/>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556</xdr:row>
      <xdr:rowOff>44160</xdr:rowOff>
    </xdr:from>
    <xdr:to>
      <xdr:col>24</xdr:col>
      <xdr:colOff>294408</xdr:colOff>
      <xdr:row>556</xdr:row>
      <xdr:rowOff>44160</xdr:rowOff>
    </xdr:to>
    <xdr:cxnSp macro="">
      <xdr:nvCxnSpPr>
        <xdr:cNvPr id="29" name="Straight Connector 28">
          <a:extLst>
            <a:ext uri="{FF2B5EF4-FFF2-40B4-BE49-F238E27FC236}">
              <a16:creationId xmlns:a16="http://schemas.microsoft.com/office/drawing/2014/main" id="{00000000-0008-0000-0100-00001D000000}"/>
            </a:ext>
          </a:extLst>
        </xdr:cNvPr>
        <xdr:cNvCxnSpPr/>
      </xdr:nvCxnSpPr>
      <xdr:spPr>
        <a:xfrm>
          <a:off x="10754846" y="187353285"/>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568</xdr:row>
      <xdr:rowOff>38100</xdr:rowOff>
    </xdr:from>
    <xdr:to>
      <xdr:col>2</xdr:col>
      <xdr:colOff>1236183</xdr:colOff>
      <xdr:row>568</xdr:row>
      <xdr:rowOff>38100</xdr:rowOff>
    </xdr:to>
    <xdr:cxnSp macro="">
      <xdr:nvCxnSpPr>
        <xdr:cNvPr id="30" name="Straight Connector 29">
          <a:extLst>
            <a:ext uri="{FF2B5EF4-FFF2-40B4-BE49-F238E27FC236}">
              <a16:creationId xmlns:a16="http://schemas.microsoft.com/office/drawing/2014/main" id="{00000000-0008-0000-0100-00001E000000}"/>
            </a:ext>
          </a:extLst>
        </xdr:cNvPr>
        <xdr:cNvCxnSpPr/>
      </xdr:nvCxnSpPr>
      <xdr:spPr>
        <a:xfrm>
          <a:off x="1604483" y="194109975"/>
          <a:ext cx="8794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324971</xdr:colOff>
      <xdr:row>568</xdr:row>
      <xdr:rowOff>44160</xdr:rowOff>
    </xdr:from>
    <xdr:to>
      <xdr:col>24</xdr:col>
      <xdr:colOff>294408</xdr:colOff>
      <xdr:row>568</xdr:row>
      <xdr:rowOff>44160</xdr:rowOff>
    </xdr:to>
    <xdr:cxnSp macro="">
      <xdr:nvCxnSpPr>
        <xdr:cNvPr id="31" name="Straight Connector 30">
          <a:extLst>
            <a:ext uri="{FF2B5EF4-FFF2-40B4-BE49-F238E27FC236}">
              <a16:creationId xmlns:a16="http://schemas.microsoft.com/office/drawing/2014/main" id="{00000000-0008-0000-0100-00001F000000}"/>
            </a:ext>
          </a:extLst>
        </xdr:cNvPr>
        <xdr:cNvCxnSpPr/>
      </xdr:nvCxnSpPr>
      <xdr:spPr>
        <a:xfrm>
          <a:off x="10754846" y="194116035"/>
          <a:ext cx="19220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397</xdr:row>
      <xdr:rowOff>38100</xdr:rowOff>
    </xdr:from>
    <xdr:to>
      <xdr:col>2</xdr:col>
      <xdr:colOff>1236183</xdr:colOff>
      <xdr:row>397</xdr:row>
      <xdr:rowOff>38100</xdr:rowOff>
    </xdr:to>
    <xdr:cxnSp macro="">
      <xdr:nvCxnSpPr>
        <xdr:cNvPr id="84" name="Straight Connector 83">
          <a:extLst>
            <a:ext uri="{FF2B5EF4-FFF2-40B4-BE49-F238E27FC236}">
              <a16:creationId xmlns:a16="http://schemas.microsoft.com/office/drawing/2014/main" id="{00000000-0008-0000-0100-000054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399</xdr:row>
      <xdr:rowOff>38100</xdr:rowOff>
    </xdr:from>
    <xdr:to>
      <xdr:col>2</xdr:col>
      <xdr:colOff>1236183</xdr:colOff>
      <xdr:row>399</xdr:row>
      <xdr:rowOff>38100</xdr:rowOff>
    </xdr:to>
    <xdr:cxnSp macro="">
      <xdr:nvCxnSpPr>
        <xdr:cNvPr id="85" name="Straight Connector 84">
          <a:extLst>
            <a:ext uri="{FF2B5EF4-FFF2-40B4-BE49-F238E27FC236}">
              <a16:creationId xmlns:a16="http://schemas.microsoft.com/office/drawing/2014/main" id="{00000000-0008-0000-0100-000055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401</xdr:row>
      <xdr:rowOff>38100</xdr:rowOff>
    </xdr:from>
    <xdr:to>
      <xdr:col>2</xdr:col>
      <xdr:colOff>1236183</xdr:colOff>
      <xdr:row>401</xdr:row>
      <xdr:rowOff>38100</xdr:rowOff>
    </xdr:to>
    <xdr:cxnSp macro="">
      <xdr:nvCxnSpPr>
        <xdr:cNvPr id="86" name="Straight Connector 85">
          <a:extLst>
            <a:ext uri="{FF2B5EF4-FFF2-40B4-BE49-F238E27FC236}">
              <a16:creationId xmlns:a16="http://schemas.microsoft.com/office/drawing/2014/main" id="{00000000-0008-0000-0100-000056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403</xdr:row>
      <xdr:rowOff>38100</xdr:rowOff>
    </xdr:from>
    <xdr:to>
      <xdr:col>2</xdr:col>
      <xdr:colOff>1236183</xdr:colOff>
      <xdr:row>403</xdr:row>
      <xdr:rowOff>38100</xdr:rowOff>
    </xdr:to>
    <xdr:cxnSp macro="">
      <xdr:nvCxnSpPr>
        <xdr:cNvPr id="87" name="Straight Connector 86">
          <a:extLst>
            <a:ext uri="{FF2B5EF4-FFF2-40B4-BE49-F238E27FC236}">
              <a16:creationId xmlns:a16="http://schemas.microsoft.com/office/drawing/2014/main" id="{00000000-0008-0000-0100-000057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405</xdr:row>
      <xdr:rowOff>38100</xdr:rowOff>
    </xdr:from>
    <xdr:to>
      <xdr:col>2</xdr:col>
      <xdr:colOff>1236183</xdr:colOff>
      <xdr:row>405</xdr:row>
      <xdr:rowOff>38100</xdr:rowOff>
    </xdr:to>
    <xdr:cxnSp macro="">
      <xdr:nvCxnSpPr>
        <xdr:cNvPr id="88" name="Straight Connector 87">
          <a:extLst>
            <a:ext uri="{FF2B5EF4-FFF2-40B4-BE49-F238E27FC236}">
              <a16:creationId xmlns:a16="http://schemas.microsoft.com/office/drawing/2014/main" id="{00000000-0008-0000-0100-000058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407</xdr:row>
      <xdr:rowOff>38100</xdr:rowOff>
    </xdr:from>
    <xdr:to>
      <xdr:col>2</xdr:col>
      <xdr:colOff>1236183</xdr:colOff>
      <xdr:row>407</xdr:row>
      <xdr:rowOff>38100</xdr:rowOff>
    </xdr:to>
    <xdr:cxnSp macro="">
      <xdr:nvCxnSpPr>
        <xdr:cNvPr id="89" name="Straight Connector 88">
          <a:extLst>
            <a:ext uri="{FF2B5EF4-FFF2-40B4-BE49-F238E27FC236}">
              <a16:creationId xmlns:a16="http://schemas.microsoft.com/office/drawing/2014/main" id="{00000000-0008-0000-0100-000059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409</xdr:row>
      <xdr:rowOff>38100</xdr:rowOff>
    </xdr:from>
    <xdr:to>
      <xdr:col>2</xdr:col>
      <xdr:colOff>1236183</xdr:colOff>
      <xdr:row>409</xdr:row>
      <xdr:rowOff>38100</xdr:rowOff>
    </xdr:to>
    <xdr:cxnSp macro="">
      <xdr:nvCxnSpPr>
        <xdr:cNvPr id="90" name="Straight Connector 89">
          <a:extLst>
            <a:ext uri="{FF2B5EF4-FFF2-40B4-BE49-F238E27FC236}">
              <a16:creationId xmlns:a16="http://schemas.microsoft.com/office/drawing/2014/main" id="{00000000-0008-0000-0100-00005A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411</xdr:row>
      <xdr:rowOff>38100</xdr:rowOff>
    </xdr:from>
    <xdr:to>
      <xdr:col>2</xdr:col>
      <xdr:colOff>1236183</xdr:colOff>
      <xdr:row>411</xdr:row>
      <xdr:rowOff>38100</xdr:rowOff>
    </xdr:to>
    <xdr:cxnSp macro="">
      <xdr:nvCxnSpPr>
        <xdr:cNvPr id="91" name="Straight Connector 90">
          <a:extLst>
            <a:ext uri="{FF2B5EF4-FFF2-40B4-BE49-F238E27FC236}">
              <a16:creationId xmlns:a16="http://schemas.microsoft.com/office/drawing/2014/main" id="{00000000-0008-0000-0100-00005B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413</xdr:row>
      <xdr:rowOff>38100</xdr:rowOff>
    </xdr:from>
    <xdr:to>
      <xdr:col>2</xdr:col>
      <xdr:colOff>1236183</xdr:colOff>
      <xdr:row>413</xdr:row>
      <xdr:rowOff>38100</xdr:rowOff>
    </xdr:to>
    <xdr:cxnSp macro="">
      <xdr:nvCxnSpPr>
        <xdr:cNvPr id="92" name="Straight Connector 91">
          <a:extLst>
            <a:ext uri="{FF2B5EF4-FFF2-40B4-BE49-F238E27FC236}">
              <a16:creationId xmlns:a16="http://schemas.microsoft.com/office/drawing/2014/main" id="{00000000-0008-0000-0100-00005C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415</xdr:row>
      <xdr:rowOff>38100</xdr:rowOff>
    </xdr:from>
    <xdr:to>
      <xdr:col>2</xdr:col>
      <xdr:colOff>1236183</xdr:colOff>
      <xdr:row>415</xdr:row>
      <xdr:rowOff>38100</xdr:rowOff>
    </xdr:to>
    <xdr:cxnSp macro="">
      <xdr:nvCxnSpPr>
        <xdr:cNvPr id="93" name="Straight Connector 92">
          <a:extLst>
            <a:ext uri="{FF2B5EF4-FFF2-40B4-BE49-F238E27FC236}">
              <a16:creationId xmlns:a16="http://schemas.microsoft.com/office/drawing/2014/main" id="{00000000-0008-0000-0100-00005D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417</xdr:row>
      <xdr:rowOff>38100</xdr:rowOff>
    </xdr:from>
    <xdr:to>
      <xdr:col>2</xdr:col>
      <xdr:colOff>1236183</xdr:colOff>
      <xdr:row>417</xdr:row>
      <xdr:rowOff>38100</xdr:rowOff>
    </xdr:to>
    <xdr:cxnSp macro="">
      <xdr:nvCxnSpPr>
        <xdr:cNvPr id="94" name="Straight Connector 93">
          <a:extLst>
            <a:ext uri="{FF2B5EF4-FFF2-40B4-BE49-F238E27FC236}">
              <a16:creationId xmlns:a16="http://schemas.microsoft.com/office/drawing/2014/main" id="{00000000-0008-0000-0100-00005E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419</xdr:row>
      <xdr:rowOff>38100</xdr:rowOff>
    </xdr:from>
    <xdr:to>
      <xdr:col>2</xdr:col>
      <xdr:colOff>1236183</xdr:colOff>
      <xdr:row>419</xdr:row>
      <xdr:rowOff>38100</xdr:rowOff>
    </xdr:to>
    <xdr:cxnSp macro="">
      <xdr:nvCxnSpPr>
        <xdr:cNvPr id="95" name="Straight Connector 94">
          <a:extLst>
            <a:ext uri="{FF2B5EF4-FFF2-40B4-BE49-F238E27FC236}">
              <a16:creationId xmlns:a16="http://schemas.microsoft.com/office/drawing/2014/main" id="{00000000-0008-0000-0100-00005F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421</xdr:row>
      <xdr:rowOff>38100</xdr:rowOff>
    </xdr:from>
    <xdr:to>
      <xdr:col>2</xdr:col>
      <xdr:colOff>1236183</xdr:colOff>
      <xdr:row>421</xdr:row>
      <xdr:rowOff>38100</xdr:rowOff>
    </xdr:to>
    <xdr:cxnSp macro="">
      <xdr:nvCxnSpPr>
        <xdr:cNvPr id="96" name="Straight Connector 95">
          <a:extLst>
            <a:ext uri="{FF2B5EF4-FFF2-40B4-BE49-F238E27FC236}">
              <a16:creationId xmlns:a16="http://schemas.microsoft.com/office/drawing/2014/main" id="{00000000-0008-0000-0100-000060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423</xdr:row>
      <xdr:rowOff>38100</xdr:rowOff>
    </xdr:from>
    <xdr:to>
      <xdr:col>2</xdr:col>
      <xdr:colOff>1236183</xdr:colOff>
      <xdr:row>423</xdr:row>
      <xdr:rowOff>38100</xdr:rowOff>
    </xdr:to>
    <xdr:cxnSp macro="">
      <xdr:nvCxnSpPr>
        <xdr:cNvPr id="97" name="Straight Connector 96">
          <a:extLst>
            <a:ext uri="{FF2B5EF4-FFF2-40B4-BE49-F238E27FC236}">
              <a16:creationId xmlns:a16="http://schemas.microsoft.com/office/drawing/2014/main" id="{00000000-0008-0000-0100-000061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425</xdr:row>
      <xdr:rowOff>38100</xdr:rowOff>
    </xdr:from>
    <xdr:to>
      <xdr:col>2</xdr:col>
      <xdr:colOff>1236183</xdr:colOff>
      <xdr:row>425</xdr:row>
      <xdr:rowOff>38100</xdr:rowOff>
    </xdr:to>
    <xdr:cxnSp macro="">
      <xdr:nvCxnSpPr>
        <xdr:cNvPr id="98" name="Straight Connector 97">
          <a:extLst>
            <a:ext uri="{FF2B5EF4-FFF2-40B4-BE49-F238E27FC236}">
              <a16:creationId xmlns:a16="http://schemas.microsoft.com/office/drawing/2014/main" id="{00000000-0008-0000-0100-000062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427</xdr:row>
      <xdr:rowOff>38100</xdr:rowOff>
    </xdr:from>
    <xdr:to>
      <xdr:col>2</xdr:col>
      <xdr:colOff>1236183</xdr:colOff>
      <xdr:row>427</xdr:row>
      <xdr:rowOff>38100</xdr:rowOff>
    </xdr:to>
    <xdr:cxnSp macro="">
      <xdr:nvCxnSpPr>
        <xdr:cNvPr id="99" name="Straight Connector 98">
          <a:extLst>
            <a:ext uri="{FF2B5EF4-FFF2-40B4-BE49-F238E27FC236}">
              <a16:creationId xmlns:a16="http://schemas.microsoft.com/office/drawing/2014/main" id="{00000000-0008-0000-0100-000063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429</xdr:row>
      <xdr:rowOff>38100</xdr:rowOff>
    </xdr:from>
    <xdr:to>
      <xdr:col>2</xdr:col>
      <xdr:colOff>1236183</xdr:colOff>
      <xdr:row>429</xdr:row>
      <xdr:rowOff>38100</xdr:rowOff>
    </xdr:to>
    <xdr:cxnSp macro="">
      <xdr:nvCxnSpPr>
        <xdr:cNvPr id="100" name="Straight Connector 99">
          <a:extLst>
            <a:ext uri="{FF2B5EF4-FFF2-40B4-BE49-F238E27FC236}">
              <a16:creationId xmlns:a16="http://schemas.microsoft.com/office/drawing/2014/main" id="{00000000-0008-0000-0100-000064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431</xdr:row>
      <xdr:rowOff>38100</xdr:rowOff>
    </xdr:from>
    <xdr:to>
      <xdr:col>2</xdr:col>
      <xdr:colOff>1236183</xdr:colOff>
      <xdr:row>431</xdr:row>
      <xdr:rowOff>38100</xdr:rowOff>
    </xdr:to>
    <xdr:cxnSp macro="">
      <xdr:nvCxnSpPr>
        <xdr:cNvPr id="101" name="Straight Connector 100">
          <a:extLst>
            <a:ext uri="{FF2B5EF4-FFF2-40B4-BE49-F238E27FC236}">
              <a16:creationId xmlns:a16="http://schemas.microsoft.com/office/drawing/2014/main" id="{00000000-0008-0000-0100-000065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433</xdr:row>
      <xdr:rowOff>38100</xdr:rowOff>
    </xdr:from>
    <xdr:to>
      <xdr:col>2</xdr:col>
      <xdr:colOff>1236183</xdr:colOff>
      <xdr:row>433</xdr:row>
      <xdr:rowOff>38100</xdr:rowOff>
    </xdr:to>
    <xdr:cxnSp macro="">
      <xdr:nvCxnSpPr>
        <xdr:cNvPr id="102" name="Straight Connector 101">
          <a:extLst>
            <a:ext uri="{FF2B5EF4-FFF2-40B4-BE49-F238E27FC236}">
              <a16:creationId xmlns:a16="http://schemas.microsoft.com/office/drawing/2014/main" id="{00000000-0008-0000-0100-000066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435</xdr:row>
      <xdr:rowOff>38100</xdr:rowOff>
    </xdr:from>
    <xdr:to>
      <xdr:col>2</xdr:col>
      <xdr:colOff>1236183</xdr:colOff>
      <xdr:row>435</xdr:row>
      <xdr:rowOff>38100</xdr:rowOff>
    </xdr:to>
    <xdr:cxnSp macro="">
      <xdr:nvCxnSpPr>
        <xdr:cNvPr id="103" name="Straight Connector 102">
          <a:extLst>
            <a:ext uri="{FF2B5EF4-FFF2-40B4-BE49-F238E27FC236}">
              <a16:creationId xmlns:a16="http://schemas.microsoft.com/office/drawing/2014/main" id="{00000000-0008-0000-0100-000067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437</xdr:row>
      <xdr:rowOff>38100</xdr:rowOff>
    </xdr:from>
    <xdr:to>
      <xdr:col>2</xdr:col>
      <xdr:colOff>1236183</xdr:colOff>
      <xdr:row>437</xdr:row>
      <xdr:rowOff>38100</xdr:rowOff>
    </xdr:to>
    <xdr:cxnSp macro="">
      <xdr:nvCxnSpPr>
        <xdr:cNvPr id="104" name="Straight Connector 103">
          <a:extLst>
            <a:ext uri="{FF2B5EF4-FFF2-40B4-BE49-F238E27FC236}">
              <a16:creationId xmlns:a16="http://schemas.microsoft.com/office/drawing/2014/main" id="{00000000-0008-0000-0100-000068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439</xdr:row>
      <xdr:rowOff>38100</xdr:rowOff>
    </xdr:from>
    <xdr:to>
      <xdr:col>2</xdr:col>
      <xdr:colOff>1236183</xdr:colOff>
      <xdr:row>439</xdr:row>
      <xdr:rowOff>38100</xdr:rowOff>
    </xdr:to>
    <xdr:cxnSp macro="">
      <xdr:nvCxnSpPr>
        <xdr:cNvPr id="105" name="Straight Connector 104">
          <a:extLst>
            <a:ext uri="{FF2B5EF4-FFF2-40B4-BE49-F238E27FC236}">
              <a16:creationId xmlns:a16="http://schemas.microsoft.com/office/drawing/2014/main" id="{00000000-0008-0000-0100-000069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441</xdr:row>
      <xdr:rowOff>38100</xdr:rowOff>
    </xdr:from>
    <xdr:to>
      <xdr:col>2</xdr:col>
      <xdr:colOff>1236183</xdr:colOff>
      <xdr:row>441</xdr:row>
      <xdr:rowOff>38100</xdr:rowOff>
    </xdr:to>
    <xdr:cxnSp macro="">
      <xdr:nvCxnSpPr>
        <xdr:cNvPr id="106" name="Straight Connector 105">
          <a:extLst>
            <a:ext uri="{FF2B5EF4-FFF2-40B4-BE49-F238E27FC236}">
              <a16:creationId xmlns:a16="http://schemas.microsoft.com/office/drawing/2014/main" id="{00000000-0008-0000-0100-00006A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443</xdr:row>
      <xdr:rowOff>38100</xdr:rowOff>
    </xdr:from>
    <xdr:to>
      <xdr:col>2</xdr:col>
      <xdr:colOff>1236183</xdr:colOff>
      <xdr:row>443</xdr:row>
      <xdr:rowOff>38100</xdr:rowOff>
    </xdr:to>
    <xdr:cxnSp macro="">
      <xdr:nvCxnSpPr>
        <xdr:cNvPr id="107" name="Straight Connector 106">
          <a:extLst>
            <a:ext uri="{FF2B5EF4-FFF2-40B4-BE49-F238E27FC236}">
              <a16:creationId xmlns:a16="http://schemas.microsoft.com/office/drawing/2014/main" id="{00000000-0008-0000-0100-00006B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445</xdr:row>
      <xdr:rowOff>38100</xdr:rowOff>
    </xdr:from>
    <xdr:to>
      <xdr:col>2</xdr:col>
      <xdr:colOff>1236183</xdr:colOff>
      <xdr:row>445</xdr:row>
      <xdr:rowOff>38100</xdr:rowOff>
    </xdr:to>
    <xdr:cxnSp macro="">
      <xdr:nvCxnSpPr>
        <xdr:cNvPr id="108" name="Straight Connector 107">
          <a:extLst>
            <a:ext uri="{FF2B5EF4-FFF2-40B4-BE49-F238E27FC236}">
              <a16:creationId xmlns:a16="http://schemas.microsoft.com/office/drawing/2014/main" id="{00000000-0008-0000-0100-00006C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447</xdr:row>
      <xdr:rowOff>38100</xdr:rowOff>
    </xdr:from>
    <xdr:to>
      <xdr:col>2</xdr:col>
      <xdr:colOff>1236183</xdr:colOff>
      <xdr:row>447</xdr:row>
      <xdr:rowOff>38100</xdr:rowOff>
    </xdr:to>
    <xdr:cxnSp macro="">
      <xdr:nvCxnSpPr>
        <xdr:cNvPr id="109" name="Straight Connector 108">
          <a:extLst>
            <a:ext uri="{FF2B5EF4-FFF2-40B4-BE49-F238E27FC236}">
              <a16:creationId xmlns:a16="http://schemas.microsoft.com/office/drawing/2014/main" id="{00000000-0008-0000-0100-00006D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449</xdr:row>
      <xdr:rowOff>38100</xdr:rowOff>
    </xdr:from>
    <xdr:to>
      <xdr:col>2</xdr:col>
      <xdr:colOff>1236183</xdr:colOff>
      <xdr:row>449</xdr:row>
      <xdr:rowOff>38100</xdr:rowOff>
    </xdr:to>
    <xdr:cxnSp macro="">
      <xdr:nvCxnSpPr>
        <xdr:cNvPr id="110" name="Straight Connector 109">
          <a:extLst>
            <a:ext uri="{FF2B5EF4-FFF2-40B4-BE49-F238E27FC236}">
              <a16:creationId xmlns:a16="http://schemas.microsoft.com/office/drawing/2014/main" id="{00000000-0008-0000-0100-00006E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451</xdr:row>
      <xdr:rowOff>38100</xdr:rowOff>
    </xdr:from>
    <xdr:to>
      <xdr:col>2</xdr:col>
      <xdr:colOff>1236183</xdr:colOff>
      <xdr:row>451</xdr:row>
      <xdr:rowOff>38100</xdr:rowOff>
    </xdr:to>
    <xdr:cxnSp macro="">
      <xdr:nvCxnSpPr>
        <xdr:cNvPr id="111" name="Straight Connector 110">
          <a:extLst>
            <a:ext uri="{FF2B5EF4-FFF2-40B4-BE49-F238E27FC236}">
              <a16:creationId xmlns:a16="http://schemas.microsoft.com/office/drawing/2014/main" id="{00000000-0008-0000-0100-00006F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453</xdr:row>
      <xdr:rowOff>38100</xdr:rowOff>
    </xdr:from>
    <xdr:to>
      <xdr:col>2</xdr:col>
      <xdr:colOff>1236183</xdr:colOff>
      <xdr:row>453</xdr:row>
      <xdr:rowOff>38100</xdr:rowOff>
    </xdr:to>
    <xdr:cxnSp macro="">
      <xdr:nvCxnSpPr>
        <xdr:cNvPr id="112" name="Straight Connector 111">
          <a:extLst>
            <a:ext uri="{FF2B5EF4-FFF2-40B4-BE49-F238E27FC236}">
              <a16:creationId xmlns:a16="http://schemas.microsoft.com/office/drawing/2014/main" id="{00000000-0008-0000-0100-000070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455</xdr:row>
      <xdr:rowOff>38100</xdr:rowOff>
    </xdr:from>
    <xdr:to>
      <xdr:col>2</xdr:col>
      <xdr:colOff>1236183</xdr:colOff>
      <xdr:row>455</xdr:row>
      <xdr:rowOff>38100</xdr:rowOff>
    </xdr:to>
    <xdr:cxnSp macro="">
      <xdr:nvCxnSpPr>
        <xdr:cNvPr id="113" name="Straight Connector 112">
          <a:extLst>
            <a:ext uri="{FF2B5EF4-FFF2-40B4-BE49-F238E27FC236}">
              <a16:creationId xmlns:a16="http://schemas.microsoft.com/office/drawing/2014/main" id="{00000000-0008-0000-0100-000071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356708</xdr:colOff>
      <xdr:row>457</xdr:row>
      <xdr:rowOff>38100</xdr:rowOff>
    </xdr:from>
    <xdr:to>
      <xdr:col>2</xdr:col>
      <xdr:colOff>1236183</xdr:colOff>
      <xdr:row>457</xdr:row>
      <xdr:rowOff>38100</xdr:rowOff>
    </xdr:to>
    <xdr:cxnSp macro="">
      <xdr:nvCxnSpPr>
        <xdr:cNvPr id="114" name="Straight Connector 113">
          <a:extLst>
            <a:ext uri="{FF2B5EF4-FFF2-40B4-BE49-F238E27FC236}">
              <a16:creationId xmlns:a16="http://schemas.microsoft.com/office/drawing/2014/main" id="{00000000-0008-0000-0100-000072000000}"/>
            </a:ext>
          </a:extLst>
        </xdr:cNvPr>
        <xdr:cNvCxnSpPr/>
      </xdr:nvCxnSpPr>
      <xdr:spPr>
        <a:xfrm>
          <a:off x="1013933" y="82505550"/>
          <a:ext cx="69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1143000</xdr:colOff>
      <xdr:row>2</xdr:row>
      <xdr:rowOff>9525</xdr:rowOff>
    </xdr:from>
    <xdr:to>
      <xdr:col>7</xdr:col>
      <xdr:colOff>171450</xdr:colOff>
      <xdr:row>2</xdr:row>
      <xdr:rowOff>9525</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1685925" y="504825"/>
          <a:ext cx="19526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152400</xdr:colOff>
      <xdr:row>2</xdr:row>
      <xdr:rowOff>9525</xdr:rowOff>
    </xdr:from>
    <xdr:to>
      <xdr:col>19</xdr:col>
      <xdr:colOff>390525</xdr:colOff>
      <xdr:row>2</xdr:row>
      <xdr:rowOff>9525</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a:off x="6972300" y="504825"/>
          <a:ext cx="2228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A3476-E106-443D-A133-505D7E038B6F}">
  <dimension ref="A1"/>
  <sheetViews>
    <sheetView workbookViewId="0"/>
  </sheetViews>
  <sheetFormatPr defaultRowHeight="14.2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F219-79BF-4960-83C5-5738F3709541}">
  <dimension ref="A1:AD64"/>
  <sheetViews>
    <sheetView topLeftCell="A4" workbookViewId="0">
      <selection activeCell="Z13" sqref="Z13"/>
    </sheetView>
  </sheetViews>
  <sheetFormatPr defaultRowHeight="14.25" x14ac:dyDescent="0.2"/>
  <cols>
    <col min="1" max="1" width="5.25" customWidth="1"/>
    <col min="2" max="2" width="8.875" customWidth="1"/>
    <col min="3" max="3" width="23.625" customWidth="1"/>
    <col min="4" max="4" width="11.875" customWidth="1"/>
    <col min="5" max="9" width="6" customWidth="1"/>
    <col min="10" max="12" width="5" customWidth="1"/>
    <col min="13" max="13" width="6.25" customWidth="1"/>
    <col min="14" max="14" width="5.375" customWidth="1"/>
    <col min="15" max="17" width="0" hidden="1" customWidth="1"/>
    <col min="18" max="18" width="4.625" customWidth="1"/>
    <col min="19" max="19" width="5.375" customWidth="1"/>
    <col min="20" max="22" width="0" hidden="1" customWidth="1"/>
    <col min="23" max="23" width="5.375" customWidth="1"/>
    <col min="24" max="24" width="6.125" customWidth="1"/>
    <col min="25" max="25" width="5.375" customWidth="1"/>
    <col min="26" max="26" width="5.625" customWidth="1"/>
    <col min="27" max="27" width="7.25" customWidth="1"/>
    <col min="28" max="28" width="7.125" customWidth="1"/>
    <col min="29" max="29" width="12.625" customWidth="1"/>
    <col min="30" max="30" width="17" customWidth="1"/>
  </cols>
  <sheetData>
    <row r="1" spans="1:30" ht="19.5" x14ac:dyDescent="0.3">
      <c r="A1" s="1"/>
      <c r="B1" s="2" t="s">
        <v>0</v>
      </c>
      <c r="C1" s="3"/>
      <c r="D1" s="3"/>
      <c r="J1" s="4"/>
      <c r="K1" s="15"/>
      <c r="M1" s="6" t="s">
        <v>1</v>
      </c>
      <c r="N1" s="5"/>
      <c r="O1" s="5"/>
      <c r="P1" s="5"/>
      <c r="Q1" s="5"/>
      <c r="S1" s="6"/>
      <c r="T1" s="6"/>
      <c r="U1" s="6"/>
      <c r="V1" s="6"/>
      <c r="X1" s="6"/>
      <c r="Y1" s="3"/>
      <c r="Z1" s="3"/>
      <c r="AB1" s="10"/>
      <c r="AC1" s="10"/>
    </row>
    <row r="2" spans="1:30" ht="19.5" x14ac:dyDescent="0.3">
      <c r="A2" s="7"/>
      <c r="B2" s="8" t="s">
        <v>2</v>
      </c>
      <c r="C2" s="3"/>
      <c r="D2" s="3"/>
      <c r="J2" s="16"/>
      <c r="K2" s="17"/>
      <c r="L2" s="16"/>
      <c r="M2" s="9" t="s">
        <v>3</v>
      </c>
      <c r="N2" s="5"/>
      <c r="O2" s="5"/>
      <c r="P2" s="5"/>
      <c r="Q2" s="5"/>
      <c r="S2" s="9"/>
      <c r="T2" s="9"/>
      <c r="U2" s="9"/>
      <c r="V2" s="9"/>
      <c r="X2" s="9"/>
      <c r="Y2" s="5"/>
      <c r="Z2" s="5"/>
      <c r="AB2" s="10"/>
      <c r="AC2" s="10"/>
    </row>
    <row r="3" spans="1:30" ht="19.5" x14ac:dyDescent="0.3">
      <c r="A3" s="7"/>
      <c r="B3" s="4"/>
      <c r="C3" s="7"/>
      <c r="D3" s="7"/>
      <c r="J3" s="16"/>
      <c r="K3" s="17"/>
      <c r="L3" s="16"/>
      <c r="M3" s="6" t="s">
        <v>4</v>
      </c>
      <c r="N3" s="5"/>
      <c r="O3" s="5"/>
      <c r="P3" s="5"/>
      <c r="Q3" s="5"/>
      <c r="S3" s="6"/>
      <c r="T3" s="6"/>
      <c r="U3" s="6"/>
      <c r="V3" s="6"/>
      <c r="X3" s="6"/>
      <c r="Y3" s="5"/>
      <c r="Z3" s="5"/>
      <c r="AB3" s="10"/>
      <c r="AC3" s="10"/>
    </row>
    <row r="4" spans="1:30" ht="15.75" x14ac:dyDescent="0.25">
      <c r="J4" s="16"/>
      <c r="K4" s="16"/>
      <c r="L4" s="16"/>
      <c r="AB4" s="10"/>
      <c r="AC4" s="10"/>
    </row>
    <row r="5" spans="1:30" x14ac:dyDescent="0.2">
      <c r="A5" s="364" t="s">
        <v>5</v>
      </c>
      <c r="B5" s="367" t="s">
        <v>6</v>
      </c>
      <c r="C5" s="364" t="s">
        <v>7</v>
      </c>
      <c r="D5" s="370" t="s">
        <v>8</v>
      </c>
      <c r="E5" s="363" t="s">
        <v>16</v>
      </c>
      <c r="F5" s="363" t="s">
        <v>100</v>
      </c>
      <c r="G5" s="373" t="s">
        <v>101</v>
      </c>
      <c r="H5" s="373" t="s">
        <v>102</v>
      </c>
      <c r="I5" s="373" t="s">
        <v>103</v>
      </c>
      <c r="J5" s="376" t="s">
        <v>9</v>
      </c>
      <c r="K5" s="377"/>
      <c r="L5" s="378"/>
      <c r="M5" s="385" t="s">
        <v>10</v>
      </c>
      <c r="N5" s="395" t="s">
        <v>11</v>
      </c>
      <c r="O5" s="396"/>
      <c r="P5" s="396"/>
      <c r="Q5" s="396"/>
      <c r="R5" s="396"/>
      <c r="S5" s="396"/>
      <c r="T5" s="396"/>
      <c r="U5" s="396"/>
      <c r="V5" s="396"/>
      <c r="W5" s="396"/>
      <c r="X5" s="396"/>
      <c r="Y5" s="396"/>
      <c r="Z5" s="397"/>
      <c r="AA5" s="388" t="s">
        <v>12</v>
      </c>
      <c r="AB5" s="367" t="s">
        <v>13</v>
      </c>
      <c r="AC5" s="389" t="s">
        <v>14</v>
      </c>
      <c r="AD5" s="388" t="s">
        <v>15</v>
      </c>
    </row>
    <row r="6" spans="1:30" x14ac:dyDescent="0.2">
      <c r="A6" s="365"/>
      <c r="B6" s="368"/>
      <c r="C6" s="365"/>
      <c r="D6" s="371"/>
      <c r="E6" s="363"/>
      <c r="F6" s="363"/>
      <c r="G6" s="374"/>
      <c r="H6" s="374"/>
      <c r="I6" s="374"/>
      <c r="J6" s="379"/>
      <c r="K6" s="380"/>
      <c r="L6" s="381"/>
      <c r="M6" s="386"/>
      <c r="N6" s="398"/>
      <c r="O6" s="399"/>
      <c r="P6" s="399"/>
      <c r="Q6" s="399"/>
      <c r="R6" s="399"/>
      <c r="S6" s="399"/>
      <c r="T6" s="399"/>
      <c r="U6" s="399"/>
      <c r="V6" s="399"/>
      <c r="W6" s="399"/>
      <c r="X6" s="399"/>
      <c r="Y6" s="399"/>
      <c r="Z6" s="400"/>
      <c r="AA6" s="388"/>
      <c r="AB6" s="368"/>
      <c r="AC6" s="389"/>
      <c r="AD6" s="388"/>
    </row>
    <row r="7" spans="1:30" x14ac:dyDescent="0.2">
      <c r="A7" s="365"/>
      <c r="B7" s="368"/>
      <c r="C7" s="365"/>
      <c r="D7" s="371"/>
      <c r="E7" s="363"/>
      <c r="F7" s="363"/>
      <c r="G7" s="374"/>
      <c r="H7" s="374"/>
      <c r="I7" s="374"/>
      <c r="J7" s="382"/>
      <c r="K7" s="383"/>
      <c r="L7" s="384"/>
      <c r="M7" s="386"/>
      <c r="N7" s="390" t="s">
        <v>17</v>
      </c>
      <c r="O7" s="391"/>
      <c r="P7" s="391"/>
      <c r="Q7" s="391"/>
      <c r="R7" s="392"/>
      <c r="S7" s="390" t="s">
        <v>18</v>
      </c>
      <c r="T7" s="391"/>
      <c r="U7" s="391"/>
      <c r="V7" s="391"/>
      <c r="W7" s="392"/>
      <c r="X7" s="390" t="s">
        <v>19</v>
      </c>
      <c r="Y7" s="392"/>
      <c r="Z7" s="393" t="s">
        <v>20</v>
      </c>
      <c r="AA7" s="388"/>
      <c r="AB7" s="369"/>
      <c r="AC7" s="389"/>
      <c r="AD7" s="388"/>
    </row>
    <row r="8" spans="1:30" ht="21" x14ac:dyDescent="0.2">
      <c r="A8" s="366"/>
      <c r="B8" s="369"/>
      <c r="C8" s="366"/>
      <c r="D8" s="372"/>
      <c r="E8" s="363"/>
      <c r="F8" s="363"/>
      <c r="G8" s="375"/>
      <c r="H8" s="375"/>
      <c r="I8" s="375"/>
      <c r="J8" s="297" t="s">
        <v>17</v>
      </c>
      <c r="K8" s="297" t="s">
        <v>18</v>
      </c>
      <c r="L8" s="297" t="s">
        <v>19</v>
      </c>
      <c r="M8" s="387"/>
      <c r="N8" s="298" t="s">
        <v>21</v>
      </c>
      <c r="O8" s="298" t="s">
        <v>104</v>
      </c>
      <c r="P8" s="298" t="s">
        <v>105</v>
      </c>
      <c r="Q8" s="298" t="s">
        <v>106</v>
      </c>
      <c r="R8" s="298" t="s">
        <v>22</v>
      </c>
      <c r="S8" s="298" t="s">
        <v>21</v>
      </c>
      <c r="T8" s="298" t="s">
        <v>104</v>
      </c>
      <c r="U8" s="298" t="s">
        <v>105</v>
      </c>
      <c r="V8" s="298" t="s">
        <v>106</v>
      </c>
      <c r="W8" s="298" t="s">
        <v>22</v>
      </c>
      <c r="X8" s="298" t="s">
        <v>21</v>
      </c>
      <c r="Y8" s="298" t="s">
        <v>22</v>
      </c>
      <c r="Z8" s="394"/>
      <c r="AA8" s="299"/>
      <c r="AB8" s="299"/>
      <c r="AC8" s="299"/>
      <c r="AD8" s="300"/>
    </row>
    <row r="9" spans="1:30" ht="31.5" x14ac:dyDescent="0.2">
      <c r="A9" s="301">
        <v>1</v>
      </c>
      <c r="B9" s="302">
        <v>7140201</v>
      </c>
      <c r="C9" s="303" t="s">
        <v>23</v>
      </c>
      <c r="D9" s="304" t="s">
        <v>24</v>
      </c>
      <c r="E9" s="301">
        <v>0</v>
      </c>
      <c r="F9" s="301">
        <v>0</v>
      </c>
      <c r="G9" s="301">
        <v>371</v>
      </c>
      <c r="H9" s="301">
        <v>105</v>
      </c>
      <c r="I9" s="301">
        <v>266</v>
      </c>
      <c r="J9" s="305">
        <v>0</v>
      </c>
      <c r="K9" s="305">
        <v>158</v>
      </c>
      <c r="L9" s="305">
        <v>0</v>
      </c>
      <c r="M9" s="299">
        <v>158</v>
      </c>
      <c r="N9" s="306">
        <v>5</v>
      </c>
      <c r="O9" s="301">
        <v>0</v>
      </c>
      <c r="P9" s="301">
        <v>0</v>
      </c>
      <c r="Q9" s="301">
        <v>0</v>
      </c>
      <c r="R9" s="301">
        <v>0</v>
      </c>
      <c r="S9" s="306">
        <v>5</v>
      </c>
      <c r="T9" s="301">
        <v>44</v>
      </c>
      <c r="U9" s="301">
        <v>102</v>
      </c>
      <c r="V9" s="301">
        <v>12</v>
      </c>
      <c r="W9" s="301">
        <v>158</v>
      </c>
      <c r="X9" s="306">
        <v>21</v>
      </c>
      <c r="Y9" s="301">
        <v>0</v>
      </c>
      <c r="Z9" s="299">
        <v>158</v>
      </c>
      <c r="AA9" s="301">
        <v>129</v>
      </c>
      <c r="AB9" s="301">
        <v>29</v>
      </c>
      <c r="AC9" s="307" t="s">
        <v>3888</v>
      </c>
      <c r="AD9" s="308" t="s">
        <v>40</v>
      </c>
    </row>
    <row r="10" spans="1:30" ht="25.5" x14ac:dyDescent="0.2">
      <c r="A10" s="301">
        <v>2</v>
      </c>
      <c r="B10" s="302">
        <v>7140202</v>
      </c>
      <c r="C10" s="303" t="s">
        <v>26</v>
      </c>
      <c r="D10" s="304" t="s">
        <v>24</v>
      </c>
      <c r="E10" s="301">
        <v>0</v>
      </c>
      <c r="F10" s="301">
        <v>0</v>
      </c>
      <c r="G10" s="301">
        <v>575</v>
      </c>
      <c r="H10" s="301">
        <v>194</v>
      </c>
      <c r="I10" s="301">
        <v>381</v>
      </c>
      <c r="J10" s="305">
        <v>0</v>
      </c>
      <c r="K10" s="305">
        <v>76</v>
      </c>
      <c r="L10" s="305">
        <v>96</v>
      </c>
      <c r="M10" s="299">
        <v>172</v>
      </c>
      <c r="N10" s="306">
        <v>5</v>
      </c>
      <c r="O10" s="301">
        <v>0</v>
      </c>
      <c r="P10" s="301">
        <v>0</v>
      </c>
      <c r="Q10" s="301">
        <v>0</v>
      </c>
      <c r="R10" s="301">
        <v>0</v>
      </c>
      <c r="S10" s="306">
        <v>5</v>
      </c>
      <c r="T10" s="301">
        <v>13</v>
      </c>
      <c r="U10" s="301">
        <v>36</v>
      </c>
      <c r="V10" s="301">
        <v>27</v>
      </c>
      <c r="W10" s="301">
        <v>76</v>
      </c>
      <c r="X10" s="306">
        <v>21</v>
      </c>
      <c r="Y10" s="301">
        <v>96</v>
      </c>
      <c r="Z10" s="299">
        <v>172</v>
      </c>
      <c r="AA10" s="301">
        <v>127</v>
      </c>
      <c r="AB10" s="301">
        <v>45</v>
      </c>
      <c r="AC10" s="309" t="s">
        <v>3881</v>
      </c>
      <c r="AD10" s="308" t="s">
        <v>40</v>
      </c>
    </row>
    <row r="11" spans="1:30" ht="30" x14ac:dyDescent="0.2">
      <c r="A11" s="301">
        <v>3</v>
      </c>
      <c r="B11" s="302">
        <v>7140206</v>
      </c>
      <c r="C11" s="303" t="s">
        <v>27</v>
      </c>
      <c r="D11" s="304" t="s">
        <v>24</v>
      </c>
      <c r="E11" s="301">
        <v>0</v>
      </c>
      <c r="F11" s="301">
        <v>0</v>
      </c>
      <c r="G11" s="301">
        <v>115</v>
      </c>
      <c r="H11" s="301">
        <v>40</v>
      </c>
      <c r="I11" s="301">
        <v>75</v>
      </c>
      <c r="J11" s="305">
        <v>0</v>
      </c>
      <c r="K11" s="305">
        <v>23</v>
      </c>
      <c r="L11" s="305">
        <v>0</v>
      </c>
      <c r="M11" s="299">
        <v>23</v>
      </c>
      <c r="N11" s="306">
        <v>5</v>
      </c>
      <c r="O11" s="301">
        <v>0</v>
      </c>
      <c r="P11" s="301">
        <v>0</v>
      </c>
      <c r="Q11" s="301">
        <v>0</v>
      </c>
      <c r="R11" s="301">
        <v>0</v>
      </c>
      <c r="S11" s="306">
        <v>5</v>
      </c>
      <c r="T11" s="301">
        <v>3</v>
      </c>
      <c r="U11" s="301">
        <v>17</v>
      </c>
      <c r="V11" s="301">
        <v>3</v>
      </c>
      <c r="W11" s="301">
        <v>23</v>
      </c>
      <c r="X11" s="306">
        <v>21</v>
      </c>
      <c r="Y11" s="301">
        <v>0</v>
      </c>
      <c r="Z11" s="299">
        <v>23</v>
      </c>
      <c r="AA11" s="301">
        <v>19</v>
      </c>
      <c r="AB11" s="301">
        <v>4</v>
      </c>
      <c r="AC11" s="310" t="s">
        <v>3889</v>
      </c>
      <c r="AD11" s="311" t="s">
        <v>28</v>
      </c>
    </row>
    <row r="12" spans="1:30" ht="25.5" x14ac:dyDescent="0.2">
      <c r="A12" s="301">
        <v>4</v>
      </c>
      <c r="B12" s="302">
        <v>7140209</v>
      </c>
      <c r="C12" s="312" t="s">
        <v>29</v>
      </c>
      <c r="D12" s="304" t="s">
        <v>24</v>
      </c>
      <c r="E12" s="301">
        <v>0</v>
      </c>
      <c r="F12" s="301">
        <v>0</v>
      </c>
      <c r="G12" s="301">
        <v>202</v>
      </c>
      <c r="H12" s="301">
        <v>137</v>
      </c>
      <c r="I12" s="301">
        <v>65</v>
      </c>
      <c r="J12" s="305">
        <v>0</v>
      </c>
      <c r="K12" s="305">
        <v>29</v>
      </c>
      <c r="L12" s="305">
        <v>44</v>
      </c>
      <c r="M12" s="299">
        <v>73</v>
      </c>
      <c r="N12" s="306">
        <v>5</v>
      </c>
      <c r="O12" s="301">
        <v>0</v>
      </c>
      <c r="P12" s="301">
        <v>0</v>
      </c>
      <c r="Q12" s="301">
        <v>0</v>
      </c>
      <c r="R12" s="301">
        <v>0</v>
      </c>
      <c r="S12" s="306">
        <v>5</v>
      </c>
      <c r="T12" s="301">
        <v>1</v>
      </c>
      <c r="U12" s="301">
        <v>15</v>
      </c>
      <c r="V12" s="301">
        <v>13</v>
      </c>
      <c r="W12" s="301">
        <v>29</v>
      </c>
      <c r="X12" s="306">
        <v>21</v>
      </c>
      <c r="Y12" s="301">
        <v>44</v>
      </c>
      <c r="Z12" s="299">
        <v>73</v>
      </c>
      <c r="AA12" s="301">
        <v>52</v>
      </c>
      <c r="AB12" s="301">
        <v>21</v>
      </c>
      <c r="AC12" s="309" t="s">
        <v>99</v>
      </c>
      <c r="AD12" s="308" t="s">
        <v>40</v>
      </c>
    </row>
    <row r="13" spans="1:30" ht="15.75" x14ac:dyDescent="0.2">
      <c r="A13" s="301">
        <v>5</v>
      </c>
      <c r="B13" s="302">
        <v>7140211</v>
      </c>
      <c r="C13" s="303" t="s">
        <v>30</v>
      </c>
      <c r="D13" s="304" t="s">
        <v>24</v>
      </c>
      <c r="E13" s="301">
        <v>0</v>
      </c>
      <c r="F13" s="301">
        <v>0</v>
      </c>
      <c r="G13" s="301">
        <v>126</v>
      </c>
      <c r="H13" s="301">
        <v>0</v>
      </c>
      <c r="I13" s="301">
        <v>126</v>
      </c>
      <c r="J13" s="305">
        <v>0</v>
      </c>
      <c r="K13" s="305">
        <v>0</v>
      </c>
      <c r="L13" s="305">
        <v>0</v>
      </c>
      <c r="M13" s="299">
        <v>0</v>
      </c>
      <c r="N13" s="301"/>
      <c r="O13" s="301"/>
      <c r="P13" s="301"/>
      <c r="Q13" s="301"/>
      <c r="R13" s="301"/>
      <c r="S13" s="301"/>
      <c r="T13" s="301"/>
      <c r="U13" s="301"/>
      <c r="V13" s="301"/>
      <c r="W13" s="301"/>
      <c r="X13" s="301"/>
      <c r="Y13" s="301"/>
      <c r="Z13" s="299"/>
      <c r="AA13" s="313"/>
      <c r="AB13" s="314"/>
      <c r="AC13" s="301"/>
      <c r="AD13" s="309"/>
    </row>
    <row r="14" spans="1:30" ht="15.75" x14ac:dyDescent="0.2">
      <c r="A14" s="301">
        <v>6</v>
      </c>
      <c r="B14" s="302">
        <v>7140212</v>
      </c>
      <c r="C14" s="303" t="s">
        <v>31</v>
      </c>
      <c r="D14" s="304" t="s">
        <v>24</v>
      </c>
      <c r="E14" s="301">
        <v>0</v>
      </c>
      <c r="F14" s="301">
        <v>0</v>
      </c>
      <c r="G14" s="301">
        <v>124</v>
      </c>
      <c r="H14" s="301">
        <v>0</v>
      </c>
      <c r="I14" s="301">
        <v>124</v>
      </c>
      <c r="J14" s="305">
        <v>0</v>
      </c>
      <c r="K14" s="305">
        <v>0</v>
      </c>
      <c r="L14" s="305">
        <v>0</v>
      </c>
      <c r="M14" s="299">
        <v>0</v>
      </c>
      <c r="N14" s="301"/>
      <c r="O14" s="301"/>
      <c r="P14" s="301"/>
      <c r="Q14" s="301"/>
      <c r="R14" s="301"/>
      <c r="S14" s="301"/>
      <c r="T14" s="301"/>
      <c r="U14" s="301"/>
      <c r="V14" s="301"/>
      <c r="W14" s="301"/>
      <c r="X14" s="301"/>
      <c r="Y14" s="301"/>
      <c r="Z14" s="299"/>
      <c r="AA14" s="313"/>
      <c r="AB14" s="314"/>
      <c r="AC14" s="301"/>
      <c r="AD14" s="309"/>
    </row>
    <row r="15" spans="1:30" ht="15.75" x14ac:dyDescent="0.2">
      <c r="A15" s="301">
        <v>7</v>
      </c>
      <c r="B15" s="302">
        <v>7140213</v>
      </c>
      <c r="C15" s="303" t="s">
        <v>32</v>
      </c>
      <c r="D15" s="304" t="s">
        <v>24</v>
      </c>
      <c r="E15" s="301">
        <v>0</v>
      </c>
      <c r="F15" s="301">
        <v>0</v>
      </c>
      <c r="G15" s="301">
        <v>124</v>
      </c>
      <c r="H15" s="301">
        <v>0</v>
      </c>
      <c r="I15" s="301">
        <v>124</v>
      </c>
      <c r="J15" s="305">
        <v>0</v>
      </c>
      <c r="K15" s="305">
        <v>0</v>
      </c>
      <c r="L15" s="305">
        <v>0</v>
      </c>
      <c r="M15" s="299">
        <v>0</v>
      </c>
      <c r="N15" s="301"/>
      <c r="O15" s="301"/>
      <c r="P15" s="301"/>
      <c r="Q15" s="301"/>
      <c r="R15" s="301"/>
      <c r="S15" s="301"/>
      <c r="T15" s="301"/>
      <c r="U15" s="301"/>
      <c r="V15" s="301"/>
      <c r="W15" s="301"/>
      <c r="X15" s="301"/>
      <c r="Y15" s="301"/>
      <c r="Z15" s="299"/>
      <c r="AA15" s="313"/>
      <c r="AB15" s="314"/>
      <c r="AC15" s="301"/>
      <c r="AD15" s="309"/>
    </row>
    <row r="16" spans="1:30" ht="15.75" x14ac:dyDescent="0.2">
      <c r="A16" s="301">
        <v>8</v>
      </c>
      <c r="B16" s="302">
        <v>7140247</v>
      </c>
      <c r="C16" s="303" t="s">
        <v>33</v>
      </c>
      <c r="D16" s="304" t="s">
        <v>24</v>
      </c>
      <c r="E16" s="301">
        <v>0</v>
      </c>
      <c r="F16" s="301">
        <v>0</v>
      </c>
      <c r="G16" s="301">
        <v>125</v>
      </c>
      <c r="H16" s="301">
        <v>0</v>
      </c>
      <c r="I16" s="301">
        <v>125</v>
      </c>
      <c r="J16" s="305">
        <v>0</v>
      </c>
      <c r="K16" s="305">
        <v>0</v>
      </c>
      <c r="L16" s="305">
        <v>0</v>
      </c>
      <c r="M16" s="299">
        <v>0</v>
      </c>
      <c r="N16" s="301"/>
      <c r="O16" s="301"/>
      <c r="P16" s="301"/>
      <c r="Q16" s="301"/>
      <c r="R16" s="301"/>
      <c r="S16" s="301"/>
      <c r="T16" s="301"/>
      <c r="U16" s="301"/>
      <c r="V16" s="301"/>
      <c r="W16" s="301"/>
      <c r="X16" s="301"/>
      <c r="Y16" s="301"/>
      <c r="Z16" s="299"/>
      <c r="AA16" s="313"/>
      <c r="AB16" s="314"/>
      <c r="AC16" s="301"/>
      <c r="AD16" s="309"/>
    </row>
    <row r="17" spans="1:30" ht="15.75" x14ac:dyDescent="0.2">
      <c r="A17" s="301">
        <v>9</v>
      </c>
      <c r="B17" s="302">
        <v>7140210</v>
      </c>
      <c r="C17" s="303" t="s">
        <v>34</v>
      </c>
      <c r="D17" s="304" t="s">
        <v>24</v>
      </c>
      <c r="E17" s="301">
        <v>0</v>
      </c>
      <c r="F17" s="301">
        <v>0</v>
      </c>
      <c r="G17" s="301">
        <v>110</v>
      </c>
      <c r="H17" s="301">
        <v>0</v>
      </c>
      <c r="I17" s="301">
        <v>110</v>
      </c>
      <c r="J17" s="301">
        <v>0</v>
      </c>
      <c r="K17" s="301">
        <v>0</v>
      </c>
      <c r="L17" s="301">
        <v>0</v>
      </c>
      <c r="M17" s="299">
        <v>0</v>
      </c>
      <c r="N17" s="306"/>
      <c r="O17" s="301"/>
      <c r="P17" s="301"/>
      <c r="Q17" s="301"/>
      <c r="R17" s="301"/>
      <c r="S17" s="306"/>
      <c r="T17" s="301"/>
      <c r="U17" s="301"/>
      <c r="V17" s="301"/>
      <c r="W17" s="301"/>
      <c r="X17" s="306"/>
      <c r="Y17" s="301"/>
      <c r="Z17" s="299"/>
      <c r="AA17" s="301"/>
      <c r="AB17" s="301"/>
      <c r="AC17" s="301"/>
      <c r="AD17" s="309"/>
    </row>
    <row r="18" spans="1:30" ht="15.75" x14ac:dyDescent="0.2">
      <c r="A18" s="301">
        <v>10</v>
      </c>
      <c r="B18" s="302">
        <v>7140217</v>
      </c>
      <c r="C18" s="303" t="s">
        <v>35</v>
      </c>
      <c r="D18" s="304" t="s">
        <v>24</v>
      </c>
      <c r="E18" s="301">
        <v>0</v>
      </c>
      <c r="F18" s="301">
        <v>0</v>
      </c>
      <c r="G18" s="301">
        <v>106</v>
      </c>
      <c r="H18" s="301">
        <v>27</v>
      </c>
      <c r="I18" s="301">
        <v>79</v>
      </c>
      <c r="J18" s="301">
        <v>0</v>
      </c>
      <c r="K18" s="301">
        <v>8</v>
      </c>
      <c r="L18" s="301">
        <v>4</v>
      </c>
      <c r="M18" s="299">
        <v>12</v>
      </c>
      <c r="N18" s="306">
        <v>5</v>
      </c>
      <c r="O18" s="301">
        <v>0</v>
      </c>
      <c r="P18" s="301">
        <v>0</v>
      </c>
      <c r="Q18" s="301">
        <v>0</v>
      </c>
      <c r="R18" s="301">
        <v>0</v>
      </c>
      <c r="S18" s="306">
        <v>5</v>
      </c>
      <c r="T18" s="301">
        <v>1</v>
      </c>
      <c r="U18" s="301">
        <v>6</v>
      </c>
      <c r="V18" s="301">
        <v>1</v>
      </c>
      <c r="W18" s="301">
        <v>8</v>
      </c>
      <c r="X18" s="306">
        <v>21</v>
      </c>
      <c r="Y18" s="301">
        <v>4</v>
      </c>
      <c r="Z18" s="299">
        <v>12</v>
      </c>
      <c r="AA18" s="301">
        <v>12</v>
      </c>
      <c r="AB18" s="301">
        <v>0</v>
      </c>
      <c r="AC18" s="309" t="s">
        <v>111</v>
      </c>
      <c r="AD18" s="309" t="s">
        <v>49</v>
      </c>
    </row>
    <row r="19" spans="1:30" ht="15.75" x14ac:dyDescent="0.2">
      <c r="A19" s="301">
        <v>11</v>
      </c>
      <c r="B19" s="302">
        <v>7140218</v>
      </c>
      <c r="C19" s="303" t="s">
        <v>36</v>
      </c>
      <c r="D19" s="304" t="s">
        <v>24</v>
      </c>
      <c r="E19" s="301">
        <v>0</v>
      </c>
      <c r="F19" s="301">
        <v>0</v>
      </c>
      <c r="G19" s="301">
        <v>116</v>
      </c>
      <c r="H19" s="301">
        <v>27</v>
      </c>
      <c r="I19" s="301">
        <v>89</v>
      </c>
      <c r="J19" s="301">
        <v>0</v>
      </c>
      <c r="K19" s="301">
        <v>0</v>
      </c>
      <c r="L19" s="301">
        <v>0</v>
      </c>
      <c r="M19" s="299">
        <v>0</v>
      </c>
      <c r="N19" s="306"/>
      <c r="O19" s="301"/>
      <c r="P19" s="301"/>
      <c r="Q19" s="301"/>
      <c r="R19" s="301"/>
      <c r="S19" s="306"/>
      <c r="T19" s="301"/>
      <c r="U19" s="301"/>
      <c r="V19" s="301"/>
      <c r="W19" s="301"/>
      <c r="X19" s="306"/>
      <c r="Y19" s="301"/>
      <c r="Z19" s="299"/>
      <c r="AA19" s="301"/>
      <c r="AB19" s="301"/>
      <c r="AC19" s="301"/>
      <c r="AD19" s="309"/>
    </row>
    <row r="20" spans="1:30" ht="15.75" x14ac:dyDescent="0.2">
      <c r="A20" s="301">
        <v>12</v>
      </c>
      <c r="B20" s="302">
        <v>7140219</v>
      </c>
      <c r="C20" s="303" t="s">
        <v>37</v>
      </c>
      <c r="D20" s="304" t="s">
        <v>24</v>
      </c>
      <c r="E20" s="301">
        <v>0</v>
      </c>
      <c r="F20" s="301">
        <v>0</v>
      </c>
      <c r="G20" s="301">
        <v>121</v>
      </c>
      <c r="H20" s="301">
        <v>35</v>
      </c>
      <c r="I20" s="301">
        <v>86</v>
      </c>
      <c r="J20" s="301">
        <v>0</v>
      </c>
      <c r="K20" s="301">
        <v>0</v>
      </c>
      <c r="L20" s="301">
        <v>0</v>
      </c>
      <c r="M20" s="299">
        <v>0</v>
      </c>
      <c r="N20" s="306"/>
      <c r="O20" s="301"/>
      <c r="P20" s="301"/>
      <c r="Q20" s="301"/>
      <c r="R20" s="301"/>
      <c r="S20" s="306"/>
      <c r="T20" s="301"/>
      <c r="U20" s="301"/>
      <c r="V20" s="301"/>
      <c r="W20" s="301"/>
      <c r="X20" s="306"/>
      <c r="Y20" s="301"/>
      <c r="Z20" s="299"/>
      <c r="AA20" s="301"/>
      <c r="AB20" s="301"/>
      <c r="AC20" s="301"/>
      <c r="AD20" s="309"/>
    </row>
    <row r="21" spans="1:30" ht="15.75" x14ac:dyDescent="0.2">
      <c r="A21" s="301">
        <v>13</v>
      </c>
      <c r="B21" s="302">
        <v>7140249</v>
      </c>
      <c r="C21" s="315" t="s">
        <v>38</v>
      </c>
      <c r="D21" s="304" t="s">
        <v>24</v>
      </c>
      <c r="E21" s="301">
        <v>0</v>
      </c>
      <c r="F21" s="301">
        <v>0</v>
      </c>
      <c r="G21" s="301">
        <v>90</v>
      </c>
      <c r="H21" s="301">
        <v>0</v>
      </c>
      <c r="I21" s="301">
        <v>90</v>
      </c>
      <c r="J21" s="301">
        <v>0</v>
      </c>
      <c r="K21" s="301">
        <v>0</v>
      </c>
      <c r="L21" s="301">
        <v>0</v>
      </c>
      <c r="M21" s="299">
        <v>0</v>
      </c>
      <c r="N21" s="301"/>
      <c r="O21" s="301"/>
      <c r="P21" s="301"/>
      <c r="Q21" s="301"/>
      <c r="R21" s="301"/>
      <c r="S21" s="301"/>
      <c r="T21" s="301"/>
      <c r="U21" s="301"/>
      <c r="V21" s="301"/>
      <c r="W21" s="301"/>
      <c r="X21" s="301"/>
      <c r="Y21" s="301"/>
      <c r="Z21" s="299"/>
      <c r="AA21" s="313"/>
      <c r="AB21" s="314"/>
      <c r="AC21" s="301"/>
      <c r="AD21" s="309"/>
    </row>
    <row r="22" spans="1:30" ht="31.5" x14ac:dyDescent="0.2">
      <c r="A22" s="301">
        <v>14</v>
      </c>
      <c r="B22" s="302">
        <v>7140231</v>
      </c>
      <c r="C22" s="316" t="s">
        <v>39</v>
      </c>
      <c r="D22" s="304" t="s">
        <v>24</v>
      </c>
      <c r="E22" s="301">
        <v>0</v>
      </c>
      <c r="F22" s="301">
        <v>0</v>
      </c>
      <c r="G22" s="301">
        <v>128</v>
      </c>
      <c r="H22" s="301">
        <v>71</v>
      </c>
      <c r="I22" s="301">
        <v>57</v>
      </c>
      <c r="J22" s="301">
        <v>0</v>
      </c>
      <c r="K22" s="301">
        <v>19</v>
      </c>
      <c r="L22" s="301">
        <v>16</v>
      </c>
      <c r="M22" s="299">
        <v>35</v>
      </c>
      <c r="N22" s="306">
        <v>5</v>
      </c>
      <c r="O22" s="301">
        <v>0</v>
      </c>
      <c r="P22" s="301">
        <v>0</v>
      </c>
      <c r="Q22" s="301">
        <v>0</v>
      </c>
      <c r="R22" s="301">
        <v>0</v>
      </c>
      <c r="S22" s="306">
        <v>5</v>
      </c>
      <c r="T22" s="301">
        <v>2</v>
      </c>
      <c r="U22" s="301">
        <v>7</v>
      </c>
      <c r="V22" s="301">
        <v>10</v>
      </c>
      <c r="W22" s="301">
        <v>19</v>
      </c>
      <c r="X22" s="306">
        <v>21</v>
      </c>
      <c r="Y22" s="301">
        <v>16</v>
      </c>
      <c r="Z22" s="299">
        <v>35</v>
      </c>
      <c r="AA22" s="301">
        <v>27</v>
      </c>
      <c r="AB22" s="301">
        <v>8</v>
      </c>
      <c r="AC22" s="309" t="s">
        <v>3882</v>
      </c>
      <c r="AD22" s="307" t="s">
        <v>40</v>
      </c>
    </row>
    <row r="23" spans="1:30" ht="15.75" x14ac:dyDescent="0.2">
      <c r="A23" s="301"/>
      <c r="B23" s="317" t="s">
        <v>41</v>
      </c>
      <c r="C23" s="318"/>
      <c r="D23" s="304"/>
      <c r="E23" s="299">
        <v>0</v>
      </c>
      <c r="F23" s="299">
        <v>0</v>
      </c>
      <c r="G23" s="299">
        <v>2428.8000000000002</v>
      </c>
      <c r="H23" s="299">
        <v>636</v>
      </c>
      <c r="I23" s="299">
        <v>1792.8000000000002</v>
      </c>
      <c r="J23" s="301"/>
      <c r="K23" s="301"/>
      <c r="L23" s="301"/>
      <c r="M23" s="299"/>
      <c r="N23" s="306"/>
      <c r="O23" s="301"/>
      <c r="P23" s="301"/>
      <c r="Q23" s="301"/>
      <c r="R23" s="301"/>
      <c r="S23" s="306"/>
      <c r="T23" s="301"/>
      <c r="U23" s="301"/>
      <c r="V23" s="301"/>
      <c r="W23" s="301"/>
      <c r="X23" s="306"/>
      <c r="Y23" s="301"/>
      <c r="Z23" s="299"/>
      <c r="AA23" s="301"/>
      <c r="AB23" s="301"/>
      <c r="AC23" s="309"/>
      <c r="AD23" s="309"/>
    </row>
    <row r="24" spans="1:30" ht="15.75" x14ac:dyDescent="0.2">
      <c r="A24" s="305">
        <v>15</v>
      </c>
      <c r="B24" s="302">
        <v>7229030</v>
      </c>
      <c r="C24" s="316" t="s">
        <v>42</v>
      </c>
      <c r="D24" s="304" t="s">
        <v>43</v>
      </c>
      <c r="E24" s="301">
        <v>0</v>
      </c>
      <c r="F24" s="301">
        <v>0</v>
      </c>
      <c r="G24" s="301">
        <v>83</v>
      </c>
      <c r="H24" s="301">
        <v>0</v>
      </c>
      <c r="I24" s="301">
        <v>83</v>
      </c>
      <c r="J24" s="301">
        <v>0</v>
      </c>
      <c r="K24" s="301">
        <v>0</v>
      </c>
      <c r="L24" s="301">
        <v>0</v>
      </c>
      <c r="M24" s="299">
        <v>0</v>
      </c>
      <c r="N24" s="306"/>
      <c r="O24" s="301"/>
      <c r="P24" s="301"/>
      <c r="Q24" s="301"/>
      <c r="R24" s="301"/>
      <c r="S24" s="306"/>
      <c r="T24" s="301"/>
      <c r="U24" s="301"/>
      <c r="V24" s="301"/>
      <c r="W24" s="301"/>
      <c r="X24" s="306"/>
      <c r="Y24" s="301"/>
      <c r="Z24" s="299"/>
      <c r="AA24" s="301"/>
      <c r="AB24" s="301"/>
      <c r="AC24" s="309"/>
      <c r="AD24" s="309"/>
    </row>
    <row r="25" spans="1:30" ht="15.75" x14ac:dyDescent="0.2">
      <c r="A25" s="305">
        <v>16</v>
      </c>
      <c r="B25" s="302">
        <v>7220201</v>
      </c>
      <c r="C25" s="316" t="s">
        <v>44</v>
      </c>
      <c r="D25" s="304" t="s">
        <v>43</v>
      </c>
      <c r="E25" s="301">
        <v>60</v>
      </c>
      <c r="F25" s="301">
        <v>8</v>
      </c>
      <c r="G25" s="301">
        <v>137</v>
      </c>
      <c r="H25" s="301">
        <v>66</v>
      </c>
      <c r="I25" s="301">
        <v>71</v>
      </c>
      <c r="J25" s="301">
        <v>0</v>
      </c>
      <c r="K25" s="301">
        <v>64</v>
      </c>
      <c r="L25" s="301">
        <v>1</v>
      </c>
      <c r="M25" s="299">
        <v>65</v>
      </c>
      <c r="N25" s="306">
        <v>5</v>
      </c>
      <c r="O25" s="301">
        <v>0</v>
      </c>
      <c r="P25" s="301">
        <v>0</v>
      </c>
      <c r="Q25" s="301">
        <v>0</v>
      </c>
      <c r="R25" s="301">
        <v>0</v>
      </c>
      <c r="S25" s="306">
        <v>5</v>
      </c>
      <c r="T25" s="301">
        <v>0</v>
      </c>
      <c r="U25" s="301">
        <v>0</v>
      </c>
      <c r="V25" s="301">
        <v>64</v>
      </c>
      <c r="W25" s="301">
        <v>64</v>
      </c>
      <c r="X25" s="306">
        <v>18</v>
      </c>
      <c r="Y25" s="301">
        <v>1</v>
      </c>
      <c r="Z25" s="299">
        <v>65</v>
      </c>
      <c r="AA25" s="313"/>
      <c r="AB25" s="301">
        <v>65</v>
      </c>
      <c r="AC25" s="301"/>
      <c r="AD25" s="309" t="s">
        <v>25</v>
      </c>
    </row>
    <row r="26" spans="1:30" ht="15.75" x14ac:dyDescent="0.2">
      <c r="A26" s="301"/>
      <c r="B26" s="317" t="s">
        <v>45</v>
      </c>
      <c r="C26" s="316"/>
      <c r="D26" s="304"/>
      <c r="E26" s="299">
        <v>60</v>
      </c>
      <c r="F26" s="299">
        <v>8</v>
      </c>
      <c r="G26" s="299">
        <v>219.47999999999996</v>
      </c>
      <c r="H26" s="299">
        <v>66</v>
      </c>
      <c r="I26" s="299">
        <v>153.47999999999996</v>
      </c>
      <c r="J26" s="301"/>
      <c r="K26" s="301"/>
      <c r="L26" s="301"/>
      <c r="M26" s="299"/>
      <c r="N26" s="306"/>
      <c r="O26" s="301"/>
      <c r="P26" s="301"/>
      <c r="Q26" s="301"/>
      <c r="R26" s="301"/>
      <c r="S26" s="306"/>
      <c r="T26" s="301"/>
      <c r="U26" s="301"/>
      <c r="V26" s="301"/>
      <c r="W26" s="301"/>
      <c r="X26" s="306"/>
      <c r="Y26" s="301"/>
      <c r="Z26" s="299"/>
      <c r="AA26" s="313"/>
      <c r="AB26" s="301"/>
      <c r="AC26" s="301"/>
      <c r="AD26" s="309"/>
    </row>
    <row r="27" spans="1:30" ht="15.75" x14ac:dyDescent="0.2">
      <c r="A27" s="305">
        <v>17</v>
      </c>
      <c r="B27" s="302">
        <v>7310101</v>
      </c>
      <c r="C27" s="316" t="s">
        <v>46</v>
      </c>
      <c r="D27" s="304" t="s">
        <v>47</v>
      </c>
      <c r="E27" s="301">
        <v>8</v>
      </c>
      <c r="F27" s="301">
        <v>0</v>
      </c>
      <c r="G27" s="301">
        <v>71</v>
      </c>
      <c r="H27" s="301">
        <v>0</v>
      </c>
      <c r="I27" s="301">
        <v>71</v>
      </c>
      <c r="J27" s="301">
        <v>0</v>
      </c>
      <c r="K27" s="301">
        <v>0</v>
      </c>
      <c r="L27" s="301">
        <v>0</v>
      </c>
      <c r="M27" s="299">
        <v>0</v>
      </c>
      <c r="N27" s="301"/>
      <c r="O27" s="301"/>
      <c r="P27" s="301"/>
      <c r="Q27" s="301"/>
      <c r="R27" s="301"/>
      <c r="S27" s="301"/>
      <c r="T27" s="301"/>
      <c r="U27" s="301"/>
      <c r="V27" s="301"/>
      <c r="W27" s="301"/>
      <c r="X27" s="306"/>
      <c r="Y27" s="301"/>
      <c r="Z27" s="299"/>
      <c r="AA27" s="313"/>
      <c r="AB27" s="314"/>
      <c r="AC27" s="301"/>
      <c r="AD27" s="309"/>
    </row>
    <row r="28" spans="1:30" ht="15.75" x14ac:dyDescent="0.2">
      <c r="A28" s="305">
        <v>18</v>
      </c>
      <c r="B28" s="302">
        <v>7310401</v>
      </c>
      <c r="C28" s="316" t="s">
        <v>48</v>
      </c>
      <c r="D28" s="304" t="s">
        <v>47</v>
      </c>
      <c r="E28" s="301">
        <v>20</v>
      </c>
      <c r="F28" s="301">
        <v>0</v>
      </c>
      <c r="G28" s="301">
        <v>55</v>
      </c>
      <c r="H28" s="301">
        <v>14</v>
      </c>
      <c r="I28" s="301">
        <v>41</v>
      </c>
      <c r="J28" s="301">
        <v>0</v>
      </c>
      <c r="K28" s="301">
        <v>4</v>
      </c>
      <c r="L28" s="301">
        <v>0</v>
      </c>
      <c r="M28" s="299">
        <v>4</v>
      </c>
      <c r="N28" s="306">
        <v>5</v>
      </c>
      <c r="O28" s="301">
        <v>0</v>
      </c>
      <c r="P28" s="301">
        <v>0</v>
      </c>
      <c r="Q28" s="301">
        <v>0</v>
      </c>
      <c r="R28" s="301">
        <v>0</v>
      </c>
      <c r="S28" s="306">
        <v>5</v>
      </c>
      <c r="T28" s="301">
        <v>0</v>
      </c>
      <c r="U28" s="301">
        <v>0</v>
      </c>
      <c r="V28" s="301">
        <v>4</v>
      </c>
      <c r="W28" s="301">
        <v>4</v>
      </c>
      <c r="X28" s="306">
        <v>18</v>
      </c>
      <c r="Y28" s="301">
        <v>0</v>
      </c>
      <c r="Z28" s="299">
        <v>4</v>
      </c>
      <c r="AA28" s="313"/>
      <c r="AB28" s="301">
        <v>4</v>
      </c>
      <c r="AC28" s="301"/>
      <c r="AD28" s="309" t="s">
        <v>49</v>
      </c>
    </row>
    <row r="29" spans="1:30" ht="15.75" x14ac:dyDescent="0.2">
      <c r="A29" s="305">
        <v>19</v>
      </c>
      <c r="B29" s="302">
        <v>7310201</v>
      </c>
      <c r="C29" s="316" t="s">
        <v>50</v>
      </c>
      <c r="D29" s="304" t="s">
        <v>47</v>
      </c>
      <c r="E29" s="301">
        <v>0</v>
      </c>
      <c r="F29" s="301">
        <v>0</v>
      </c>
      <c r="G29" s="301">
        <v>75</v>
      </c>
      <c r="H29" s="301">
        <v>0</v>
      </c>
      <c r="I29" s="301">
        <v>75</v>
      </c>
      <c r="J29" s="301">
        <v>0</v>
      </c>
      <c r="K29" s="301">
        <v>0</v>
      </c>
      <c r="L29" s="301">
        <v>0</v>
      </c>
      <c r="M29" s="299">
        <v>0</v>
      </c>
      <c r="N29" s="306">
        <v>5</v>
      </c>
      <c r="O29" s="301">
        <v>0</v>
      </c>
      <c r="P29" s="301">
        <v>0</v>
      </c>
      <c r="Q29" s="301">
        <v>0</v>
      </c>
      <c r="R29" s="301">
        <v>0</v>
      </c>
      <c r="S29" s="306">
        <v>5</v>
      </c>
      <c r="T29" s="301">
        <v>0</v>
      </c>
      <c r="U29" s="301">
        <v>0</v>
      </c>
      <c r="V29" s="301">
        <v>0</v>
      </c>
      <c r="W29" s="301">
        <v>0</v>
      </c>
      <c r="X29" s="306">
        <v>18</v>
      </c>
      <c r="Y29" s="301">
        <v>0</v>
      </c>
      <c r="Z29" s="299"/>
      <c r="AA29" s="313"/>
      <c r="AB29" s="299"/>
      <c r="AC29" s="301"/>
      <c r="AD29" s="309"/>
    </row>
    <row r="30" spans="1:30" ht="15.75" x14ac:dyDescent="0.2">
      <c r="A30" s="301"/>
      <c r="B30" s="317" t="s">
        <v>51</v>
      </c>
      <c r="C30" s="316"/>
      <c r="D30" s="304"/>
      <c r="E30" s="299">
        <v>28</v>
      </c>
      <c r="F30" s="299">
        <v>0</v>
      </c>
      <c r="G30" s="299">
        <v>200.64</v>
      </c>
      <c r="H30" s="299">
        <v>14</v>
      </c>
      <c r="I30" s="299">
        <v>186.64</v>
      </c>
      <c r="J30" s="301"/>
      <c r="K30" s="301"/>
      <c r="L30" s="301"/>
      <c r="M30" s="299"/>
      <c r="N30" s="306"/>
      <c r="O30" s="301"/>
      <c r="P30" s="301"/>
      <c r="Q30" s="301"/>
      <c r="R30" s="301"/>
      <c r="S30" s="306"/>
      <c r="T30" s="301"/>
      <c r="U30" s="301"/>
      <c r="V30" s="301"/>
      <c r="W30" s="301"/>
      <c r="X30" s="306"/>
      <c r="Y30" s="301"/>
      <c r="Z30" s="299"/>
      <c r="AA30" s="313"/>
      <c r="AB30" s="301"/>
      <c r="AC30" s="301"/>
      <c r="AD30" s="309"/>
    </row>
    <row r="31" spans="1:30" ht="15.75" x14ac:dyDescent="0.2">
      <c r="A31" s="305">
        <v>20</v>
      </c>
      <c r="B31" s="302">
        <v>7320104</v>
      </c>
      <c r="C31" s="319" t="s">
        <v>52</v>
      </c>
      <c r="D31" s="320" t="s">
        <v>53</v>
      </c>
      <c r="E31" s="301">
        <v>0</v>
      </c>
      <c r="F31" s="301">
        <v>0</v>
      </c>
      <c r="G31" s="301">
        <v>49</v>
      </c>
      <c r="H31" s="301">
        <v>0</v>
      </c>
      <c r="I31" s="301">
        <v>49</v>
      </c>
      <c r="J31" s="301">
        <v>0</v>
      </c>
      <c r="K31" s="301">
        <v>0</v>
      </c>
      <c r="L31" s="301">
        <v>0</v>
      </c>
      <c r="M31" s="299">
        <v>0</v>
      </c>
      <c r="N31" s="301"/>
      <c r="O31" s="301"/>
      <c r="P31" s="301"/>
      <c r="Q31" s="301"/>
      <c r="R31" s="301"/>
      <c r="S31" s="301"/>
      <c r="T31" s="301"/>
      <c r="U31" s="301"/>
      <c r="V31" s="301"/>
      <c r="W31" s="301"/>
      <c r="X31" s="306"/>
      <c r="Y31" s="301"/>
      <c r="Z31" s="299"/>
      <c r="AA31" s="313"/>
      <c r="AB31" s="314"/>
      <c r="AC31" s="301"/>
      <c r="AD31" s="309"/>
    </row>
    <row r="32" spans="1:30" ht="15.75" x14ac:dyDescent="0.2">
      <c r="A32" s="305">
        <v>21</v>
      </c>
      <c r="B32" s="302">
        <v>7340101</v>
      </c>
      <c r="C32" s="316" t="s">
        <v>54</v>
      </c>
      <c r="D32" s="320" t="s">
        <v>55</v>
      </c>
      <c r="E32" s="301">
        <v>30</v>
      </c>
      <c r="F32" s="301">
        <v>1</v>
      </c>
      <c r="G32" s="301">
        <v>70</v>
      </c>
      <c r="H32" s="301">
        <v>9</v>
      </c>
      <c r="I32" s="301">
        <v>61</v>
      </c>
      <c r="J32" s="301">
        <v>0</v>
      </c>
      <c r="K32" s="301">
        <v>10</v>
      </c>
      <c r="L32" s="301">
        <v>2</v>
      </c>
      <c r="M32" s="299">
        <v>12</v>
      </c>
      <c r="N32" s="306">
        <v>5</v>
      </c>
      <c r="O32" s="301">
        <v>0</v>
      </c>
      <c r="P32" s="301">
        <v>0</v>
      </c>
      <c r="Q32" s="301">
        <v>0</v>
      </c>
      <c r="R32" s="301">
        <v>0</v>
      </c>
      <c r="S32" s="306">
        <v>5</v>
      </c>
      <c r="T32" s="301">
        <v>2</v>
      </c>
      <c r="U32" s="301">
        <v>4</v>
      </c>
      <c r="V32" s="301">
        <v>4</v>
      </c>
      <c r="W32" s="301">
        <v>10</v>
      </c>
      <c r="X32" s="306">
        <v>18</v>
      </c>
      <c r="Y32" s="301">
        <v>2</v>
      </c>
      <c r="Z32" s="299">
        <v>12</v>
      </c>
      <c r="AA32" s="313"/>
      <c r="AB32" s="301">
        <v>12</v>
      </c>
      <c r="AC32" s="301"/>
      <c r="AD32" s="309" t="s">
        <v>49</v>
      </c>
    </row>
    <row r="33" spans="1:30" ht="15.75" x14ac:dyDescent="0.2">
      <c r="A33" s="305">
        <v>22</v>
      </c>
      <c r="B33" s="302">
        <v>7340301</v>
      </c>
      <c r="C33" s="316" t="s">
        <v>56</v>
      </c>
      <c r="D33" s="320" t="s">
        <v>55</v>
      </c>
      <c r="E33" s="301">
        <v>80</v>
      </c>
      <c r="F33" s="301">
        <v>5</v>
      </c>
      <c r="G33" s="301">
        <v>146</v>
      </c>
      <c r="H33" s="301">
        <v>33</v>
      </c>
      <c r="I33" s="301">
        <v>113</v>
      </c>
      <c r="J33" s="301">
        <v>0</v>
      </c>
      <c r="K33" s="301">
        <v>19</v>
      </c>
      <c r="L33" s="301">
        <v>4</v>
      </c>
      <c r="M33" s="299">
        <v>23</v>
      </c>
      <c r="N33" s="306">
        <v>5</v>
      </c>
      <c r="O33" s="301">
        <v>0</v>
      </c>
      <c r="P33" s="301">
        <v>0</v>
      </c>
      <c r="Q33" s="301">
        <v>0</v>
      </c>
      <c r="R33" s="301">
        <v>0</v>
      </c>
      <c r="S33" s="306">
        <v>5</v>
      </c>
      <c r="T33" s="301">
        <v>3</v>
      </c>
      <c r="U33" s="301">
        <v>8</v>
      </c>
      <c r="V33" s="301">
        <v>8</v>
      </c>
      <c r="W33" s="301">
        <v>19</v>
      </c>
      <c r="X33" s="306">
        <v>18</v>
      </c>
      <c r="Y33" s="301">
        <v>4</v>
      </c>
      <c r="Z33" s="299">
        <v>23</v>
      </c>
      <c r="AA33" s="313"/>
      <c r="AB33" s="301">
        <v>23</v>
      </c>
      <c r="AC33" s="301"/>
      <c r="AD33" s="309" t="s">
        <v>25</v>
      </c>
    </row>
    <row r="34" spans="1:30" ht="15.75" x14ac:dyDescent="0.2">
      <c r="A34" s="305">
        <v>23</v>
      </c>
      <c r="B34" s="321">
        <v>7340201</v>
      </c>
      <c r="C34" s="316" t="s">
        <v>57</v>
      </c>
      <c r="D34" s="320" t="s">
        <v>55</v>
      </c>
      <c r="E34" s="301">
        <v>16</v>
      </c>
      <c r="F34" s="301">
        <v>0</v>
      </c>
      <c r="G34" s="301">
        <v>35</v>
      </c>
      <c r="H34" s="301">
        <v>0</v>
      </c>
      <c r="I34" s="301">
        <v>35</v>
      </c>
      <c r="J34" s="301">
        <v>0</v>
      </c>
      <c r="K34" s="301">
        <v>0</v>
      </c>
      <c r="L34" s="301">
        <v>0</v>
      </c>
      <c r="M34" s="299">
        <v>0</v>
      </c>
      <c r="N34" s="306"/>
      <c r="O34" s="301"/>
      <c r="P34" s="301"/>
      <c r="Q34" s="301"/>
      <c r="R34" s="301"/>
      <c r="S34" s="306"/>
      <c r="T34" s="301"/>
      <c r="U34" s="301"/>
      <c r="V34" s="301"/>
      <c r="W34" s="301"/>
      <c r="X34" s="306"/>
      <c r="Y34" s="301"/>
      <c r="Z34" s="299"/>
      <c r="AA34" s="313"/>
      <c r="AB34" s="301"/>
      <c r="AC34" s="301"/>
      <c r="AD34" s="309"/>
    </row>
    <row r="35" spans="1:30" ht="15.75" x14ac:dyDescent="0.2">
      <c r="A35" s="305">
        <v>24</v>
      </c>
      <c r="B35" s="302">
        <v>7340302</v>
      </c>
      <c r="C35" s="316" t="s">
        <v>58</v>
      </c>
      <c r="D35" s="320" t="s">
        <v>55</v>
      </c>
      <c r="E35" s="301">
        <v>6</v>
      </c>
      <c r="F35" s="301">
        <v>0</v>
      </c>
      <c r="G35" s="301">
        <v>100</v>
      </c>
      <c r="H35" s="301">
        <v>0</v>
      </c>
      <c r="I35" s="301">
        <v>100</v>
      </c>
      <c r="J35" s="301">
        <v>0</v>
      </c>
      <c r="K35" s="301">
        <v>0</v>
      </c>
      <c r="L35" s="301">
        <v>0</v>
      </c>
      <c r="M35" s="299">
        <v>0</v>
      </c>
      <c r="N35" s="301"/>
      <c r="O35" s="301"/>
      <c r="P35" s="301"/>
      <c r="Q35" s="301"/>
      <c r="R35" s="301"/>
      <c r="S35" s="301"/>
      <c r="T35" s="301"/>
      <c r="U35" s="301"/>
      <c r="V35" s="301"/>
      <c r="W35" s="301"/>
      <c r="X35" s="306"/>
      <c r="Y35" s="301"/>
      <c r="Z35" s="299"/>
      <c r="AA35" s="313"/>
      <c r="AB35" s="314"/>
      <c r="AC35" s="301"/>
      <c r="AD35" s="309"/>
    </row>
    <row r="36" spans="1:30" ht="15.75" x14ac:dyDescent="0.2">
      <c r="A36" s="301"/>
      <c r="B36" s="317" t="s">
        <v>59</v>
      </c>
      <c r="C36" s="316"/>
      <c r="D36" s="320"/>
      <c r="E36" s="299">
        <v>132</v>
      </c>
      <c r="F36" s="299">
        <v>6</v>
      </c>
      <c r="G36" s="299">
        <v>349.56</v>
      </c>
      <c r="H36" s="299">
        <v>42</v>
      </c>
      <c r="I36" s="299">
        <v>307.56</v>
      </c>
      <c r="J36" s="301"/>
      <c r="K36" s="301"/>
      <c r="L36" s="301"/>
      <c r="M36" s="314"/>
      <c r="N36" s="301"/>
      <c r="O36" s="301"/>
      <c r="P36" s="301"/>
      <c r="Q36" s="301"/>
      <c r="R36" s="301"/>
      <c r="S36" s="301"/>
      <c r="T36" s="301"/>
      <c r="U36" s="301"/>
      <c r="V36" s="301"/>
      <c r="W36" s="301"/>
      <c r="X36" s="306"/>
      <c r="Y36" s="301"/>
      <c r="Z36" s="299"/>
      <c r="AA36" s="313"/>
      <c r="AB36" s="314"/>
      <c r="AC36" s="301"/>
      <c r="AD36" s="309"/>
    </row>
    <row r="37" spans="1:30" ht="15.75" x14ac:dyDescent="0.2">
      <c r="A37" s="305">
        <v>25</v>
      </c>
      <c r="B37" s="302">
        <v>7380101</v>
      </c>
      <c r="C37" s="316" t="s">
        <v>60</v>
      </c>
      <c r="D37" s="320" t="s">
        <v>61</v>
      </c>
      <c r="E37" s="301">
        <v>30</v>
      </c>
      <c r="F37" s="301">
        <v>5</v>
      </c>
      <c r="G37" s="301">
        <v>94</v>
      </c>
      <c r="H37" s="301">
        <v>16</v>
      </c>
      <c r="I37" s="301">
        <v>78</v>
      </c>
      <c r="J37" s="301">
        <v>0</v>
      </c>
      <c r="K37" s="301">
        <v>25</v>
      </c>
      <c r="L37" s="301">
        <v>0</v>
      </c>
      <c r="M37" s="299">
        <v>25</v>
      </c>
      <c r="N37" s="306">
        <v>5</v>
      </c>
      <c r="O37" s="301">
        <v>0</v>
      </c>
      <c r="P37" s="301">
        <v>0</v>
      </c>
      <c r="Q37" s="301">
        <v>0</v>
      </c>
      <c r="R37" s="301">
        <v>0</v>
      </c>
      <c r="S37" s="306">
        <v>5</v>
      </c>
      <c r="T37" s="301">
        <v>3</v>
      </c>
      <c r="U37" s="301">
        <v>2</v>
      </c>
      <c r="V37" s="301">
        <v>20</v>
      </c>
      <c r="W37" s="301">
        <v>25</v>
      </c>
      <c r="X37" s="306">
        <v>18</v>
      </c>
      <c r="Y37" s="301">
        <v>0</v>
      </c>
      <c r="Z37" s="299">
        <v>25</v>
      </c>
      <c r="AA37" s="313"/>
      <c r="AB37" s="301">
        <v>25</v>
      </c>
      <c r="AC37" s="301"/>
      <c r="AD37" s="309" t="s">
        <v>25</v>
      </c>
    </row>
    <row r="38" spans="1:30" ht="15.75" x14ac:dyDescent="0.2">
      <c r="A38" s="305">
        <v>26</v>
      </c>
      <c r="B38" s="302">
        <v>7380107</v>
      </c>
      <c r="C38" s="316" t="s">
        <v>62</v>
      </c>
      <c r="D38" s="320" t="s">
        <v>61</v>
      </c>
      <c r="E38" s="301">
        <v>0</v>
      </c>
      <c r="F38" s="301">
        <v>0</v>
      </c>
      <c r="G38" s="301">
        <v>55</v>
      </c>
      <c r="H38" s="301">
        <v>0</v>
      </c>
      <c r="I38" s="301">
        <v>55</v>
      </c>
      <c r="J38" s="301">
        <v>0</v>
      </c>
      <c r="K38" s="301">
        <v>0</v>
      </c>
      <c r="L38" s="301">
        <v>0</v>
      </c>
      <c r="M38" s="299">
        <v>0</v>
      </c>
      <c r="N38" s="301"/>
      <c r="O38" s="301"/>
      <c r="P38" s="301"/>
      <c r="Q38" s="301"/>
      <c r="R38" s="301"/>
      <c r="S38" s="301"/>
      <c r="T38" s="301"/>
      <c r="U38" s="301"/>
      <c r="V38" s="301"/>
      <c r="W38" s="301"/>
      <c r="X38" s="306"/>
      <c r="Y38" s="301"/>
      <c r="Z38" s="299"/>
      <c r="AA38" s="313"/>
      <c r="AB38" s="314"/>
      <c r="AC38" s="301"/>
      <c r="AD38" s="309"/>
    </row>
    <row r="39" spans="1:30" ht="15.75" x14ac:dyDescent="0.2">
      <c r="A39" s="301"/>
      <c r="B39" s="322" t="s">
        <v>63</v>
      </c>
      <c r="C39" s="316"/>
      <c r="D39" s="320"/>
      <c r="E39" s="299">
        <v>30</v>
      </c>
      <c r="F39" s="299">
        <v>5</v>
      </c>
      <c r="G39" s="299">
        <v>148.86000000000001</v>
      </c>
      <c r="H39" s="299">
        <v>16</v>
      </c>
      <c r="I39" s="299">
        <v>132.86000000000001</v>
      </c>
      <c r="J39" s="301"/>
      <c r="K39" s="301"/>
      <c r="L39" s="301"/>
      <c r="M39" s="314"/>
      <c r="N39" s="301"/>
      <c r="O39" s="301"/>
      <c r="P39" s="301"/>
      <c r="Q39" s="301"/>
      <c r="R39" s="301"/>
      <c r="S39" s="301"/>
      <c r="T39" s="301"/>
      <c r="U39" s="301"/>
      <c r="V39" s="301"/>
      <c r="W39" s="301"/>
      <c r="X39" s="306"/>
      <c r="Y39" s="301"/>
      <c r="Z39" s="299"/>
      <c r="AA39" s="313"/>
      <c r="AB39" s="314"/>
      <c r="AC39" s="301"/>
      <c r="AD39" s="309"/>
    </row>
    <row r="40" spans="1:30" ht="15.75" x14ac:dyDescent="0.2">
      <c r="A40" s="305">
        <v>27</v>
      </c>
      <c r="B40" s="302">
        <v>7460101</v>
      </c>
      <c r="C40" s="316" t="s">
        <v>64</v>
      </c>
      <c r="D40" s="320" t="s">
        <v>65</v>
      </c>
      <c r="E40" s="301">
        <v>0</v>
      </c>
      <c r="F40" s="301">
        <v>0</v>
      </c>
      <c r="G40" s="301">
        <v>60</v>
      </c>
      <c r="H40" s="301">
        <v>0</v>
      </c>
      <c r="I40" s="301">
        <v>60</v>
      </c>
      <c r="J40" s="301">
        <v>0</v>
      </c>
      <c r="K40" s="301">
        <v>0</v>
      </c>
      <c r="L40" s="301">
        <v>0</v>
      </c>
      <c r="M40" s="299">
        <v>0</v>
      </c>
      <c r="N40" s="306"/>
      <c r="O40" s="301"/>
      <c r="P40" s="301"/>
      <c r="Q40" s="301"/>
      <c r="R40" s="301"/>
      <c r="S40" s="306"/>
      <c r="T40" s="301"/>
      <c r="U40" s="301"/>
      <c r="V40" s="301"/>
      <c r="W40" s="301"/>
      <c r="X40" s="306"/>
      <c r="Y40" s="301"/>
      <c r="Z40" s="299"/>
      <c r="AA40" s="301"/>
      <c r="AB40" s="301"/>
      <c r="AC40" s="301"/>
      <c r="AD40" s="309"/>
    </row>
    <row r="41" spans="1:30" ht="15.75" x14ac:dyDescent="0.2">
      <c r="A41" s="305">
        <v>28</v>
      </c>
      <c r="B41" s="302">
        <v>7480201</v>
      </c>
      <c r="C41" s="316" t="s">
        <v>66</v>
      </c>
      <c r="D41" s="320" t="s">
        <v>67</v>
      </c>
      <c r="E41" s="301">
        <v>36</v>
      </c>
      <c r="F41" s="301">
        <v>0</v>
      </c>
      <c r="G41" s="301">
        <v>67</v>
      </c>
      <c r="H41" s="301">
        <v>10</v>
      </c>
      <c r="I41" s="301">
        <v>57</v>
      </c>
      <c r="J41" s="301">
        <v>18</v>
      </c>
      <c r="K41" s="301">
        <v>0</v>
      </c>
      <c r="L41" s="301">
        <v>0</v>
      </c>
      <c r="M41" s="299">
        <v>18</v>
      </c>
      <c r="N41" s="306">
        <v>5</v>
      </c>
      <c r="O41" s="301">
        <v>0</v>
      </c>
      <c r="P41" s="301">
        <v>3</v>
      </c>
      <c r="Q41" s="301">
        <v>15</v>
      </c>
      <c r="R41" s="301">
        <v>18</v>
      </c>
      <c r="S41" s="306">
        <v>5</v>
      </c>
      <c r="T41" s="301">
        <v>0</v>
      </c>
      <c r="U41" s="301">
        <v>0</v>
      </c>
      <c r="V41" s="301">
        <v>0</v>
      </c>
      <c r="W41" s="301">
        <v>0</v>
      </c>
      <c r="X41" s="306">
        <v>18</v>
      </c>
      <c r="Y41" s="301">
        <v>0</v>
      </c>
      <c r="Z41" s="299">
        <v>18</v>
      </c>
      <c r="AA41" s="313"/>
      <c r="AB41" s="301">
        <v>18</v>
      </c>
      <c r="AC41" s="301"/>
      <c r="AD41" s="311" t="s">
        <v>68</v>
      </c>
    </row>
    <row r="42" spans="1:30" ht="31.5" x14ac:dyDescent="0.2">
      <c r="A42" s="305">
        <v>29</v>
      </c>
      <c r="B42" s="302">
        <v>7510605</v>
      </c>
      <c r="C42" s="319" t="s">
        <v>69</v>
      </c>
      <c r="D42" s="320" t="s">
        <v>70</v>
      </c>
      <c r="E42" s="301">
        <v>0</v>
      </c>
      <c r="F42" s="301">
        <v>0</v>
      </c>
      <c r="G42" s="301">
        <v>42</v>
      </c>
      <c r="H42" s="301">
        <v>0</v>
      </c>
      <c r="I42" s="301">
        <v>42</v>
      </c>
      <c r="J42" s="301">
        <v>0</v>
      </c>
      <c r="K42" s="301">
        <v>0</v>
      </c>
      <c r="L42" s="301">
        <v>0</v>
      </c>
      <c r="M42" s="299">
        <v>0</v>
      </c>
      <c r="N42" s="301"/>
      <c r="O42" s="301"/>
      <c r="P42" s="301"/>
      <c r="Q42" s="301"/>
      <c r="R42" s="301"/>
      <c r="S42" s="301"/>
      <c r="T42" s="301"/>
      <c r="U42" s="301"/>
      <c r="V42" s="301"/>
      <c r="W42" s="301"/>
      <c r="X42" s="306"/>
      <c r="Y42" s="301"/>
      <c r="Z42" s="299"/>
      <c r="AA42" s="313"/>
      <c r="AB42" s="314"/>
      <c r="AC42" s="301"/>
      <c r="AD42" s="309"/>
    </row>
    <row r="43" spans="1:30" ht="15.75" x14ac:dyDescent="0.2">
      <c r="A43" s="305">
        <v>30</v>
      </c>
      <c r="B43" s="321">
        <v>7440122</v>
      </c>
      <c r="C43" s="323" t="s">
        <v>71</v>
      </c>
      <c r="D43" s="324" t="s">
        <v>70</v>
      </c>
      <c r="E43" s="301">
        <v>0</v>
      </c>
      <c r="F43" s="301">
        <v>0</v>
      </c>
      <c r="G43" s="301">
        <v>72</v>
      </c>
      <c r="H43" s="301">
        <v>0</v>
      </c>
      <c r="I43" s="301">
        <v>72</v>
      </c>
      <c r="J43" s="301">
        <v>0</v>
      </c>
      <c r="K43" s="301">
        <v>0</v>
      </c>
      <c r="L43" s="301">
        <v>0</v>
      </c>
      <c r="M43" s="299">
        <v>0</v>
      </c>
      <c r="N43" s="301"/>
      <c r="O43" s="301"/>
      <c r="P43" s="301"/>
      <c r="Q43" s="301"/>
      <c r="R43" s="301"/>
      <c r="S43" s="301"/>
      <c r="T43" s="301"/>
      <c r="U43" s="301"/>
      <c r="V43" s="301"/>
      <c r="W43" s="301"/>
      <c r="X43" s="306"/>
      <c r="Y43" s="301"/>
      <c r="Z43" s="299"/>
      <c r="AA43" s="313"/>
      <c r="AB43" s="314"/>
      <c r="AC43" s="301"/>
      <c r="AD43" s="309"/>
    </row>
    <row r="44" spans="1:30" ht="15.75" x14ac:dyDescent="0.2">
      <c r="A44" s="301"/>
      <c r="B44" s="322" t="s">
        <v>72</v>
      </c>
      <c r="C44" s="323"/>
      <c r="D44" s="325"/>
      <c r="E44" s="326">
        <v>36</v>
      </c>
      <c r="F44" s="299">
        <v>0</v>
      </c>
      <c r="G44" s="299">
        <v>241</v>
      </c>
      <c r="H44" s="299">
        <v>10</v>
      </c>
      <c r="I44" s="299">
        <v>231</v>
      </c>
      <c r="J44" s="301"/>
      <c r="K44" s="301"/>
      <c r="L44" s="301"/>
      <c r="M44" s="314"/>
      <c r="N44" s="301"/>
      <c r="O44" s="301"/>
      <c r="P44" s="301"/>
      <c r="Q44" s="301"/>
      <c r="R44" s="301"/>
      <c r="S44" s="301"/>
      <c r="T44" s="301"/>
      <c r="U44" s="301"/>
      <c r="V44" s="301"/>
      <c r="W44" s="301"/>
      <c r="X44" s="306"/>
      <c r="Y44" s="301"/>
      <c r="Z44" s="299"/>
      <c r="AA44" s="313"/>
      <c r="AB44" s="314"/>
      <c r="AC44" s="301"/>
      <c r="AD44" s="309"/>
    </row>
    <row r="45" spans="1:30" ht="15.75" x14ac:dyDescent="0.2">
      <c r="A45" s="305">
        <v>31</v>
      </c>
      <c r="B45" s="302">
        <v>7520201</v>
      </c>
      <c r="C45" s="313" t="s">
        <v>73</v>
      </c>
      <c r="D45" s="327" t="s">
        <v>74</v>
      </c>
      <c r="E45" s="301">
        <v>10</v>
      </c>
      <c r="F45" s="301">
        <v>0</v>
      </c>
      <c r="G45" s="301">
        <v>49</v>
      </c>
      <c r="H45" s="301">
        <v>10</v>
      </c>
      <c r="I45" s="301">
        <v>39</v>
      </c>
      <c r="J45" s="301">
        <v>0</v>
      </c>
      <c r="K45" s="301">
        <v>5</v>
      </c>
      <c r="L45" s="301">
        <v>2</v>
      </c>
      <c r="M45" s="299">
        <v>7</v>
      </c>
      <c r="N45" s="306">
        <v>5</v>
      </c>
      <c r="O45" s="301">
        <v>0</v>
      </c>
      <c r="P45" s="301">
        <v>0</v>
      </c>
      <c r="Q45" s="301">
        <v>0</v>
      </c>
      <c r="R45" s="301">
        <v>0</v>
      </c>
      <c r="S45" s="306">
        <v>5</v>
      </c>
      <c r="T45" s="301">
        <v>0</v>
      </c>
      <c r="U45" s="301">
        <v>2</v>
      </c>
      <c r="V45" s="301">
        <v>3</v>
      </c>
      <c r="W45" s="301">
        <v>5</v>
      </c>
      <c r="X45" s="306">
        <v>18</v>
      </c>
      <c r="Y45" s="301">
        <v>2</v>
      </c>
      <c r="Z45" s="299">
        <v>7</v>
      </c>
      <c r="AA45" s="313"/>
      <c r="AB45" s="301">
        <v>7</v>
      </c>
      <c r="AC45" s="301"/>
      <c r="AD45" s="309" t="s">
        <v>28</v>
      </c>
    </row>
    <row r="46" spans="1:30" ht="15.75" x14ac:dyDescent="0.2">
      <c r="A46" s="305">
        <v>32</v>
      </c>
      <c r="B46" s="302">
        <v>7580201</v>
      </c>
      <c r="C46" s="313" t="s">
        <v>75</v>
      </c>
      <c r="D46" s="327" t="s">
        <v>76</v>
      </c>
      <c r="E46" s="301">
        <v>10</v>
      </c>
      <c r="F46" s="301">
        <v>0</v>
      </c>
      <c r="G46" s="301">
        <v>50</v>
      </c>
      <c r="H46" s="301">
        <v>0</v>
      </c>
      <c r="I46" s="301">
        <v>50</v>
      </c>
      <c r="J46" s="301">
        <v>0</v>
      </c>
      <c r="K46" s="301">
        <v>10</v>
      </c>
      <c r="L46" s="301">
        <v>1</v>
      </c>
      <c r="M46" s="299">
        <v>11</v>
      </c>
      <c r="N46" s="306">
        <v>5</v>
      </c>
      <c r="O46" s="301">
        <v>0</v>
      </c>
      <c r="P46" s="301">
        <v>0</v>
      </c>
      <c r="Q46" s="301">
        <v>0</v>
      </c>
      <c r="R46" s="301">
        <v>0</v>
      </c>
      <c r="S46" s="306">
        <v>5</v>
      </c>
      <c r="T46" s="301">
        <v>1</v>
      </c>
      <c r="U46" s="301">
        <v>4</v>
      </c>
      <c r="V46" s="301">
        <v>5</v>
      </c>
      <c r="W46" s="301">
        <v>10</v>
      </c>
      <c r="X46" s="306">
        <v>18</v>
      </c>
      <c r="Y46" s="301">
        <v>1</v>
      </c>
      <c r="Z46" s="299">
        <v>11</v>
      </c>
      <c r="AA46" s="313"/>
      <c r="AB46" s="301">
        <v>11</v>
      </c>
      <c r="AC46" s="301"/>
      <c r="AD46" s="309" t="s">
        <v>107</v>
      </c>
    </row>
    <row r="47" spans="1:30" ht="15.75" x14ac:dyDescent="0.2">
      <c r="A47" s="301"/>
      <c r="B47" s="328" t="s">
        <v>77</v>
      </c>
      <c r="C47" s="329"/>
      <c r="D47" s="330"/>
      <c r="E47" s="299">
        <v>20</v>
      </c>
      <c r="F47" s="299">
        <v>0</v>
      </c>
      <c r="G47" s="299">
        <v>99</v>
      </c>
      <c r="H47" s="299">
        <v>10</v>
      </c>
      <c r="I47" s="299">
        <v>89</v>
      </c>
      <c r="J47" s="301"/>
      <c r="K47" s="301"/>
      <c r="L47" s="301"/>
      <c r="M47" s="299"/>
      <c r="N47" s="306"/>
      <c r="O47" s="301"/>
      <c r="P47" s="301"/>
      <c r="Q47" s="301"/>
      <c r="R47" s="301"/>
      <c r="S47" s="306"/>
      <c r="T47" s="301"/>
      <c r="U47" s="301"/>
      <c r="V47" s="301"/>
      <c r="W47" s="301"/>
      <c r="X47" s="306"/>
      <c r="Y47" s="301"/>
      <c r="Z47" s="299"/>
      <c r="AA47" s="313"/>
      <c r="AB47" s="301"/>
      <c r="AC47" s="301"/>
      <c r="AD47" s="309"/>
    </row>
    <row r="48" spans="1:30" ht="15.75" x14ac:dyDescent="0.2">
      <c r="A48" s="305">
        <v>33</v>
      </c>
      <c r="B48" s="321">
        <v>7620106</v>
      </c>
      <c r="C48" s="313" t="s">
        <v>78</v>
      </c>
      <c r="D48" s="327" t="s">
        <v>79</v>
      </c>
      <c r="E48" s="301">
        <v>10</v>
      </c>
      <c r="F48" s="301">
        <v>0</v>
      </c>
      <c r="G48" s="301">
        <v>32</v>
      </c>
      <c r="H48" s="301">
        <v>0</v>
      </c>
      <c r="I48" s="301">
        <v>32</v>
      </c>
      <c r="J48" s="301">
        <v>16</v>
      </c>
      <c r="K48" s="301">
        <v>0</v>
      </c>
      <c r="L48" s="301">
        <v>0</v>
      </c>
      <c r="M48" s="299">
        <v>16</v>
      </c>
      <c r="N48" s="306">
        <v>5</v>
      </c>
      <c r="O48" s="301">
        <v>5</v>
      </c>
      <c r="P48" s="301">
        <v>3</v>
      </c>
      <c r="Q48" s="301">
        <v>8</v>
      </c>
      <c r="R48" s="301">
        <v>16</v>
      </c>
      <c r="S48" s="306">
        <v>5</v>
      </c>
      <c r="T48" s="301">
        <v>0</v>
      </c>
      <c r="U48" s="301">
        <v>0</v>
      </c>
      <c r="V48" s="301">
        <v>0</v>
      </c>
      <c r="W48" s="301">
        <v>0</v>
      </c>
      <c r="X48" s="306">
        <v>18</v>
      </c>
      <c r="Y48" s="301">
        <v>0</v>
      </c>
      <c r="Z48" s="299">
        <v>16</v>
      </c>
      <c r="AA48" s="313"/>
      <c r="AB48" s="301">
        <v>16</v>
      </c>
      <c r="AC48" s="301"/>
      <c r="AD48" s="309" t="s">
        <v>25</v>
      </c>
    </row>
    <row r="49" spans="1:30" ht="15.75" x14ac:dyDescent="0.2">
      <c r="A49" s="305">
        <v>34</v>
      </c>
      <c r="B49" s="302">
        <v>7620110</v>
      </c>
      <c r="C49" s="313" t="s">
        <v>80</v>
      </c>
      <c r="D49" s="327" t="s">
        <v>79</v>
      </c>
      <c r="E49" s="301">
        <v>6</v>
      </c>
      <c r="F49" s="301">
        <v>0</v>
      </c>
      <c r="G49" s="301">
        <v>64</v>
      </c>
      <c r="H49" s="301">
        <v>0</v>
      </c>
      <c r="I49" s="301">
        <v>64</v>
      </c>
      <c r="J49" s="301">
        <v>0</v>
      </c>
      <c r="K49" s="301">
        <v>0</v>
      </c>
      <c r="L49" s="301">
        <v>0</v>
      </c>
      <c r="M49" s="299">
        <v>0</v>
      </c>
      <c r="N49" s="306"/>
      <c r="O49" s="301"/>
      <c r="P49" s="301"/>
      <c r="Q49" s="301"/>
      <c r="R49" s="301"/>
      <c r="S49" s="306"/>
      <c r="T49" s="301"/>
      <c r="U49" s="301"/>
      <c r="V49" s="301"/>
      <c r="W49" s="301"/>
      <c r="X49" s="306"/>
      <c r="Y49" s="301"/>
      <c r="Z49" s="299"/>
      <c r="AA49" s="313"/>
      <c r="AB49" s="301"/>
      <c r="AC49" s="301"/>
      <c r="AD49" s="309"/>
    </row>
    <row r="50" spans="1:30" ht="15.75" x14ac:dyDescent="0.2">
      <c r="A50" s="305">
        <v>35</v>
      </c>
      <c r="B50" s="302">
        <v>7620115</v>
      </c>
      <c r="C50" s="313" t="s">
        <v>81</v>
      </c>
      <c r="D50" s="327" t="s">
        <v>79</v>
      </c>
      <c r="E50" s="301">
        <v>0</v>
      </c>
      <c r="F50" s="301">
        <v>0</v>
      </c>
      <c r="G50" s="301">
        <v>62</v>
      </c>
      <c r="H50" s="301">
        <v>0</v>
      </c>
      <c r="I50" s="301">
        <v>62</v>
      </c>
      <c r="J50" s="301">
        <v>0</v>
      </c>
      <c r="K50" s="301">
        <v>0</v>
      </c>
      <c r="L50" s="301">
        <v>0</v>
      </c>
      <c r="M50" s="299">
        <v>0</v>
      </c>
      <c r="N50" s="301"/>
      <c r="O50" s="301"/>
      <c r="P50" s="301"/>
      <c r="Q50" s="301"/>
      <c r="R50" s="301"/>
      <c r="S50" s="301"/>
      <c r="T50" s="301"/>
      <c r="U50" s="301"/>
      <c r="V50" s="301"/>
      <c r="W50" s="301"/>
      <c r="X50" s="306"/>
      <c r="Y50" s="301"/>
      <c r="Z50" s="299"/>
      <c r="AA50" s="313"/>
      <c r="AB50" s="314"/>
      <c r="AC50" s="301"/>
      <c r="AD50" s="309"/>
    </row>
    <row r="51" spans="1:30" ht="15.75" x14ac:dyDescent="0.2">
      <c r="A51" s="301"/>
      <c r="B51" s="328" t="s">
        <v>85</v>
      </c>
      <c r="C51" s="313"/>
      <c r="D51" s="327"/>
      <c r="E51" s="331">
        <v>16</v>
      </c>
      <c r="F51" s="331">
        <v>0</v>
      </c>
      <c r="G51" s="299">
        <v>158</v>
      </c>
      <c r="H51" s="299">
        <v>0</v>
      </c>
      <c r="I51" s="299">
        <v>158</v>
      </c>
      <c r="J51" s="301"/>
      <c r="K51" s="301"/>
      <c r="L51" s="301"/>
      <c r="M51" s="314"/>
      <c r="N51" s="301"/>
      <c r="O51" s="301"/>
      <c r="P51" s="301"/>
      <c r="Q51" s="301"/>
      <c r="R51" s="301"/>
      <c r="S51" s="301"/>
      <c r="T51" s="301"/>
      <c r="U51" s="301"/>
      <c r="V51" s="301"/>
      <c r="W51" s="301"/>
      <c r="X51" s="306"/>
      <c r="Y51" s="301"/>
      <c r="Z51" s="299"/>
      <c r="AA51" s="313"/>
      <c r="AB51" s="314"/>
      <c r="AC51" s="301"/>
      <c r="AD51" s="309"/>
    </row>
    <row r="52" spans="1:30" ht="15.75" x14ac:dyDescent="0.2">
      <c r="A52" s="305">
        <v>36</v>
      </c>
      <c r="B52" s="302">
        <v>7760101</v>
      </c>
      <c r="C52" s="313" t="s">
        <v>86</v>
      </c>
      <c r="D52" s="327" t="s">
        <v>87</v>
      </c>
      <c r="E52" s="301">
        <v>0</v>
      </c>
      <c r="F52" s="301">
        <v>0</v>
      </c>
      <c r="G52" s="301">
        <v>75</v>
      </c>
      <c r="H52" s="301">
        <v>0</v>
      </c>
      <c r="I52" s="301">
        <v>75</v>
      </c>
      <c r="J52" s="301">
        <v>0</v>
      </c>
      <c r="K52" s="301">
        <v>0</v>
      </c>
      <c r="L52" s="301">
        <v>0</v>
      </c>
      <c r="M52" s="299">
        <v>0</v>
      </c>
      <c r="N52" s="301"/>
      <c r="O52" s="301"/>
      <c r="P52" s="301"/>
      <c r="Q52" s="301"/>
      <c r="R52" s="301"/>
      <c r="S52" s="301"/>
      <c r="T52" s="301"/>
      <c r="U52" s="301"/>
      <c r="V52" s="301"/>
      <c r="W52" s="301"/>
      <c r="X52" s="306"/>
      <c r="Y52" s="301"/>
      <c r="Z52" s="299"/>
      <c r="AA52" s="313"/>
      <c r="AB52" s="314"/>
      <c r="AC52" s="301"/>
      <c r="AD52" s="309"/>
    </row>
    <row r="53" spans="1:30" ht="15.75" x14ac:dyDescent="0.2">
      <c r="A53" s="305">
        <v>37</v>
      </c>
      <c r="B53" s="302">
        <v>7810101</v>
      </c>
      <c r="C53" s="316" t="s">
        <v>88</v>
      </c>
      <c r="D53" s="320" t="s">
        <v>89</v>
      </c>
      <c r="E53" s="301">
        <v>10</v>
      </c>
      <c r="F53" s="301">
        <v>0</v>
      </c>
      <c r="G53" s="301">
        <v>68</v>
      </c>
      <c r="H53" s="301">
        <v>0</v>
      </c>
      <c r="I53" s="301">
        <v>68</v>
      </c>
      <c r="J53" s="301">
        <v>0</v>
      </c>
      <c r="K53" s="301">
        <v>0</v>
      </c>
      <c r="L53" s="301">
        <v>0</v>
      </c>
      <c r="M53" s="299">
        <v>0</v>
      </c>
      <c r="N53" s="301"/>
      <c r="O53" s="301"/>
      <c r="P53" s="301"/>
      <c r="Q53" s="301"/>
      <c r="R53" s="301"/>
      <c r="S53" s="301"/>
      <c r="T53" s="301"/>
      <c r="U53" s="301"/>
      <c r="V53" s="301"/>
      <c r="W53" s="301"/>
      <c r="X53" s="306"/>
      <c r="Y53" s="301"/>
      <c r="Z53" s="299"/>
      <c r="AA53" s="313"/>
      <c r="AB53" s="314"/>
      <c r="AC53" s="301"/>
      <c r="AD53" s="309"/>
    </row>
    <row r="54" spans="1:30" ht="15.75" x14ac:dyDescent="0.2">
      <c r="A54" s="305">
        <v>38</v>
      </c>
      <c r="B54" s="302">
        <v>7810201</v>
      </c>
      <c r="C54" s="316" t="s">
        <v>90</v>
      </c>
      <c r="D54" s="320" t="s">
        <v>89</v>
      </c>
      <c r="E54" s="301">
        <v>0</v>
      </c>
      <c r="F54" s="301">
        <v>0</v>
      </c>
      <c r="G54" s="301">
        <v>73</v>
      </c>
      <c r="H54" s="301">
        <v>0</v>
      </c>
      <c r="I54" s="301">
        <v>73</v>
      </c>
      <c r="J54" s="301">
        <v>0</v>
      </c>
      <c r="K54" s="301">
        <v>0</v>
      </c>
      <c r="L54" s="301">
        <v>0</v>
      </c>
      <c r="M54" s="299">
        <v>0</v>
      </c>
      <c r="N54" s="301"/>
      <c r="O54" s="301"/>
      <c r="P54" s="301"/>
      <c r="Q54" s="301"/>
      <c r="R54" s="301"/>
      <c r="S54" s="301"/>
      <c r="T54" s="301"/>
      <c r="U54" s="301"/>
      <c r="V54" s="301"/>
      <c r="W54" s="301"/>
      <c r="X54" s="306"/>
      <c r="Y54" s="301"/>
      <c r="Z54" s="299"/>
      <c r="AA54" s="313"/>
      <c r="AB54" s="314"/>
      <c r="AC54" s="301"/>
      <c r="AD54" s="309"/>
    </row>
    <row r="55" spans="1:30" ht="15.75" x14ac:dyDescent="0.2">
      <c r="A55" s="305">
        <v>39</v>
      </c>
      <c r="B55" s="302">
        <v>7810302</v>
      </c>
      <c r="C55" s="316" t="s">
        <v>91</v>
      </c>
      <c r="D55" s="320" t="s">
        <v>89</v>
      </c>
      <c r="E55" s="301">
        <v>0</v>
      </c>
      <c r="F55" s="301">
        <v>0</v>
      </c>
      <c r="G55" s="301">
        <v>68</v>
      </c>
      <c r="H55" s="301">
        <v>0</v>
      </c>
      <c r="I55" s="301">
        <v>68</v>
      </c>
      <c r="J55" s="301">
        <v>0</v>
      </c>
      <c r="K55" s="301">
        <v>0</v>
      </c>
      <c r="L55" s="301">
        <v>0</v>
      </c>
      <c r="M55" s="299">
        <v>0</v>
      </c>
      <c r="N55" s="301"/>
      <c r="O55" s="301"/>
      <c r="P55" s="301"/>
      <c r="Q55" s="301"/>
      <c r="R55" s="301"/>
      <c r="S55" s="301"/>
      <c r="T55" s="301"/>
      <c r="U55" s="301"/>
      <c r="V55" s="301"/>
      <c r="W55" s="301"/>
      <c r="X55" s="306"/>
      <c r="Y55" s="301"/>
      <c r="Z55" s="299"/>
      <c r="AA55" s="313"/>
      <c r="AB55" s="314"/>
      <c r="AC55" s="301"/>
      <c r="AD55" s="309"/>
    </row>
    <row r="56" spans="1:30" ht="15.75" x14ac:dyDescent="0.2">
      <c r="A56" s="301"/>
      <c r="B56" s="322" t="s">
        <v>92</v>
      </c>
      <c r="C56" s="316"/>
      <c r="D56" s="320"/>
      <c r="E56" s="301">
        <v>10</v>
      </c>
      <c r="F56" s="301">
        <v>0</v>
      </c>
      <c r="G56" s="301">
        <v>284</v>
      </c>
      <c r="H56" s="301">
        <v>0</v>
      </c>
      <c r="I56" s="301">
        <v>284</v>
      </c>
      <c r="J56" s="301"/>
      <c r="K56" s="301"/>
      <c r="L56" s="301"/>
      <c r="M56" s="314"/>
      <c r="N56" s="301"/>
      <c r="O56" s="301"/>
      <c r="P56" s="301"/>
      <c r="Q56" s="301"/>
      <c r="R56" s="301"/>
      <c r="S56" s="301"/>
      <c r="T56" s="301"/>
      <c r="U56" s="301"/>
      <c r="V56" s="301"/>
      <c r="W56" s="301"/>
      <c r="X56" s="306"/>
      <c r="Y56" s="301"/>
      <c r="Z56" s="299"/>
      <c r="AA56" s="313"/>
      <c r="AB56" s="314"/>
      <c r="AC56" s="301"/>
      <c r="AD56" s="309"/>
    </row>
    <row r="57" spans="1:30" ht="15.75" x14ac:dyDescent="0.2">
      <c r="A57" s="305">
        <v>40</v>
      </c>
      <c r="B57" s="302">
        <v>7850103</v>
      </c>
      <c r="C57" s="316" t="s">
        <v>93</v>
      </c>
      <c r="D57" s="320" t="s">
        <v>94</v>
      </c>
      <c r="E57" s="301">
        <v>6</v>
      </c>
      <c r="F57" s="301">
        <v>0</v>
      </c>
      <c r="G57" s="301">
        <v>78</v>
      </c>
      <c r="H57" s="301">
        <v>14</v>
      </c>
      <c r="I57" s="301">
        <v>64</v>
      </c>
      <c r="J57" s="301">
        <v>0</v>
      </c>
      <c r="K57" s="301">
        <v>0</v>
      </c>
      <c r="L57" s="301">
        <v>0</v>
      </c>
      <c r="M57" s="299">
        <v>0</v>
      </c>
      <c r="N57" s="306"/>
      <c r="O57" s="301"/>
      <c r="P57" s="301"/>
      <c r="Q57" s="301"/>
      <c r="R57" s="301"/>
      <c r="S57" s="306"/>
      <c r="T57" s="301"/>
      <c r="U57" s="301"/>
      <c r="V57" s="301"/>
      <c r="W57" s="301"/>
      <c r="X57" s="306"/>
      <c r="Y57" s="301"/>
      <c r="Z57" s="299"/>
      <c r="AA57" s="313"/>
      <c r="AB57" s="301"/>
      <c r="AC57" s="301"/>
      <c r="AD57" s="309"/>
    </row>
    <row r="58" spans="1:30" ht="15.75" x14ac:dyDescent="0.2">
      <c r="A58" s="301"/>
      <c r="B58" s="322" t="s">
        <v>95</v>
      </c>
      <c r="C58" s="316"/>
      <c r="D58" s="332"/>
      <c r="E58" s="299">
        <v>6</v>
      </c>
      <c r="F58" s="299">
        <v>0</v>
      </c>
      <c r="G58" s="299">
        <v>77.759999999999991</v>
      </c>
      <c r="H58" s="299">
        <v>14</v>
      </c>
      <c r="I58" s="299">
        <v>64</v>
      </c>
      <c r="J58" s="333"/>
      <c r="K58" s="333"/>
      <c r="L58" s="333"/>
      <c r="M58" s="334"/>
      <c r="N58" s="334"/>
      <c r="O58" s="334"/>
      <c r="P58" s="301"/>
      <c r="Q58" s="301"/>
      <c r="R58" s="301"/>
      <c r="S58" s="306"/>
      <c r="T58" s="301"/>
      <c r="U58" s="301"/>
      <c r="V58" s="301"/>
      <c r="W58" s="301"/>
      <c r="X58" s="306"/>
      <c r="Y58" s="301"/>
      <c r="Z58" s="299"/>
      <c r="AA58" s="313"/>
      <c r="AB58" s="301"/>
      <c r="AC58" s="301"/>
      <c r="AD58" s="309"/>
    </row>
    <row r="59" spans="1:30" ht="15.75" x14ac:dyDescent="0.2">
      <c r="A59" s="313"/>
      <c r="B59" s="313"/>
      <c r="C59" s="335" t="s">
        <v>96</v>
      </c>
      <c r="D59" s="336"/>
      <c r="E59" s="331">
        <v>338</v>
      </c>
      <c r="F59" s="331">
        <v>0</v>
      </c>
      <c r="G59" s="331">
        <v>4207.1000000000004</v>
      </c>
      <c r="H59" s="331">
        <v>808</v>
      </c>
      <c r="I59" s="331">
        <v>3399.1000000000004</v>
      </c>
      <c r="J59" s="299">
        <v>34</v>
      </c>
      <c r="K59" s="299">
        <v>450</v>
      </c>
      <c r="L59" s="299">
        <v>170</v>
      </c>
      <c r="M59" s="299">
        <v>654</v>
      </c>
      <c r="N59" s="299"/>
      <c r="O59" s="299">
        <v>5</v>
      </c>
      <c r="P59" s="299">
        <v>6</v>
      </c>
      <c r="Q59" s="299">
        <v>23</v>
      </c>
      <c r="R59" s="299">
        <v>34</v>
      </c>
      <c r="S59" s="299"/>
      <c r="T59" s="299">
        <v>73</v>
      </c>
      <c r="U59" s="299">
        <v>203</v>
      </c>
      <c r="V59" s="299">
        <v>174</v>
      </c>
      <c r="W59" s="299">
        <v>450</v>
      </c>
      <c r="X59" s="299"/>
      <c r="Y59" s="299">
        <v>170</v>
      </c>
      <c r="Z59" s="299">
        <v>654</v>
      </c>
      <c r="AA59" s="299">
        <v>366</v>
      </c>
      <c r="AB59" s="299">
        <v>288</v>
      </c>
      <c r="AC59" s="301"/>
      <c r="AD59" s="337"/>
    </row>
    <row r="60" spans="1:30" ht="18.75" x14ac:dyDescent="0.3">
      <c r="C60" s="18" t="s">
        <v>97</v>
      </c>
      <c r="D60" s="18"/>
      <c r="E60" s="12"/>
      <c r="F60" s="12"/>
      <c r="G60" s="12"/>
      <c r="H60" s="12"/>
      <c r="I60" s="12"/>
      <c r="J60" s="13"/>
      <c r="K60" s="13"/>
      <c r="L60" s="13"/>
      <c r="M60" s="13"/>
      <c r="N60" s="13"/>
      <c r="O60" s="13"/>
      <c r="P60" s="13"/>
      <c r="Q60" s="13"/>
      <c r="R60" s="13"/>
      <c r="S60" s="13"/>
      <c r="T60" s="13"/>
      <c r="U60" s="13"/>
      <c r="V60" s="13"/>
      <c r="AB60" s="10"/>
      <c r="AC60" s="10"/>
      <c r="AD60" s="11"/>
    </row>
    <row r="61" spans="1:30" ht="18.75" x14ac:dyDescent="0.3">
      <c r="C61" s="19" t="s">
        <v>108</v>
      </c>
      <c r="D61" s="19"/>
      <c r="E61" s="14"/>
      <c r="F61" s="14"/>
      <c r="G61" s="14"/>
      <c r="H61" s="14"/>
      <c r="I61" s="14"/>
      <c r="J61" s="13"/>
      <c r="K61" s="13"/>
      <c r="L61" s="13"/>
      <c r="M61" s="13"/>
      <c r="N61" s="13"/>
      <c r="O61" s="13"/>
      <c r="P61" s="13"/>
      <c r="Q61" s="13"/>
      <c r="R61" s="13"/>
      <c r="S61" s="13"/>
      <c r="T61" s="13"/>
      <c r="U61" s="13"/>
      <c r="V61" s="13"/>
      <c r="AB61" s="10"/>
      <c r="AC61" s="10"/>
    </row>
    <row r="62" spans="1:30" ht="18.75" x14ac:dyDescent="0.3">
      <c r="C62" s="19" t="s">
        <v>109</v>
      </c>
      <c r="D62" s="19"/>
      <c r="E62" s="14"/>
      <c r="F62" s="14"/>
      <c r="G62" s="14"/>
      <c r="H62" s="14"/>
      <c r="I62" s="14"/>
      <c r="J62" s="13"/>
      <c r="K62" s="13"/>
      <c r="L62" s="13"/>
      <c r="M62" s="13"/>
      <c r="N62" s="13"/>
      <c r="O62" s="13"/>
      <c r="P62" s="13"/>
      <c r="Q62" s="13"/>
      <c r="R62" s="13"/>
      <c r="S62" s="13"/>
      <c r="T62" s="13"/>
      <c r="U62" s="13"/>
      <c r="V62" s="13"/>
      <c r="AB62" s="10"/>
      <c r="AC62" s="10"/>
    </row>
    <row r="63" spans="1:30" ht="18.75" x14ac:dyDescent="0.3">
      <c r="C63" s="19" t="s">
        <v>110</v>
      </c>
      <c r="D63" s="19"/>
      <c r="E63" s="14"/>
      <c r="F63" s="14"/>
      <c r="G63" s="14"/>
      <c r="H63" s="14"/>
      <c r="I63" s="14"/>
      <c r="J63" s="13"/>
      <c r="K63" s="13"/>
      <c r="L63" s="13"/>
      <c r="M63" s="13"/>
      <c r="N63" s="13"/>
      <c r="O63" s="13"/>
      <c r="P63" s="13"/>
      <c r="Q63" s="13"/>
      <c r="R63" s="13"/>
      <c r="S63" s="13"/>
      <c r="T63" s="13"/>
      <c r="U63" s="13"/>
      <c r="V63" s="13"/>
      <c r="AB63" s="10"/>
      <c r="AC63" s="10"/>
    </row>
    <row r="64" spans="1:30" ht="18.75" x14ac:dyDescent="0.3">
      <c r="C64" s="19" t="s">
        <v>98</v>
      </c>
      <c r="D64" s="19"/>
      <c r="E64" s="14"/>
      <c r="F64" s="14"/>
      <c r="G64" s="14"/>
      <c r="H64" s="14"/>
      <c r="I64" s="14"/>
      <c r="J64" s="13"/>
      <c r="K64" s="13"/>
      <c r="L64" s="13"/>
      <c r="M64" s="13"/>
      <c r="N64" s="13"/>
      <c r="O64" s="13"/>
      <c r="P64" s="13"/>
      <c r="Q64" s="13"/>
      <c r="R64" s="13"/>
      <c r="S64" s="13"/>
      <c r="T64" s="13"/>
      <c r="U64" s="13"/>
      <c r="V64" s="13"/>
      <c r="AB64" s="10"/>
      <c r="AC64" s="10"/>
    </row>
  </sheetData>
  <mergeCells count="20">
    <mergeCell ref="AA5:AA7"/>
    <mergeCell ref="AB5:AB7"/>
    <mergeCell ref="AC5:AC7"/>
    <mergeCell ref="AD5:AD7"/>
    <mergeCell ref="N7:R7"/>
    <mergeCell ref="S7:W7"/>
    <mergeCell ref="X7:Y7"/>
    <mergeCell ref="Z7:Z8"/>
    <mergeCell ref="N5:Z6"/>
    <mergeCell ref="G5:G8"/>
    <mergeCell ref="H5:H8"/>
    <mergeCell ref="I5:I8"/>
    <mergeCell ref="J5:L7"/>
    <mergeCell ref="M5:M8"/>
    <mergeCell ref="F5:F8"/>
    <mergeCell ref="A5:A8"/>
    <mergeCell ref="B5:B8"/>
    <mergeCell ref="C5:C8"/>
    <mergeCell ref="D5:D8"/>
    <mergeCell ref="E5:E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44A84-CD23-4716-BE82-AF936ABDBC2B}">
  <dimension ref="A1:BO585"/>
  <sheetViews>
    <sheetView workbookViewId="0">
      <pane ySplit="1" topLeftCell="A2" activePane="bottomLeft" state="frozen"/>
      <selection activeCell="C1" sqref="C1"/>
      <selection pane="bottomLeft" activeCell="O575" sqref="O575"/>
    </sheetView>
  </sheetViews>
  <sheetFormatPr defaultRowHeight="15.75" x14ac:dyDescent="0.25"/>
  <cols>
    <col min="1" max="1" width="4" customWidth="1"/>
    <col min="2" max="2" width="5.875" style="7" customWidth="1"/>
    <col min="3" max="3" width="6.375" style="7" customWidth="1"/>
    <col min="4" max="4" width="9.625" style="7" customWidth="1"/>
    <col min="5" max="5" width="8.75" style="22" customWidth="1"/>
    <col min="6" max="6" width="6.875" style="24" customWidth="1"/>
    <col min="7" max="8" width="14.375" style="24" customWidth="1"/>
    <col min="9" max="9" width="24.875" style="22" customWidth="1"/>
    <col min="10" max="10" width="7.375" style="27" customWidth="1"/>
    <col min="11" max="11" width="12.75" style="340" customWidth="1"/>
    <col min="12" max="13" width="5.875" style="24" customWidth="1"/>
    <col min="14" max="14" width="8.75" style="24" customWidth="1"/>
    <col min="15" max="15" width="25.875" style="26" customWidth="1"/>
    <col min="16" max="16" width="11.375" style="357" customWidth="1"/>
    <col min="17" max="17" width="25.625" style="22" customWidth="1"/>
    <col min="18" max="18" width="7.375" style="7" customWidth="1"/>
    <col min="19" max="19" width="7.125" style="24" customWidth="1"/>
    <col min="20" max="20" width="7" style="294" customWidth="1"/>
    <col min="21" max="21" width="6" style="295" customWidth="1"/>
    <col min="22" max="22" width="6.25" style="7" customWidth="1"/>
    <col min="23" max="23" width="6.375" style="295" customWidth="1"/>
    <col min="24" max="24" width="12.75" style="24" customWidth="1"/>
    <col min="25" max="25" width="19.125" style="7" customWidth="1"/>
    <col min="26" max="26" width="8.125" style="7" customWidth="1"/>
    <col min="27" max="27" width="11.25" style="22" customWidth="1"/>
    <col min="28" max="28" width="22.875" style="24" customWidth="1"/>
    <col min="29" max="29" width="9.375" style="24" customWidth="1"/>
    <col min="30" max="30" width="9.875" style="24" customWidth="1"/>
    <col min="31" max="31" width="15.875" style="22" customWidth="1"/>
    <col min="32" max="32" width="15.875" style="24" customWidth="1"/>
    <col min="33" max="33" width="26.375" style="22" customWidth="1"/>
    <col min="34" max="34" width="11.25" style="7" customWidth="1"/>
    <col min="35" max="35" width="19.625" style="22" customWidth="1"/>
    <col min="36" max="36" width="14.375" style="25" customWidth="1"/>
    <col min="37" max="37" width="18.375" style="22" customWidth="1"/>
    <col min="38" max="38" width="10.25" style="7" customWidth="1"/>
    <col min="39" max="39" width="36.375" style="22" customWidth="1"/>
    <col min="40" max="40" width="20.625" style="22" customWidth="1"/>
    <col min="41" max="41" width="16.375" style="22" customWidth="1"/>
    <col min="42" max="42" width="14.625" style="22" customWidth="1"/>
    <col min="43" max="43" width="10" style="7" customWidth="1"/>
    <col min="44" max="44" width="8" style="7" customWidth="1"/>
    <col min="45" max="45" width="16" style="7" customWidth="1"/>
    <col min="46" max="46" width="16.375" style="22" customWidth="1"/>
    <col min="47" max="47" width="9" style="22" customWidth="1"/>
    <col min="48" max="48" width="16.25" style="296" customWidth="1"/>
    <col min="49" max="49" width="9" style="22" customWidth="1"/>
    <col min="50" max="50" width="9" style="22"/>
    <col min="51" max="51" width="9" style="292"/>
    <col min="52" max="52" width="9" style="22"/>
    <col min="53" max="53" width="9" style="293"/>
    <col min="54" max="58" width="9" style="22"/>
    <col min="59" max="59" width="12.625" style="22" customWidth="1"/>
    <col min="60" max="60" width="22.875" style="22" customWidth="1"/>
    <col min="61" max="61" width="8.75" style="22" customWidth="1"/>
    <col min="62" max="62" width="19.75" style="7" customWidth="1"/>
    <col min="63" max="63" width="9.375" style="7" customWidth="1"/>
    <col min="64" max="64" width="9" style="22"/>
    <col min="65" max="65" width="10.875" style="22" customWidth="1"/>
    <col min="66" max="66" width="9.875" customWidth="1"/>
    <col min="68" max="261" width="9" style="22"/>
    <col min="262" max="262" width="4" style="22" customWidth="1"/>
    <col min="263" max="263" width="5.875" style="22" customWidth="1"/>
    <col min="264" max="264" width="6.375" style="22" customWidth="1"/>
    <col min="265" max="265" width="20.25" style="22" customWidth="1"/>
    <col min="266" max="266" width="7.375" style="22" customWidth="1"/>
    <col min="267" max="267" width="12.75" style="22" customWidth="1"/>
    <col min="268" max="268" width="5.875" style="22" customWidth="1"/>
    <col min="269" max="269" width="8.75" style="22" customWidth="1"/>
    <col min="270" max="270" width="25.625" style="22" customWidth="1"/>
    <col min="271" max="271" width="6" style="22" customWidth="1"/>
    <col min="272" max="272" width="7.375" style="22" customWidth="1"/>
    <col min="273" max="273" width="7.125" style="22" customWidth="1"/>
    <col min="274" max="274" width="7" style="22" customWidth="1"/>
    <col min="275" max="275" width="6" style="22" customWidth="1"/>
    <col min="276" max="276" width="6.25" style="22" customWidth="1"/>
    <col min="277" max="277" width="6.375" style="22" customWidth="1"/>
    <col min="278" max="278" width="19.125" style="22" customWidth="1"/>
    <col min="279" max="279" width="8.125" style="22" customWidth="1"/>
    <col min="280" max="280" width="8.75" style="22" customWidth="1"/>
    <col min="281" max="281" width="11.25" style="22" customWidth="1"/>
    <col min="282" max="282" width="22.875" style="22" customWidth="1"/>
    <col min="283" max="283" width="9.375" style="22" customWidth="1"/>
    <col min="284" max="284" width="9.875" style="22" customWidth="1"/>
    <col min="285" max="286" width="15.875" style="22" customWidth="1"/>
    <col min="287" max="287" width="15" style="22" customWidth="1"/>
    <col min="288" max="288" width="23.25" style="22" customWidth="1"/>
    <col min="289" max="289" width="26.375" style="22" customWidth="1"/>
    <col min="290" max="290" width="11.25" style="22" customWidth="1"/>
    <col min="291" max="291" width="19.625" style="22" customWidth="1"/>
    <col min="292" max="292" width="14.375" style="22" customWidth="1"/>
    <col min="293" max="293" width="18.375" style="22" customWidth="1"/>
    <col min="294" max="294" width="10.25" style="22" customWidth="1"/>
    <col min="295" max="295" width="36.375" style="22" customWidth="1"/>
    <col min="296" max="296" width="20.625" style="22" customWidth="1"/>
    <col min="297" max="297" width="16.375" style="22" customWidth="1"/>
    <col min="298" max="298" width="14.625" style="22" customWidth="1"/>
    <col min="299" max="299" width="10" style="22" customWidth="1"/>
    <col min="300" max="300" width="8" style="22" customWidth="1"/>
    <col min="301" max="301" width="16" style="22" customWidth="1"/>
    <col min="302" max="302" width="16.375" style="22" customWidth="1"/>
    <col min="303" max="303" width="9" style="22"/>
    <col min="304" max="304" width="16.25" style="22" customWidth="1"/>
    <col min="305" max="314" width="9" style="22"/>
    <col min="315" max="315" width="12.625" style="22" customWidth="1"/>
    <col min="316" max="316" width="22.875" style="22" customWidth="1"/>
    <col min="317" max="317" width="8.75" style="22" customWidth="1"/>
    <col min="318" max="318" width="19.75" style="22" customWidth="1"/>
    <col min="319" max="319" width="9.375" style="22" customWidth="1"/>
    <col min="320" max="320" width="9" style="22"/>
    <col min="321" max="321" width="10.875" style="22" customWidth="1"/>
    <col min="322" max="322" width="9.875" style="22" customWidth="1"/>
    <col min="323" max="517" width="9" style="22"/>
    <col min="518" max="518" width="4" style="22" customWidth="1"/>
    <col min="519" max="519" width="5.875" style="22" customWidth="1"/>
    <col min="520" max="520" width="6.375" style="22" customWidth="1"/>
    <col min="521" max="521" width="20.25" style="22" customWidth="1"/>
    <col min="522" max="522" width="7.375" style="22" customWidth="1"/>
    <col min="523" max="523" width="12.75" style="22" customWidth="1"/>
    <col min="524" max="524" width="5.875" style="22" customWidth="1"/>
    <col min="525" max="525" width="8.75" style="22" customWidth="1"/>
    <col min="526" max="526" width="25.625" style="22" customWidth="1"/>
    <col min="527" max="527" width="6" style="22" customWidth="1"/>
    <col min="528" max="528" width="7.375" style="22" customWidth="1"/>
    <col min="529" max="529" width="7.125" style="22" customWidth="1"/>
    <col min="530" max="530" width="7" style="22" customWidth="1"/>
    <col min="531" max="531" width="6" style="22" customWidth="1"/>
    <col min="532" max="532" width="6.25" style="22" customWidth="1"/>
    <col min="533" max="533" width="6.375" style="22" customWidth="1"/>
    <col min="534" max="534" width="19.125" style="22" customWidth="1"/>
    <col min="535" max="535" width="8.125" style="22" customWidth="1"/>
    <col min="536" max="536" width="8.75" style="22" customWidth="1"/>
    <col min="537" max="537" width="11.25" style="22" customWidth="1"/>
    <col min="538" max="538" width="22.875" style="22" customWidth="1"/>
    <col min="539" max="539" width="9.375" style="22" customWidth="1"/>
    <col min="540" max="540" width="9.875" style="22" customWidth="1"/>
    <col min="541" max="542" width="15.875" style="22" customWidth="1"/>
    <col min="543" max="543" width="15" style="22" customWidth="1"/>
    <col min="544" max="544" width="23.25" style="22" customWidth="1"/>
    <col min="545" max="545" width="26.375" style="22" customWidth="1"/>
    <col min="546" max="546" width="11.25" style="22" customWidth="1"/>
    <col min="547" max="547" width="19.625" style="22" customWidth="1"/>
    <col min="548" max="548" width="14.375" style="22" customWidth="1"/>
    <col min="549" max="549" width="18.375" style="22" customWidth="1"/>
    <col min="550" max="550" width="10.25" style="22" customWidth="1"/>
    <col min="551" max="551" width="36.375" style="22" customWidth="1"/>
    <col min="552" max="552" width="20.625" style="22" customWidth="1"/>
    <col min="553" max="553" width="16.375" style="22" customWidth="1"/>
    <col min="554" max="554" width="14.625" style="22" customWidth="1"/>
    <col min="555" max="555" width="10" style="22" customWidth="1"/>
    <col min="556" max="556" width="8" style="22" customWidth="1"/>
    <col min="557" max="557" width="16" style="22" customWidth="1"/>
    <col min="558" max="558" width="16.375" style="22" customWidth="1"/>
    <col min="559" max="559" width="9" style="22"/>
    <col min="560" max="560" width="16.25" style="22" customWidth="1"/>
    <col min="561" max="570" width="9" style="22"/>
    <col min="571" max="571" width="12.625" style="22" customWidth="1"/>
    <col min="572" max="572" width="22.875" style="22" customWidth="1"/>
    <col min="573" max="573" width="8.75" style="22" customWidth="1"/>
    <col min="574" max="574" width="19.75" style="22" customWidth="1"/>
    <col min="575" max="575" width="9.375" style="22" customWidth="1"/>
    <col min="576" max="576" width="9" style="22"/>
    <col min="577" max="577" width="10.875" style="22" customWidth="1"/>
    <col min="578" max="578" width="9.875" style="22" customWidth="1"/>
    <col min="579" max="773" width="9" style="22"/>
    <col min="774" max="774" width="4" style="22" customWidth="1"/>
    <col min="775" max="775" width="5.875" style="22" customWidth="1"/>
    <col min="776" max="776" width="6.375" style="22" customWidth="1"/>
    <col min="777" max="777" width="20.25" style="22" customWidth="1"/>
    <col min="778" max="778" width="7.375" style="22" customWidth="1"/>
    <col min="779" max="779" width="12.75" style="22" customWidth="1"/>
    <col min="780" max="780" width="5.875" style="22" customWidth="1"/>
    <col min="781" max="781" width="8.75" style="22" customWidth="1"/>
    <col min="782" max="782" width="25.625" style="22" customWidth="1"/>
    <col min="783" max="783" width="6" style="22" customWidth="1"/>
    <col min="784" max="784" width="7.375" style="22" customWidth="1"/>
    <col min="785" max="785" width="7.125" style="22" customWidth="1"/>
    <col min="786" max="786" width="7" style="22" customWidth="1"/>
    <col min="787" max="787" width="6" style="22" customWidth="1"/>
    <col min="788" max="788" width="6.25" style="22" customWidth="1"/>
    <col min="789" max="789" width="6.375" style="22" customWidth="1"/>
    <col min="790" max="790" width="19.125" style="22" customWidth="1"/>
    <col min="791" max="791" width="8.125" style="22" customWidth="1"/>
    <col min="792" max="792" width="8.75" style="22" customWidth="1"/>
    <col min="793" max="793" width="11.25" style="22" customWidth="1"/>
    <col min="794" max="794" width="22.875" style="22" customWidth="1"/>
    <col min="795" max="795" width="9.375" style="22" customWidth="1"/>
    <col min="796" max="796" width="9.875" style="22" customWidth="1"/>
    <col min="797" max="798" width="15.875" style="22" customWidth="1"/>
    <col min="799" max="799" width="15" style="22" customWidth="1"/>
    <col min="800" max="800" width="23.25" style="22" customWidth="1"/>
    <col min="801" max="801" width="26.375" style="22" customWidth="1"/>
    <col min="802" max="802" width="11.25" style="22" customWidth="1"/>
    <col min="803" max="803" width="19.625" style="22" customWidth="1"/>
    <col min="804" max="804" width="14.375" style="22" customWidth="1"/>
    <col min="805" max="805" width="18.375" style="22" customWidth="1"/>
    <col min="806" max="806" width="10.25" style="22" customWidth="1"/>
    <col min="807" max="807" width="36.375" style="22" customWidth="1"/>
    <col min="808" max="808" width="20.625" style="22" customWidth="1"/>
    <col min="809" max="809" width="16.375" style="22" customWidth="1"/>
    <col min="810" max="810" width="14.625" style="22" customWidth="1"/>
    <col min="811" max="811" width="10" style="22" customWidth="1"/>
    <col min="812" max="812" width="8" style="22" customWidth="1"/>
    <col min="813" max="813" width="16" style="22" customWidth="1"/>
    <col min="814" max="814" width="16.375" style="22" customWidth="1"/>
    <col min="815" max="815" width="9" style="22"/>
    <col min="816" max="816" width="16.25" style="22" customWidth="1"/>
    <col min="817" max="826" width="9" style="22"/>
    <col min="827" max="827" width="12.625" style="22" customWidth="1"/>
    <col min="828" max="828" width="22.875" style="22" customWidth="1"/>
    <col min="829" max="829" width="8.75" style="22" customWidth="1"/>
    <col min="830" max="830" width="19.75" style="22" customWidth="1"/>
    <col min="831" max="831" width="9.375" style="22" customWidth="1"/>
    <col min="832" max="832" width="9" style="22"/>
    <col min="833" max="833" width="10.875" style="22" customWidth="1"/>
    <col min="834" max="834" width="9.875" style="22" customWidth="1"/>
    <col min="835" max="1029" width="9" style="22"/>
    <col min="1030" max="1030" width="4" style="22" customWidth="1"/>
    <col min="1031" max="1031" width="5.875" style="22" customWidth="1"/>
    <col min="1032" max="1032" width="6.375" style="22" customWidth="1"/>
    <col min="1033" max="1033" width="20.25" style="22" customWidth="1"/>
    <col min="1034" max="1034" width="7.375" style="22" customWidth="1"/>
    <col min="1035" max="1035" width="12.75" style="22" customWidth="1"/>
    <col min="1036" max="1036" width="5.875" style="22" customWidth="1"/>
    <col min="1037" max="1037" width="8.75" style="22" customWidth="1"/>
    <col min="1038" max="1038" width="25.625" style="22" customWidth="1"/>
    <col min="1039" max="1039" width="6" style="22" customWidth="1"/>
    <col min="1040" max="1040" width="7.375" style="22" customWidth="1"/>
    <col min="1041" max="1041" width="7.125" style="22" customWidth="1"/>
    <col min="1042" max="1042" width="7" style="22" customWidth="1"/>
    <col min="1043" max="1043" width="6" style="22" customWidth="1"/>
    <col min="1044" max="1044" width="6.25" style="22" customWidth="1"/>
    <col min="1045" max="1045" width="6.375" style="22" customWidth="1"/>
    <col min="1046" max="1046" width="19.125" style="22" customWidth="1"/>
    <col min="1047" max="1047" width="8.125" style="22" customWidth="1"/>
    <col min="1048" max="1048" width="8.75" style="22" customWidth="1"/>
    <col min="1049" max="1049" width="11.25" style="22" customWidth="1"/>
    <col min="1050" max="1050" width="22.875" style="22" customWidth="1"/>
    <col min="1051" max="1051" width="9.375" style="22" customWidth="1"/>
    <col min="1052" max="1052" width="9.875" style="22" customWidth="1"/>
    <col min="1053" max="1054" width="15.875" style="22" customWidth="1"/>
    <col min="1055" max="1055" width="15" style="22" customWidth="1"/>
    <col min="1056" max="1056" width="23.25" style="22" customWidth="1"/>
    <col min="1057" max="1057" width="26.375" style="22" customWidth="1"/>
    <col min="1058" max="1058" width="11.25" style="22" customWidth="1"/>
    <col min="1059" max="1059" width="19.625" style="22" customWidth="1"/>
    <col min="1060" max="1060" width="14.375" style="22" customWidth="1"/>
    <col min="1061" max="1061" width="18.375" style="22" customWidth="1"/>
    <col min="1062" max="1062" width="10.25" style="22" customWidth="1"/>
    <col min="1063" max="1063" width="36.375" style="22" customWidth="1"/>
    <col min="1064" max="1064" width="20.625" style="22" customWidth="1"/>
    <col min="1065" max="1065" width="16.375" style="22" customWidth="1"/>
    <col min="1066" max="1066" width="14.625" style="22" customWidth="1"/>
    <col min="1067" max="1067" width="10" style="22" customWidth="1"/>
    <col min="1068" max="1068" width="8" style="22" customWidth="1"/>
    <col min="1069" max="1069" width="16" style="22" customWidth="1"/>
    <col min="1070" max="1070" width="16.375" style="22" customWidth="1"/>
    <col min="1071" max="1071" width="9" style="22"/>
    <col min="1072" max="1072" width="16.25" style="22" customWidth="1"/>
    <col min="1073" max="1082" width="9" style="22"/>
    <col min="1083" max="1083" width="12.625" style="22" customWidth="1"/>
    <col min="1084" max="1084" width="22.875" style="22" customWidth="1"/>
    <col min="1085" max="1085" width="8.75" style="22" customWidth="1"/>
    <col min="1086" max="1086" width="19.75" style="22" customWidth="1"/>
    <col min="1087" max="1087" width="9.375" style="22" customWidth="1"/>
    <col min="1088" max="1088" width="9" style="22"/>
    <col min="1089" max="1089" width="10.875" style="22" customWidth="1"/>
    <col min="1090" max="1090" width="9.875" style="22" customWidth="1"/>
    <col min="1091" max="1285" width="9" style="22"/>
    <col min="1286" max="1286" width="4" style="22" customWidth="1"/>
    <col min="1287" max="1287" width="5.875" style="22" customWidth="1"/>
    <col min="1288" max="1288" width="6.375" style="22" customWidth="1"/>
    <col min="1289" max="1289" width="20.25" style="22" customWidth="1"/>
    <col min="1290" max="1290" width="7.375" style="22" customWidth="1"/>
    <col min="1291" max="1291" width="12.75" style="22" customWidth="1"/>
    <col min="1292" max="1292" width="5.875" style="22" customWidth="1"/>
    <col min="1293" max="1293" width="8.75" style="22" customWidth="1"/>
    <col min="1294" max="1294" width="25.625" style="22" customWidth="1"/>
    <col min="1295" max="1295" width="6" style="22" customWidth="1"/>
    <col min="1296" max="1296" width="7.375" style="22" customWidth="1"/>
    <col min="1297" max="1297" width="7.125" style="22" customWidth="1"/>
    <col min="1298" max="1298" width="7" style="22" customWidth="1"/>
    <col min="1299" max="1299" width="6" style="22" customWidth="1"/>
    <col min="1300" max="1300" width="6.25" style="22" customWidth="1"/>
    <col min="1301" max="1301" width="6.375" style="22" customWidth="1"/>
    <col min="1302" max="1302" width="19.125" style="22" customWidth="1"/>
    <col min="1303" max="1303" width="8.125" style="22" customWidth="1"/>
    <col min="1304" max="1304" width="8.75" style="22" customWidth="1"/>
    <col min="1305" max="1305" width="11.25" style="22" customWidth="1"/>
    <col min="1306" max="1306" width="22.875" style="22" customWidth="1"/>
    <col min="1307" max="1307" width="9.375" style="22" customWidth="1"/>
    <col min="1308" max="1308" width="9.875" style="22" customWidth="1"/>
    <col min="1309" max="1310" width="15.875" style="22" customWidth="1"/>
    <col min="1311" max="1311" width="15" style="22" customWidth="1"/>
    <col min="1312" max="1312" width="23.25" style="22" customWidth="1"/>
    <col min="1313" max="1313" width="26.375" style="22" customWidth="1"/>
    <col min="1314" max="1314" width="11.25" style="22" customWidth="1"/>
    <col min="1315" max="1315" width="19.625" style="22" customWidth="1"/>
    <col min="1316" max="1316" width="14.375" style="22" customWidth="1"/>
    <col min="1317" max="1317" width="18.375" style="22" customWidth="1"/>
    <col min="1318" max="1318" width="10.25" style="22" customWidth="1"/>
    <col min="1319" max="1319" width="36.375" style="22" customWidth="1"/>
    <col min="1320" max="1320" width="20.625" style="22" customWidth="1"/>
    <col min="1321" max="1321" width="16.375" style="22" customWidth="1"/>
    <col min="1322" max="1322" width="14.625" style="22" customWidth="1"/>
    <col min="1323" max="1323" width="10" style="22" customWidth="1"/>
    <col min="1324" max="1324" width="8" style="22" customWidth="1"/>
    <col min="1325" max="1325" width="16" style="22" customWidth="1"/>
    <col min="1326" max="1326" width="16.375" style="22" customWidth="1"/>
    <col min="1327" max="1327" width="9" style="22"/>
    <col min="1328" max="1328" width="16.25" style="22" customWidth="1"/>
    <col min="1329" max="1338" width="9" style="22"/>
    <col min="1339" max="1339" width="12.625" style="22" customWidth="1"/>
    <col min="1340" max="1340" width="22.875" style="22" customWidth="1"/>
    <col min="1341" max="1341" width="8.75" style="22" customWidth="1"/>
    <col min="1342" max="1342" width="19.75" style="22" customWidth="1"/>
    <col min="1343" max="1343" width="9.375" style="22" customWidth="1"/>
    <col min="1344" max="1344" width="9" style="22"/>
    <col min="1345" max="1345" width="10.875" style="22" customWidth="1"/>
    <col min="1346" max="1346" width="9.875" style="22" customWidth="1"/>
    <col min="1347" max="1541" width="9" style="22"/>
    <col min="1542" max="1542" width="4" style="22" customWidth="1"/>
    <col min="1543" max="1543" width="5.875" style="22" customWidth="1"/>
    <col min="1544" max="1544" width="6.375" style="22" customWidth="1"/>
    <col min="1545" max="1545" width="20.25" style="22" customWidth="1"/>
    <col min="1546" max="1546" width="7.375" style="22" customWidth="1"/>
    <col min="1547" max="1547" width="12.75" style="22" customWidth="1"/>
    <col min="1548" max="1548" width="5.875" style="22" customWidth="1"/>
    <col min="1549" max="1549" width="8.75" style="22" customWidth="1"/>
    <col min="1550" max="1550" width="25.625" style="22" customWidth="1"/>
    <col min="1551" max="1551" width="6" style="22" customWidth="1"/>
    <col min="1552" max="1552" width="7.375" style="22" customWidth="1"/>
    <col min="1553" max="1553" width="7.125" style="22" customWidth="1"/>
    <col min="1554" max="1554" width="7" style="22" customWidth="1"/>
    <col min="1555" max="1555" width="6" style="22" customWidth="1"/>
    <col min="1556" max="1556" width="6.25" style="22" customWidth="1"/>
    <col min="1557" max="1557" width="6.375" style="22" customWidth="1"/>
    <col min="1558" max="1558" width="19.125" style="22" customWidth="1"/>
    <col min="1559" max="1559" width="8.125" style="22" customWidth="1"/>
    <col min="1560" max="1560" width="8.75" style="22" customWidth="1"/>
    <col min="1561" max="1561" width="11.25" style="22" customWidth="1"/>
    <col min="1562" max="1562" width="22.875" style="22" customWidth="1"/>
    <col min="1563" max="1563" width="9.375" style="22" customWidth="1"/>
    <col min="1564" max="1564" width="9.875" style="22" customWidth="1"/>
    <col min="1565" max="1566" width="15.875" style="22" customWidth="1"/>
    <col min="1567" max="1567" width="15" style="22" customWidth="1"/>
    <col min="1568" max="1568" width="23.25" style="22" customWidth="1"/>
    <col min="1569" max="1569" width="26.375" style="22" customWidth="1"/>
    <col min="1570" max="1570" width="11.25" style="22" customWidth="1"/>
    <col min="1571" max="1571" width="19.625" style="22" customWidth="1"/>
    <col min="1572" max="1572" width="14.375" style="22" customWidth="1"/>
    <col min="1573" max="1573" width="18.375" style="22" customWidth="1"/>
    <col min="1574" max="1574" width="10.25" style="22" customWidth="1"/>
    <col min="1575" max="1575" width="36.375" style="22" customWidth="1"/>
    <col min="1576" max="1576" width="20.625" style="22" customWidth="1"/>
    <col min="1577" max="1577" width="16.375" style="22" customWidth="1"/>
    <col min="1578" max="1578" width="14.625" style="22" customWidth="1"/>
    <col min="1579" max="1579" width="10" style="22" customWidth="1"/>
    <col min="1580" max="1580" width="8" style="22" customWidth="1"/>
    <col min="1581" max="1581" width="16" style="22" customWidth="1"/>
    <col min="1582" max="1582" width="16.375" style="22" customWidth="1"/>
    <col min="1583" max="1583" width="9" style="22"/>
    <col min="1584" max="1584" width="16.25" style="22" customWidth="1"/>
    <col min="1585" max="1594" width="9" style="22"/>
    <col min="1595" max="1595" width="12.625" style="22" customWidth="1"/>
    <col min="1596" max="1596" width="22.875" style="22" customWidth="1"/>
    <col min="1597" max="1597" width="8.75" style="22" customWidth="1"/>
    <col min="1598" max="1598" width="19.75" style="22" customWidth="1"/>
    <col min="1599" max="1599" width="9.375" style="22" customWidth="1"/>
    <col min="1600" max="1600" width="9" style="22"/>
    <col min="1601" max="1601" width="10.875" style="22" customWidth="1"/>
    <col min="1602" max="1602" width="9.875" style="22" customWidth="1"/>
    <col min="1603" max="1797" width="9" style="22"/>
    <col min="1798" max="1798" width="4" style="22" customWidth="1"/>
    <col min="1799" max="1799" width="5.875" style="22" customWidth="1"/>
    <col min="1800" max="1800" width="6.375" style="22" customWidth="1"/>
    <col min="1801" max="1801" width="20.25" style="22" customWidth="1"/>
    <col min="1802" max="1802" width="7.375" style="22" customWidth="1"/>
    <col min="1803" max="1803" width="12.75" style="22" customWidth="1"/>
    <col min="1804" max="1804" width="5.875" style="22" customWidth="1"/>
    <col min="1805" max="1805" width="8.75" style="22" customWidth="1"/>
    <col min="1806" max="1806" width="25.625" style="22" customWidth="1"/>
    <col min="1807" max="1807" width="6" style="22" customWidth="1"/>
    <col min="1808" max="1808" width="7.375" style="22" customWidth="1"/>
    <col min="1809" max="1809" width="7.125" style="22" customWidth="1"/>
    <col min="1810" max="1810" width="7" style="22" customWidth="1"/>
    <col min="1811" max="1811" width="6" style="22" customWidth="1"/>
    <col min="1812" max="1812" width="6.25" style="22" customWidth="1"/>
    <col min="1813" max="1813" width="6.375" style="22" customWidth="1"/>
    <col min="1814" max="1814" width="19.125" style="22" customWidth="1"/>
    <col min="1815" max="1815" width="8.125" style="22" customWidth="1"/>
    <col min="1816" max="1816" width="8.75" style="22" customWidth="1"/>
    <col min="1817" max="1817" width="11.25" style="22" customWidth="1"/>
    <col min="1818" max="1818" width="22.875" style="22" customWidth="1"/>
    <col min="1819" max="1819" width="9.375" style="22" customWidth="1"/>
    <col min="1820" max="1820" width="9.875" style="22" customWidth="1"/>
    <col min="1821" max="1822" width="15.875" style="22" customWidth="1"/>
    <col min="1823" max="1823" width="15" style="22" customWidth="1"/>
    <col min="1824" max="1824" width="23.25" style="22" customWidth="1"/>
    <col min="1825" max="1825" width="26.375" style="22" customWidth="1"/>
    <col min="1826" max="1826" width="11.25" style="22" customWidth="1"/>
    <col min="1827" max="1827" width="19.625" style="22" customWidth="1"/>
    <col min="1828" max="1828" width="14.375" style="22" customWidth="1"/>
    <col min="1829" max="1829" width="18.375" style="22" customWidth="1"/>
    <col min="1830" max="1830" width="10.25" style="22" customWidth="1"/>
    <col min="1831" max="1831" width="36.375" style="22" customWidth="1"/>
    <col min="1832" max="1832" width="20.625" style="22" customWidth="1"/>
    <col min="1833" max="1833" width="16.375" style="22" customWidth="1"/>
    <col min="1834" max="1834" width="14.625" style="22" customWidth="1"/>
    <col min="1835" max="1835" width="10" style="22" customWidth="1"/>
    <col min="1836" max="1836" width="8" style="22" customWidth="1"/>
    <col min="1837" max="1837" width="16" style="22" customWidth="1"/>
    <col min="1838" max="1838" width="16.375" style="22" customWidth="1"/>
    <col min="1839" max="1839" width="9" style="22"/>
    <col min="1840" max="1840" width="16.25" style="22" customWidth="1"/>
    <col min="1841" max="1850" width="9" style="22"/>
    <col min="1851" max="1851" width="12.625" style="22" customWidth="1"/>
    <col min="1852" max="1852" width="22.875" style="22" customWidth="1"/>
    <col min="1853" max="1853" width="8.75" style="22" customWidth="1"/>
    <col min="1854" max="1854" width="19.75" style="22" customWidth="1"/>
    <col min="1855" max="1855" width="9.375" style="22" customWidth="1"/>
    <col min="1856" max="1856" width="9" style="22"/>
    <col min="1857" max="1857" width="10.875" style="22" customWidth="1"/>
    <col min="1858" max="1858" width="9.875" style="22" customWidth="1"/>
    <col min="1859" max="2053" width="9" style="22"/>
    <col min="2054" max="2054" width="4" style="22" customWidth="1"/>
    <col min="2055" max="2055" width="5.875" style="22" customWidth="1"/>
    <col min="2056" max="2056" width="6.375" style="22" customWidth="1"/>
    <col min="2057" max="2057" width="20.25" style="22" customWidth="1"/>
    <col min="2058" max="2058" width="7.375" style="22" customWidth="1"/>
    <col min="2059" max="2059" width="12.75" style="22" customWidth="1"/>
    <col min="2060" max="2060" width="5.875" style="22" customWidth="1"/>
    <col min="2061" max="2061" width="8.75" style="22" customWidth="1"/>
    <col min="2062" max="2062" width="25.625" style="22" customWidth="1"/>
    <col min="2063" max="2063" width="6" style="22" customWidth="1"/>
    <col min="2064" max="2064" width="7.375" style="22" customWidth="1"/>
    <col min="2065" max="2065" width="7.125" style="22" customWidth="1"/>
    <col min="2066" max="2066" width="7" style="22" customWidth="1"/>
    <col min="2067" max="2067" width="6" style="22" customWidth="1"/>
    <col min="2068" max="2068" width="6.25" style="22" customWidth="1"/>
    <col min="2069" max="2069" width="6.375" style="22" customWidth="1"/>
    <col min="2070" max="2070" width="19.125" style="22" customWidth="1"/>
    <col min="2071" max="2071" width="8.125" style="22" customWidth="1"/>
    <col min="2072" max="2072" width="8.75" style="22" customWidth="1"/>
    <col min="2073" max="2073" width="11.25" style="22" customWidth="1"/>
    <col min="2074" max="2074" width="22.875" style="22" customWidth="1"/>
    <col min="2075" max="2075" width="9.375" style="22" customWidth="1"/>
    <col min="2076" max="2076" width="9.875" style="22" customWidth="1"/>
    <col min="2077" max="2078" width="15.875" style="22" customWidth="1"/>
    <col min="2079" max="2079" width="15" style="22" customWidth="1"/>
    <col min="2080" max="2080" width="23.25" style="22" customWidth="1"/>
    <col min="2081" max="2081" width="26.375" style="22" customWidth="1"/>
    <col min="2082" max="2082" width="11.25" style="22" customWidth="1"/>
    <col min="2083" max="2083" width="19.625" style="22" customWidth="1"/>
    <col min="2084" max="2084" width="14.375" style="22" customWidth="1"/>
    <col min="2085" max="2085" width="18.375" style="22" customWidth="1"/>
    <col min="2086" max="2086" width="10.25" style="22" customWidth="1"/>
    <col min="2087" max="2087" width="36.375" style="22" customWidth="1"/>
    <col min="2088" max="2088" width="20.625" style="22" customWidth="1"/>
    <col min="2089" max="2089" width="16.375" style="22" customWidth="1"/>
    <col min="2090" max="2090" width="14.625" style="22" customWidth="1"/>
    <col min="2091" max="2091" width="10" style="22" customWidth="1"/>
    <col min="2092" max="2092" width="8" style="22" customWidth="1"/>
    <col min="2093" max="2093" width="16" style="22" customWidth="1"/>
    <col min="2094" max="2094" width="16.375" style="22" customWidth="1"/>
    <col min="2095" max="2095" width="9" style="22"/>
    <col min="2096" max="2096" width="16.25" style="22" customWidth="1"/>
    <col min="2097" max="2106" width="9" style="22"/>
    <col min="2107" max="2107" width="12.625" style="22" customWidth="1"/>
    <col min="2108" max="2108" width="22.875" style="22" customWidth="1"/>
    <col min="2109" max="2109" width="8.75" style="22" customWidth="1"/>
    <col min="2110" max="2110" width="19.75" style="22" customWidth="1"/>
    <col min="2111" max="2111" width="9.375" style="22" customWidth="1"/>
    <col min="2112" max="2112" width="9" style="22"/>
    <col min="2113" max="2113" width="10.875" style="22" customWidth="1"/>
    <col min="2114" max="2114" width="9.875" style="22" customWidth="1"/>
    <col min="2115" max="2309" width="9" style="22"/>
    <col min="2310" max="2310" width="4" style="22" customWidth="1"/>
    <col min="2311" max="2311" width="5.875" style="22" customWidth="1"/>
    <col min="2312" max="2312" width="6.375" style="22" customWidth="1"/>
    <col min="2313" max="2313" width="20.25" style="22" customWidth="1"/>
    <col min="2314" max="2314" width="7.375" style="22" customWidth="1"/>
    <col min="2315" max="2315" width="12.75" style="22" customWidth="1"/>
    <col min="2316" max="2316" width="5.875" style="22" customWidth="1"/>
    <col min="2317" max="2317" width="8.75" style="22" customWidth="1"/>
    <col min="2318" max="2318" width="25.625" style="22" customWidth="1"/>
    <col min="2319" max="2319" width="6" style="22" customWidth="1"/>
    <col min="2320" max="2320" width="7.375" style="22" customWidth="1"/>
    <col min="2321" max="2321" width="7.125" style="22" customWidth="1"/>
    <col min="2322" max="2322" width="7" style="22" customWidth="1"/>
    <col min="2323" max="2323" width="6" style="22" customWidth="1"/>
    <col min="2324" max="2324" width="6.25" style="22" customWidth="1"/>
    <col min="2325" max="2325" width="6.375" style="22" customWidth="1"/>
    <col min="2326" max="2326" width="19.125" style="22" customWidth="1"/>
    <col min="2327" max="2327" width="8.125" style="22" customWidth="1"/>
    <col min="2328" max="2328" width="8.75" style="22" customWidth="1"/>
    <col min="2329" max="2329" width="11.25" style="22" customWidth="1"/>
    <col min="2330" max="2330" width="22.875" style="22" customWidth="1"/>
    <col min="2331" max="2331" width="9.375" style="22" customWidth="1"/>
    <col min="2332" max="2332" width="9.875" style="22" customWidth="1"/>
    <col min="2333" max="2334" width="15.875" style="22" customWidth="1"/>
    <col min="2335" max="2335" width="15" style="22" customWidth="1"/>
    <col min="2336" max="2336" width="23.25" style="22" customWidth="1"/>
    <col min="2337" max="2337" width="26.375" style="22" customWidth="1"/>
    <col min="2338" max="2338" width="11.25" style="22" customWidth="1"/>
    <col min="2339" max="2339" width="19.625" style="22" customWidth="1"/>
    <col min="2340" max="2340" width="14.375" style="22" customWidth="1"/>
    <col min="2341" max="2341" width="18.375" style="22" customWidth="1"/>
    <col min="2342" max="2342" width="10.25" style="22" customWidth="1"/>
    <col min="2343" max="2343" width="36.375" style="22" customWidth="1"/>
    <col min="2344" max="2344" width="20.625" style="22" customWidth="1"/>
    <col min="2345" max="2345" width="16.375" style="22" customWidth="1"/>
    <col min="2346" max="2346" width="14.625" style="22" customWidth="1"/>
    <col min="2347" max="2347" width="10" style="22" customWidth="1"/>
    <col min="2348" max="2348" width="8" style="22" customWidth="1"/>
    <col min="2349" max="2349" width="16" style="22" customWidth="1"/>
    <col min="2350" max="2350" width="16.375" style="22" customWidth="1"/>
    <col min="2351" max="2351" width="9" style="22"/>
    <col min="2352" max="2352" width="16.25" style="22" customWidth="1"/>
    <col min="2353" max="2362" width="9" style="22"/>
    <col min="2363" max="2363" width="12.625" style="22" customWidth="1"/>
    <col min="2364" max="2364" width="22.875" style="22" customWidth="1"/>
    <col min="2365" max="2365" width="8.75" style="22" customWidth="1"/>
    <col min="2366" max="2366" width="19.75" style="22" customWidth="1"/>
    <col min="2367" max="2367" width="9.375" style="22" customWidth="1"/>
    <col min="2368" max="2368" width="9" style="22"/>
    <col min="2369" max="2369" width="10.875" style="22" customWidth="1"/>
    <col min="2370" max="2370" width="9.875" style="22" customWidth="1"/>
    <col min="2371" max="2565" width="9" style="22"/>
    <col min="2566" max="2566" width="4" style="22" customWidth="1"/>
    <col min="2567" max="2567" width="5.875" style="22" customWidth="1"/>
    <col min="2568" max="2568" width="6.375" style="22" customWidth="1"/>
    <col min="2569" max="2569" width="20.25" style="22" customWidth="1"/>
    <col min="2570" max="2570" width="7.375" style="22" customWidth="1"/>
    <col min="2571" max="2571" width="12.75" style="22" customWidth="1"/>
    <col min="2572" max="2572" width="5.875" style="22" customWidth="1"/>
    <col min="2573" max="2573" width="8.75" style="22" customWidth="1"/>
    <col min="2574" max="2574" width="25.625" style="22" customWidth="1"/>
    <col min="2575" max="2575" width="6" style="22" customWidth="1"/>
    <col min="2576" max="2576" width="7.375" style="22" customWidth="1"/>
    <col min="2577" max="2577" width="7.125" style="22" customWidth="1"/>
    <col min="2578" max="2578" width="7" style="22" customWidth="1"/>
    <col min="2579" max="2579" width="6" style="22" customWidth="1"/>
    <col min="2580" max="2580" width="6.25" style="22" customWidth="1"/>
    <col min="2581" max="2581" width="6.375" style="22" customWidth="1"/>
    <col min="2582" max="2582" width="19.125" style="22" customWidth="1"/>
    <col min="2583" max="2583" width="8.125" style="22" customWidth="1"/>
    <col min="2584" max="2584" width="8.75" style="22" customWidth="1"/>
    <col min="2585" max="2585" width="11.25" style="22" customWidth="1"/>
    <col min="2586" max="2586" width="22.875" style="22" customWidth="1"/>
    <col min="2587" max="2587" width="9.375" style="22" customWidth="1"/>
    <col min="2588" max="2588" width="9.875" style="22" customWidth="1"/>
    <col min="2589" max="2590" width="15.875" style="22" customWidth="1"/>
    <col min="2591" max="2591" width="15" style="22" customWidth="1"/>
    <col min="2592" max="2592" width="23.25" style="22" customWidth="1"/>
    <col min="2593" max="2593" width="26.375" style="22" customWidth="1"/>
    <col min="2594" max="2594" width="11.25" style="22" customWidth="1"/>
    <col min="2595" max="2595" width="19.625" style="22" customWidth="1"/>
    <col min="2596" max="2596" width="14.375" style="22" customWidth="1"/>
    <col min="2597" max="2597" width="18.375" style="22" customWidth="1"/>
    <col min="2598" max="2598" width="10.25" style="22" customWidth="1"/>
    <col min="2599" max="2599" width="36.375" style="22" customWidth="1"/>
    <col min="2600" max="2600" width="20.625" style="22" customWidth="1"/>
    <col min="2601" max="2601" width="16.375" style="22" customWidth="1"/>
    <col min="2602" max="2602" width="14.625" style="22" customWidth="1"/>
    <col min="2603" max="2603" width="10" style="22" customWidth="1"/>
    <col min="2604" max="2604" width="8" style="22" customWidth="1"/>
    <col min="2605" max="2605" width="16" style="22" customWidth="1"/>
    <col min="2606" max="2606" width="16.375" style="22" customWidth="1"/>
    <col min="2607" max="2607" width="9" style="22"/>
    <col min="2608" max="2608" width="16.25" style="22" customWidth="1"/>
    <col min="2609" max="2618" width="9" style="22"/>
    <col min="2619" max="2619" width="12.625" style="22" customWidth="1"/>
    <col min="2620" max="2620" width="22.875" style="22" customWidth="1"/>
    <col min="2621" max="2621" width="8.75" style="22" customWidth="1"/>
    <col min="2622" max="2622" width="19.75" style="22" customWidth="1"/>
    <col min="2623" max="2623" width="9.375" style="22" customWidth="1"/>
    <col min="2624" max="2624" width="9" style="22"/>
    <col min="2625" max="2625" width="10.875" style="22" customWidth="1"/>
    <col min="2626" max="2626" width="9.875" style="22" customWidth="1"/>
    <col min="2627" max="2821" width="9" style="22"/>
    <col min="2822" max="2822" width="4" style="22" customWidth="1"/>
    <col min="2823" max="2823" width="5.875" style="22" customWidth="1"/>
    <col min="2824" max="2824" width="6.375" style="22" customWidth="1"/>
    <col min="2825" max="2825" width="20.25" style="22" customWidth="1"/>
    <col min="2826" max="2826" width="7.375" style="22" customWidth="1"/>
    <col min="2827" max="2827" width="12.75" style="22" customWidth="1"/>
    <col min="2828" max="2828" width="5.875" style="22" customWidth="1"/>
    <col min="2829" max="2829" width="8.75" style="22" customWidth="1"/>
    <col min="2830" max="2830" width="25.625" style="22" customWidth="1"/>
    <col min="2831" max="2831" width="6" style="22" customWidth="1"/>
    <col min="2832" max="2832" width="7.375" style="22" customWidth="1"/>
    <col min="2833" max="2833" width="7.125" style="22" customWidth="1"/>
    <col min="2834" max="2834" width="7" style="22" customWidth="1"/>
    <col min="2835" max="2835" width="6" style="22" customWidth="1"/>
    <col min="2836" max="2836" width="6.25" style="22" customWidth="1"/>
    <col min="2837" max="2837" width="6.375" style="22" customWidth="1"/>
    <col min="2838" max="2838" width="19.125" style="22" customWidth="1"/>
    <col min="2839" max="2839" width="8.125" style="22" customWidth="1"/>
    <col min="2840" max="2840" width="8.75" style="22" customWidth="1"/>
    <col min="2841" max="2841" width="11.25" style="22" customWidth="1"/>
    <col min="2842" max="2842" width="22.875" style="22" customWidth="1"/>
    <col min="2843" max="2843" width="9.375" style="22" customWidth="1"/>
    <col min="2844" max="2844" width="9.875" style="22" customWidth="1"/>
    <col min="2845" max="2846" width="15.875" style="22" customWidth="1"/>
    <col min="2847" max="2847" width="15" style="22" customWidth="1"/>
    <col min="2848" max="2848" width="23.25" style="22" customWidth="1"/>
    <col min="2849" max="2849" width="26.375" style="22" customWidth="1"/>
    <col min="2850" max="2850" width="11.25" style="22" customWidth="1"/>
    <col min="2851" max="2851" width="19.625" style="22" customWidth="1"/>
    <col min="2852" max="2852" width="14.375" style="22" customWidth="1"/>
    <col min="2853" max="2853" width="18.375" style="22" customWidth="1"/>
    <col min="2854" max="2854" width="10.25" style="22" customWidth="1"/>
    <col min="2855" max="2855" width="36.375" style="22" customWidth="1"/>
    <col min="2856" max="2856" width="20.625" style="22" customWidth="1"/>
    <col min="2857" max="2857" width="16.375" style="22" customWidth="1"/>
    <col min="2858" max="2858" width="14.625" style="22" customWidth="1"/>
    <col min="2859" max="2859" width="10" style="22" customWidth="1"/>
    <col min="2860" max="2860" width="8" style="22" customWidth="1"/>
    <col min="2861" max="2861" width="16" style="22" customWidth="1"/>
    <col min="2862" max="2862" width="16.375" style="22" customWidth="1"/>
    <col min="2863" max="2863" width="9" style="22"/>
    <col min="2864" max="2864" width="16.25" style="22" customWidth="1"/>
    <col min="2865" max="2874" width="9" style="22"/>
    <col min="2875" max="2875" width="12.625" style="22" customWidth="1"/>
    <col min="2876" max="2876" width="22.875" style="22" customWidth="1"/>
    <col min="2877" max="2877" width="8.75" style="22" customWidth="1"/>
    <col min="2878" max="2878" width="19.75" style="22" customWidth="1"/>
    <col min="2879" max="2879" width="9.375" style="22" customWidth="1"/>
    <col min="2880" max="2880" width="9" style="22"/>
    <col min="2881" max="2881" width="10.875" style="22" customWidth="1"/>
    <col min="2882" max="2882" width="9.875" style="22" customWidth="1"/>
    <col min="2883" max="3077" width="9" style="22"/>
    <col min="3078" max="3078" width="4" style="22" customWidth="1"/>
    <col min="3079" max="3079" width="5.875" style="22" customWidth="1"/>
    <col min="3080" max="3080" width="6.375" style="22" customWidth="1"/>
    <col min="3081" max="3081" width="20.25" style="22" customWidth="1"/>
    <col min="3082" max="3082" width="7.375" style="22" customWidth="1"/>
    <col min="3083" max="3083" width="12.75" style="22" customWidth="1"/>
    <col min="3084" max="3084" width="5.875" style="22" customWidth="1"/>
    <col min="3085" max="3085" width="8.75" style="22" customWidth="1"/>
    <col min="3086" max="3086" width="25.625" style="22" customWidth="1"/>
    <col min="3087" max="3087" width="6" style="22" customWidth="1"/>
    <col min="3088" max="3088" width="7.375" style="22" customWidth="1"/>
    <col min="3089" max="3089" width="7.125" style="22" customWidth="1"/>
    <col min="3090" max="3090" width="7" style="22" customWidth="1"/>
    <col min="3091" max="3091" width="6" style="22" customWidth="1"/>
    <col min="3092" max="3092" width="6.25" style="22" customWidth="1"/>
    <col min="3093" max="3093" width="6.375" style="22" customWidth="1"/>
    <col min="3094" max="3094" width="19.125" style="22" customWidth="1"/>
    <col min="3095" max="3095" width="8.125" style="22" customWidth="1"/>
    <col min="3096" max="3096" width="8.75" style="22" customWidth="1"/>
    <col min="3097" max="3097" width="11.25" style="22" customWidth="1"/>
    <col min="3098" max="3098" width="22.875" style="22" customWidth="1"/>
    <col min="3099" max="3099" width="9.375" style="22" customWidth="1"/>
    <col min="3100" max="3100" width="9.875" style="22" customWidth="1"/>
    <col min="3101" max="3102" width="15.875" style="22" customWidth="1"/>
    <col min="3103" max="3103" width="15" style="22" customWidth="1"/>
    <col min="3104" max="3104" width="23.25" style="22" customWidth="1"/>
    <col min="3105" max="3105" width="26.375" style="22" customWidth="1"/>
    <col min="3106" max="3106" width="11.25" style="22" customWidth="1"/>
    <col min="3107" max="3107" width="19.625" style="22" customWidth="1"/>
    <col min="3108" max="3108" width="14.375" style="22" customWidth="1"/>
    <col min="3109" max="3109" width="18.375" style="22" customWidth="1"/>
    <col min="3110" max="3110" width="10.25" style="22" customWidth="1"/>
    <col min="3111" max="3111" width="36.375" style="22" customWidth="1"/>
    <col min="3112" max="3112" width="20.625" style="22" customWidth="1"/>
    <col min="3113" max="3113" width="16.375" style="22" customWidth="1"/>
    <col min="3114" max="3114" width="14.625" style="22" customWidth="1"/>
    <col min="3115" max="3115" width="10" style="22" customWidth="1"/>
    <col min="3116" max="3116" width="8" style="22" customWidth="1"/>
    <col min="3117" max="3117" width="16" style="22" customWidth="1"/>
    <col min="3118" max="3118" width="16.375" style="22" customWidth="1"/>
    <col min="3119" max="3119" width="9" style="22"/>
    <col min="3120" max="3120" width="16.25" style="22" customWidth="1"/>
    <col min="3121" max="3130" width="9" style="22"/>
    <col min="3131" max="3131" width="12.625" style="22" customWidth="1"/>
    <col min="3132" max="3132" width="22.875" style="22" customWidth="1"/>
    <col min="3133" max="3133" width="8.75" style="22" customWidth="1"/>
    <col min="3134" max="3134" width="19.75" style="22" customWidth="1"/>
    <col min="3135" max="3135" width="9.375" style="22" customWidth="1"/>
    <col min="3136" max="3136" width="9" style="22"/>
    <col min="3137" max="3137" width="10.875" style="22" customWidth="1"/>
    <col min="3138" max="3138" width="9.875" style="22" customWidth="1"/>
    <col min="3139" max="3333" width="9" style="22"/>
    <col min="3334" max="3334" width="4" style="22" customWidth="1"/>
    <col min="3335" max="3335" width="5.875" style="22" customWidth="1"/>
    <col min="3336" max="3336" width="6.375" style="22" customWidth="1"/>
    <col min="3337" max="3337" width="20.25" style="22" customWidth="1"/>
    <col min="3338" max="3338" width="7.375" style="22" customWidth="1"/>
    <col min="3339" max="3339" width="12.75" style="22" customWidth="1"/>
    <col min="3340" max="3340" width="5.875" style="22" customWidth="1"/>
    <col min="3341" max="3341" width="8.75" style="22" customWidth="1"/>
    <col min="3342" max="3342" width="25.625" style="22" customWidth="1"/>
    <col min="3343" max="3343" width="6" style="22" customWidth="1"/>
    <col min="3344" max="3344" width="7.375" style="22" customWidth="1"/>
    <col min="3345" max="3345" width="7.125" style="22" customWidth="1"/>
    <col min="3346" max="3346" width="7" style="22" customWidth="1"/>
    <col min="3347" max="3347" width="6" style="22" customWidth="1"/>
    <col min="3348" max="3348" width="6.25" style="22" customWidth="1"/>
    <col min="3349" max="3349" width="6.375" style="22" customWidth="1"/>
    <col min="3350" max="3350" width="19.125" style="22" customWidth="1"/>
    <col min="3351" max="3351" width="8.125" style="22" customWidth="1"/>
    <col min="3352" max="3352" width="8.75" style="22" customWidth="1"/>
    <col min="3353" max="3353" width="11.25" style="22" customWidth="1"/>
    <col min="3354" max="3354" width="22.875" style="22" customWidth="1"/>
    <col min="3355" max="3355" width="9.375" style="22" customWidth="1"/>
    <col min="3356" max="3356" width="9.875" style="22" customWidth="1"/>
    <col min="3357" max="3358" width="15.875" style="22" customWidth="1"/>
    <col min="3359" max="3359" width="15" style="22" customWidth="1"/>
    <col min="3360" max="3360" width="23.25" style="22" customWidth="1"/>
    <col min="3361" max="3361" width="26.375" style="22" customWidth="1"/>
    <col min="3362" max="3362" width="11.25" style="22" customWidth="1"/>
    <col min="3363" max="3363" width="19.625" style="22" customWidth="1"/>
    <col min="3364" max="3364" width="14.375" style="22" customWidth="1"/>
    <col min="3365" max="3365" width="18.375" style="22" customWidth="1"/>
    <col min="3366" max="3366" width="10.25" style="22" customWidth="1"/>
    <col min="3367" max="3367" width="36.375" style="22" customWidth="1"/>
    <col min="3368" max="3368" width="20.625" style="22" customWidth="1"/>
    <col min="3369" max="3369" width="16.375" style="22" customWidth="1"/>
    <col min="3370" max="3370" width="14.625" style="22" customWidth="1"/>
    <col min="3371" max="3371" width="10" style="22" customWidth="1"/>
    <col min="3372" max="3372" width="8" style="22" customWidth="1"/>
    <col min="3373" max="3373" width="16" style="22" customWidth="1"/>
    <col min="3374" max="3374" width="16.375" style="22" customWidth="1"/>
    <col min="3375" max="3375" width="9" style="22"/>
    <col min="3376" max="3376" width="16.25" style="22" customWidth="1"/>
    <col min="3377" max="3386" width="9" style="22"/>
    <col min="3387" max="3387" width="12.625" style="22" customWidth="1"/>
    <col min="3388" max="3388" width="22.875" style="22" customWidth="1"/>
    <col min="3389" max="3389" width="8.75" style="22" customWidth="1"/>
    <col min="3390" max="3390" width="19.75" style="22" customWidth="1"/>
    <col min="3391" max="3391" width="9.375" style="22" customWidth="1"/>
    <col min="3392" max="3392" width="9" style="22"/>
    <col min="3393" max="3393" width="10.875" style="22" customWidth="1"/>
    <col min="3394" max="3394" width="9.875" style="22" customWidth="1"/>
    <col min="3395" max="3589" width="9" style="22"/>
    <col min="3590" max="3590" width="4" style="22" customWidth="1"/>
    <col min="3591" max="3591" width="5.875" style="22" customWidth="1"/>
    <col min="3592" max="3592" width="6.375" style="22" customWidth="1"/>
    <col min="3593" max="3593" width="20.25" style="22" customWidth="1"/>
    <col min="3594" max="3594" width="7.375" style="22" customWidth="1"/>
    <col min="3595" max="3595" width="12.75" style="22" customWidth="1"/>
    <col min="3596" max="3596" width="5.875" style="22" customWidth="1"/>
    <col min="3597" max="3597" width="8.75" style="22" customWidth="1"/>
    <col min="3598" max="3598" width="25.625" style="22" customWidth="1"/>
    <col min="3599" max="3599" width="6" style="22" customWidth="1"/>
    <col min="3600" max="3600" width="7.375" style="22" customWidth="1"/>
    <col min="3601" max="3601" width="7.125" style="22" customWidth="1"/>
    <col min="3602" max="3602" width="7" style="22" customWidth="1"/>
    <col min="3603" max="3603" width="6" style="22" customWidth="1"/>
    <col min="3604" max="3604" width="6.25" style="22" customWidth="1"/>
    <col min="3605" max="3605" width="6.375" style="22" customWidth="1"/>
    <col min="3606" max="3606" width="19.125" style="22" customWidth="1"/>
    <col min="3607" max="3607" width="8.125" style="22" customWidth="1"/>
    <col min="3608" max="3608" width="8.75" style="22" customWidth="1"/>
    <col min="3609" max="3609" width="11.25" style="22" customWidth="1"/>
    <col min="3610" max="3610" width="22.875" style="22" customWidth="1"/>
    <col min="3611" max="3611" width="9.375" style="22" customWidth="1"/>
    <col min="3612" max="3612" width="9.875" style="22" customWidth="1"/>
    <col min="3613" max="3614" width="15.875" style="22" customWidth="1"/>
    <col min="3615" max="3615" width="15" style="22" customWidth="1"/>
    <col min="3616" max="3616" width="23.25" style="22" customWidth="1"/>
    <col min="3617" max="3617" width="26.375" style="22" customWidth="1"/>
    <col min="3618" max="3618" width="11.25" style="22" customWidth="1"/>
    <col min="3619" max="3619" width="19.625" style="22" customWidth="1"/>
    <col min="3620" max="3620" width="14.375" style="22" customWidth="1"/>
    <col min="3621" max="3621" width="18.375" style="22" customWidth="1"/>
    <col min="3622" max="3622" width="10.25" style="22" customWidth="1"/>
    <col min="3623" max="3623" width="36.375" style="22" customWidth="1"/>
    <col min="3624" max="3624" width="20.625" style="22" customWidth="1"/>
    <col min="3625" max="3625" width="16.375" style="22" customWidth="1"/>
    <col min="3626" max="3626" width="14.625" style="22" customWidth="1"/>
    <col min="3627" max="3627" width="10" style="22" customWidth="1"/>
    <col min="3628" max="3628" width="8" style="22" customWidth="1"/>
    <col min="3629" max="3629" width="16" style="22" customWidth="1"/>
    <col min="3630" max="3630" width="16.375" style="22" customWidth="1"/>
    <col min="3631" max="3631" width="9" style="22"/>
    <col min="3632" max="3632" width="16.25" style="22" customWidth="1"/>
    <col min="3633" max="3642" width="9" style="22"/>
    <col min="3643" max="3643" width="12.625" style="22" customWidth="1"/>
    <col min="3644" max="3644" width="22.875" style="22" customWidth="1"/>
    <col min="3645" max="3645" width="8.75" style="22" customWidth="1"/>
    <col min="3646" max="3646" width="19.75" style="22" customWidth="1"/>
    <col min="3647" max="3647" width="9.375" style="22" customWidth="1"/>
    <col min="3648" max="3648" width="9" style="22"/>
    <col min="3649" max="3649" width="10.875" style="22" customWidth="1"/>
    <col min="3650" max="3650" width="9.875" style="22" customWidth="1"/>
    <col min="3651" max="3845" width="9" style="22"/>
    <col min="3846" max="3846" width="4" style="22" customWidth="1"/>
    <col min="3847" max="3847" width="5.875" style="22" customWidth="1"/>
    <col min="3848" max="3848" width="6.375" style="22" customWidth="1"/>
    <col min="3849" max="3849" width="20.25" style="22" customWidth="1"/>
    <col min="3850" max="3850" width="7.375" style="22" customWidth="1"/>
    <col min="3851" max="3851" width="12.75" style="22" customWidth="1"/>
    <col min="3852" max="3852" width="5.875" style="22" customWidth="1"/>
    <col min="3853" max="3853" width="8.75" style="22" customWidth="1"/>
    <col min="3854" max="3854" width="25.625" style="22" customWidth="1"/>
    <col min="3855" max="3855" width="6" style="22" customWidth="1"/>
    <col min="3856" max="3856" width="7.375" style="22" customWidth="1"/>
    <col min="3857" max="3857" width="7.125" style="22" customWidth="1"/>
    <col min="3858" max="3858" width="7" style="22" customWidth="1"/>
    <col min="3859" max="3859" width="6" style="22" customWidth="1"/>
    <col min="3860" max="3860" width="6.25" style="22" customWidth="1"/>
    <col min="3861" max="3861" width="6.375" style="22" customWidth="1"/>
    <col min="3862" max="3862" width="19.125" style="22" customWidth="1"/>
    <col min="3863" max="3863" width="8.125" style="22" customWidth="1"/>
    <col min="3864" max="3864" width="8.75" style="22" customWidth="1"/>
    <col min="3865" max="3865" width="11.25" style="22" customWidth="1"/>
    <col min="3866" max="3866" width="22.875" style="22" customWidth="1"/>
    <col min="3867" max="3867" width="9.375" style="22" customWidth="1"/>
    <col min="3868" max="3868" width="9.875" style="22" customWidth="1"/>
    <col min="3869" max="3870" width="15.875" style="22" customWidth="1"/>
    <col min="3871" max="3871" width="15" style="22" customWidth="1"/>
    <col min="3872" max="3872" width="23.25" style="22" customWidth="1"/>
    <col min="3873" max="3873" width="26.375" style="22" customWidth="1"/>
    <col min="3874" max="3874" width="11.25" style="22" customWidth="1"/>
    <col min="3875" max="3875" width="19.625" style="22" customWidth="1"/>
    <col min="3876" max="3876" width="14.375" style="22" customWidth="1"/>
    <col min="3877" max="3877" width="18.375" style="22" customWidth="1"/>
    <col min="3878" max="3878" width="10.25" style="22" customWidth="1"/>
    <col min="3879" max="3879" width="36.375" style="22" customWidth="1"/>
    <col min="3880" max="3880" width="20.625" style="22" customWidth="1"/>
    <col min="3881" max="3881" width="16.375" style="22" customWidth="1"/>
    <col min="3882" max="3882" width="14.625" style="22" customWidth="1"/>
    <col min="3883" max="3883" width="10" style="22" customWidth="1"/>
    <col min="3884" max="3884" width="8" style="22" customWidth="1"/>
    <col min="3885" max="3885" width="16" style="22" customWidth="1"/>
    <col min="3886" max="3886" width="16.375" style="22" customWidth="1"/>
    <col min="3887" max="3887" width="9" style="22"/>
    <col min="3888" max="3888" width="16.25" style="22" customWidth="1"/>
    <col min="3889" max="3898" width="9" style="22"/>
    <col min="3899" max="3899" width="12.625" style="22" customWidth="1"/>
    <col min="3900" max="3900" width="22.875" style="22" customWidth="1"/>
    <col min="3901" max="3901" width="8.75" style="22" customWidth="1"/>
    <col min="3902" max="3902" width="19.75" style="22" customWidth="1"/>
    <col min="3903" max="3903" width="9.375" style="22" customWidth="1"/>
    <col min="3904" max="3904" width="9" style="22"/>
    <col min="3905" max="3905" width="10.875" style="22" customWidth="1"/>
    <col min="3906" max="3906" width="9.875" style="22" customWidth="1"/>
    <col min="3907" max="4101" width="9" style="22"/>
    <col min="4102" max="4102" width="4" style="22" customWidth="1"/>
    <col min="4103" max="4103" width="5.875" style="22" customWidth="1"/>
    <col min="4104" max="4104" width="6.375" style="22" customWidth="1"/>
    <col min="4105" max="4105" width="20.25" style="22" customWidth="1"/>
    <col min="4106" max="4106" width="7.375" style="22" customWidth="1"/>
    <col min="4107" max="4107" width="12.75" style="22" customWidth="1"/>
    <col min="4108" max="4108" width="5.875" style="22" customWidth="1"/>
    <col min="4109" max="4109" width="8.75" style="22" customWidth="1"/>
    <col min="4110" max="4110" width="25.625" style="22" customWidth="1"/>
    <col min="4111" max="4111" width="6" style="22" customWidth="1"/>
    <col min="4112" max="4112" width="7.375" style="22" customWidth="1"/>
    <col min="4113" max="4113" width="7.125" style="22" customWidth="1"/>
    <col min="4114" max="4114" width="7" style="22" customWidth="1"/>
    <col min="4115" max="4115" width="6" style="22" customWidth="1"/>
    <col min="4116" max="4116" width="6.25" style="22" customWidth="1"/>
    <col min="4117" max="4117" width="6.375" style="22" customWidth="1"/>
    <col min="4118" max="4118" width="19.125" style="22" customWidth="1"/>
    <col min="4119" max="4119" width="8.125" style="22" customWidth="1"/>
    <col min="4120" max="4120" width="8.75" style="22" customWidth="1"/>
    <col min="4121" max="4121" width="11.25" style="22" customWidth="1"/>
    <col min="4122" max="4122" width="22.875" style="22" customWidth="1"/>
    <col min="4123" max="4123" width="9.375" style="22" customWidth="1"/>
    <col min="4124" max="4124" width="9.875" style="22" customWidth="1"/>
    <col min="4125" max="4126" width="15.875" style="22" customWidth="1"/>
    <col min="4127" max="4127" width="15" style="22" customWidth="1"/>
    <col min="4128" max="4128" width="23.25" style="22" customWidth="1"/>
    <col min="4129" max="4129" width="26.375" style="22" customWidth="1"/>
    <col min="4130" max="4130" width="11.25" style="22" customWidth="1"/>
    <col min="4131" max="4131" width="19.625" style="22" customWidth="1"/>
    <col min="4132" max="4132" width="14.375" style="22" customWidth="1"/>
    <col min="4133" max="4133" width="18.375" style="22" customWidth="1"/>
    <col min="4134" max="4134" width="10.25" style="22" customWidth="1"/>
    <col min="4135" max="4135" width="36.375" style="22" customWidth="1"/>
    <col min="4136" max="4136" width="20.625" style="22" customWidth="1"/>
    <col min="4137" max="4137" width="16.375" style="22" customWidth="1"/>
    <col min="4138" max="4138" width="14.625" style="22" customWidth="1"/>
    <col min="4139" max="4139" width="10" style="22" customWidth="1"/>
    <col min="4140" max="4140" width="8" style="22" customWidth="1"/>
    <col min="4141" max="4141" width="16" style="22" customWidth="1"/>
    <col min="4142" max="4142" width="16.375" style="22" customWidth="1"/>
    <col min="4143" max="4143" width="9" style="22"/>
    <col min="4144" max="4144" width="16.25" style="22" customWidth="1"/>
    <col min="4145" max="4154" width="9" style="22"/>
    <col min="4155" max="4155" width="12.625" style="22" customWidth="1"/>
    <col min="4156" max="4156" width="22.875" style="22" customWidth="1"/>
    <col min="4157" max="4157" width="8.75" style="22" customWidth="1"/>
    <col min="4158" max="4158" width="19.75" style="22" customWidth="1"/>
    <col min="4159" max="4159" width="9.375" style="22" customWidth="1"/>
    <col min="4160" max="4160" width="9" style="22"/>
    <col min="4161" max="4161" width="10.875" style="22" customWidth="1"/>
    <col min="4162" max="4162" width="9.875" style="22" customWidth="1"/>
    <col min="4163" max="4357" width="9" style="22"/>
    <col min="4358" max="4358" width="4" style="22" customWidth="1"/>
    <col min="4359" max="4359" width="5.875" style="22" customWidth="1"/>
    <col min="4360" max="4360" width="6.375" style="22" customWidth="1"/>
    <col min="4361" max="4361" width="20.25" style="22" customWidth="1"/>
    <col min="4362" max="4362" width="7.375" style="22" customWidth="1"/>
    <col min="4363" max="4363" width="12.75" style="22" customWidth="1"/>
    <col min="4364" max="4364" width="5.875" style="22" customWidth="1"/>
    <col min="4365" max="4365" width="8.75" style="22" customWidth="1"/>
    <col min="4366" max="4366" width="25.625" style="22" customWidth="1"/>
    <col min="4367" max="4367" width="6" style="22" customWidth="1"/>
    <col min="4368" max="4368" width="7.375" style="22" customWidth="1"/>
    <col min="4369" max="4369" width="7.125" style="22" customWidth="1"/>
    <col min="4370" max="4370" width="7" style="22" customWidth="1"/>
    <col min="4371" max="4371" width="6" style="22" customWidth="1"/>
    <col min="4372" max="4372" width="6.25" style="22" customWidth="1"/>
    <col min="4373" max="4373" width="6.375" style="22" customWidth="1"/>
    <col min="4374" max="4374" width="19.125" style="22" customWidth="1"/>
    <col min="4375" max="4375" width="8.125" style="22" customWidth="1"/>
    <col min="4376" max="4376" width="8.75" style="22" customWidth="1"/>
    <col min="4377" max="4377" width="11.25" style="22" customWidth="1"/>
    <col min="4378" max="4378" width="22.875" style="22" customWidth="1"/>
    <col min="4379" max="4379" width="9.375" style="22" customWidth="1"/>
    <col min="4380" max="4380" width="9.875" style="22" customWidth="1"/>
    <col min="4381" max="4382" width="15.875" style="22" customWidth="1"/>
    <col min="4383" max="4383" width="15" style="22" customWidth="1"/>
    <col min="4384" max="4384" width="23.25" style="22" customWidth="1"/>
    <col min="4385" max="4385" width="26.375" style="22" customWidth="1"/>
    <col min="4386" max="4386" width="11.25" style="22" customWidth="1"/>
    <col min="4387" max="4387" width="19.625" style="22" customWidth="1"/>
    <col min="4388" max="4388" width="14.375" style="22" customWidth="1"/>
    <col min="4389" max="4389" width="18.375" style="22" customWidth="1"/>
    <col min="4390" max="4390" width="10.25" style="22" customWidth="1"/>
    <col min="4391" max="4391" width="36.375" style="22" customWidth="1"/>
    <col min="4392" max="4392" width="20.625" style="22" customWidth="1"/>
    <col min="4393" max="4393" width="16.375" style="22" customWidth="1"/>
    <col min="4394" max="4394" width="14.625" style="22" customWidth="1"/>
    <col min="4395" max="4395" width="10" style="22" customWidth="1"/>
    <col min="4396" max="4396" width="8" style="22" customWidth="1"/>
    <col min="4397" max="4397" width="16" style="22" customWidth="1"/>
    <col min="4398" max="4398" width="16.375" style="22" customWidth="1"/>
    <col min="4399" max="4399" width="9" style="22"/>
    <col min="4400" max="4400" width="16.25" style="22" customWidth="1"/>
    <col min="4401" max="4410" width="9" style="22"/>
    <col min="4411" max="4411" width="12.625" style="22" customWidth="1"/>
    <col min="4412" max="4412" width="22.875" style="22" customWidth="1"/>
    <col min="4413" max="4413" width="8.75" style="22" customWidth="1"/>
    <col min="4414" max="4414" width="19.75" style="22" customWidth="1"/>
    <col min="4415" max="4415" width="9.375" style="22" customWidth="1"/>
    <col min="4416" max="4416" width="9" style="22"/>
    <col min="4417" max="4417" width="10.875" style="22" customWidth="1"/>
    <col min="4418" max="4418" width="9.875" style="22" customWidth="1"/>
    <col min="4419" max="4613" width="9" style="22"/>
    <col min="4614" max="4614" width="4" style="22" customWidth="1"/>
    <col min="4615" max="4615" width="5.875" style="22" customWidth="1"/>
    <col min="4616" max="4616" width="6.375" style="22" customWidth="1"/>
    <col min="4617" max="4617" width="20.25" style="22" customWidth="1"/>
    <col min="4618" max="4618" width="7.375" style="22" customWidth="1"/>
    <col min="4619" max="4619" width="12.75" style="22" customWidth="1"/>
    <col min="4620" max="4620" width="5.875" style="22" customWidth="1"/>
    <col min="4621" max="4621" width="8.75" style="22" customWidth="1"/>
    <col min="4622" max="4622" width="25.625" style="22" customWidth="1"/>
    <col min="4623" max="4623" width="6" style="22" customWidth="1"/>
    <col min="4624" max="4624" width="7.375" style="22" customWidth="1"/>
    <col min="4625" max="4625" width="7.125" style="22" customWidth="1"/>
    <col min="4626" max="4626" width="7" style="22" customWidth="1"/>
    <col min="4627" max="4627" width="6" style="22" customWidth="1"/>
    <col min="4628" max="4628" width="6.25" style="22" customWidth="1"/>
    <col min="4629" max="4629" width="6.375" style="22" customWidth="1"/>
    <col min="4630" max="4630" width="19.125" style="22" customWidth="1"/>
    <col min="4631" max="4631" width="8.125" style="22" customWidth="1"/>
    <col min="4632" max="4632" width="8.75" style="22" customWidth="1"/>
    <col min="4633" max="4633" width="11.25" style="22" customWidth="1"/>
    <col min="4634" max="4634" width="22.875" style="22" customWidth="1"/>
    <col min="4635" max="4635" width="9.375" style="22" customWidth="1"/>
    <col min="4636" max="4636" width="9.875" style="22" customWidth="1"/>
    <col min="4637" max="4638" width="15.875" style="22" customWidth="1"/>
    <col min="4639" max="4639" width="15" style="22" customWidth="1"/>
    <col min="4640" max="4640" width="23.25" style="22" customWidth="1"/>
    <col min="4641" max="4641" width="26.375" style="22" customWidth="1"/>
    <col min="4642" max="4642" width="11.25" style="22" customWidth="1"/>
    <col min="4643" max="4643" width="19.625" style="22" customWidth="1"/>
    <col min="4644" max="4644" width="14.375" style="22" customWidth="1"/>
    <col min="4645" max="4645" width="18.375" style="22" customWidth="1"/>
    <col min="4646" max="4646" width="10.25" style="22" customWidth="1"/>
    <col min="4647" max="4647" width="36.375" style="22" customWidth="1"/>
    <col min="4648" max="4648" width="20.625" style="22" customWidth="1"/>
    <col min="4649" max="4649" width="16.375" style="22" customWidth="1"/>
    <col min="4650" max="4650" width="14.625" style="22" customWidth="1"/>
    <col min="4651" max="4651" width="10" style="22" customWidth="1"/>
    <col min="4652" max="4652" width="8" style="22" customWidth="1"/>
    <col min="4653" max="4653" width="16" style="22" customWidth="1"/>
    <col min="4654" max="4654" width="16.375" style="22" customWidth="1"/>
    <col min="4655" max="4655" width="9" style="22"/>
    <col min="4656" max="4656" width="16.25" style="22" customWidth="1"/>
    <col min="4657" max="4666" width="9" style="22"/>
    <col min="4667" max="4667" width="12.625" style="22" customWidth="1"/>
    <col min="4668" max="4668" width="22.875" style="22" customWidth="1"/>
    <col min="4669" max="4669" width="8.75" style="22" customWidth="1"/>
    <col min="4670" max="4670" width="19.75" style="22" customWidth="1"/>
    <col min="4671" max="4671" width="9.375" style="22" customWidth="1"/>
    <col min="4672" max="4672" width="9" style="22"/>
    <col min="4673" max="4673" width="10.875" style="22" customWidth="1"/>
    <col min="4674" max="4674" width="9.875" style="22" customWidth="1"/>
    <col min="4675" max="4869" width="9" style="22"/>
    <col min="4870" max="4870" width="4" style="22" customWidth="1"/>
    <col min="4871" max="4871" width="5.875" style="22" customWidth="1"/>
    <col min="4872" max="4872" width="6.375" style="22" customWidth="1"/>
    <col min="4873" max="4873" width="20.25" style="22" customWidth="1"/>
    <col min="4874" max="4874" width="7.375" style="22" customWidth="1"/>
    <col min="4875" max="4875" width="12.75" style="22" customWidth="1"/>
    <col min="4876" max="4876" width="5.875" style="22" customWidth="1"/>
    <col min="4877" max="4877" width="8.75" style="22" customWidth="1"/>
    <col min="4878" max="4878" width="25.625" style="22" customWidth="1"/>
    <col min="4879" max="4879" width="6" style="22" customWidth="1"/>
    <col min="4880" max="4880" width="7.375" style="22" customWidth="1"/>
    <col min="4881" max="4881" width="7.125" style="22" customWidth="1"/>
    <col min="4882" max="4882" width="7" style="22" customWidth="1"/>
    <col min="4883" max="4883" width="6" style="22" customWidth="1"/>
    <col min="4884" max="4884" width="6.25" style="22" customWidth="1"/>
    <col min="4885" max="4885" width="6.375" style="22" customWidth="1"/>
    <col min="4886" max="4886" width="19.125" style="22" customWidth="1"/>
    <col min="4887" max="4887" width="8.125" style="22" customWidth="1"/>
    <col min="4888" max="4888" width="8.75" style="22" customWidth="1"/>
    <col min="4889" max="4889" width="11.25" style="22" customWidth="1"/>
    <col min="4890" max="4890" width="22.875" style="22" customWidth="1"/>
    <col min="4891" max="4891" width="9.375" style="22" customWidth="1"/>
    <col min="4892" max="4892" width="9.875" style="22" customWidth="1"/>
    <col min="4893" max="4894" width="15.875" style="22" customWidth="1"/>
    <col min="4895" max="4895" width="15" style="22" customWidth="1"/>
    <col min="4896" max="4896" width="23.25" style="22" customWidth="1"/>
    <col min="4897" max="4897" width="26.375" style="22" customWidth="1"/>
    <col min="4898" max="4898" width="11.25" style="22" customWidth="1"/>
    <col min="4899" max="4899" width="19.625" style="22" customWidth="1"/>
    <col min="4900" max="4900" width="14.375" style="22" customWidth="1"/>
    <col min="4901" max="4901" width="18.375" style="22" customWidth="1"/>
    <col min="4902" max="4902" width="10.25" style="22" customWidth="1"/>
    <col min="4903" max="4903" width="36.375" style="22" customWidth="1"/>
    <col min="4904" max="4904" width="20.625" style="22" customWidth="1"/>
    <col min="4905" max="4905" width="16.375" style="22" customWidth="1"/>
    <col min="4906" max="4906" width="14.625" style="22" customWidth="1"/>
    <col min="4907" max="4907" width="10" style="22" customWidth="1"/>
    <col min="4908" max="4908" width="8" style="22" customWidth="1"/>
    <col min="4909" max="4909" width="16" style="22" customWidth="1"/>
    <col min="4910" max="4910" width="16.375" style="22" customWidth="1"/>
    <col min="4911" max="4911" width="9" style="22"/>
    <col min="4912" max="4912" width="16.25" style="22" customWidth="1"/>
    <col min="4913" max="4922" width="9" style="22"/>
    <col min="4923" max="4923" width="12.625" style="22" customWidth="1"/>
    <col min="4924" max="4924" width="22.875" style="22" customWidth="1"/>
    <col min="4925" max="4925" width="8.75" style="22" customWidth="1"/>
    <col min="4926" max="4926" width="19.75" style="22" customWidth="1"/>
    <col min="4927" max="4927" width="9.375" style="22" customWidth="1"/>
    <col min="4928" max="4928" width="9" style="22"/>
    <col min="4929" max="4929" width="10.875" style="22" customWidth="1"/>
    <col min="4930" max="4930" width="9.875" style="22" customWidth="1"/>
    <col min="4931" max="5125" width="9" style="22"/>
    <col min="5126" max="5126" width="4" style="22" customWidth="1"/>
    <col min="5127" max="5127" width="5.875" style="22" customWidth="1"/>
    <col min="5128" max="5128" width="6.375" style="22" customWidth="1"/>
    <col min="5129" max="5129" width="20.25" style="22" customWidth="1"/>
    <col min="5130" max="5130" width="7.375" style="22" customWidth="1"/>
    <col min="5131" max="5131" width="12.75" style="22" customWidth="1"/>
    <col min="5132" max="5132" width="5.875" style="22" customWidth="1"/>
    <col min="5133" max="5133" width="8.75" style="22" customWidth="1"/>
    <col min="5134" max="5134" width="25.625" style="22" customWidth="1"/>
    <col min="5135" max="5135" width="6" style="22" customWidth="1"/>
    <col min="5136" max="5136" width="7.375" style="22" customWidth="1"/>
    <col min="5137" max="5137" width="7.125" style="22" customWidth="1"/>
    <col min="5138" max="5138" width="7" style="22" customWidth="1"/>
    <col min="5139" max="5139" width="6" style="22" customWidth="1"/>
    <col min="5140" max="5140" width="6.25" style="22" customWidth="1"/>
    <col min="5141" max="5141" width="6.375" style="22" customWidth="1"/>
    <col min="5142" max="5142" width="19.125" style="22" customWidth="1"/>
    <col min="5143" max="5143" width="8.125" style="22" customWidth="1"/>
    <col min="5144" max="5144" width="8.75" style="22" customWidth="1"/>
    <col min="5145" max="5145" width="11.25" style="22" customWidth="1"/>
    <col min="5146" max="5146" width="22.875" style="22" customWidth="1"/>
    <col min="5147" max="5147" width="9.375" style="22" customWidth="1"/>
    <col min="5148" max="5148" width="9.875" style="22" customWidth="1"/>
    <col min="5149" max="5150" width="15.875" style="22" customWidth="1"/>
    <col min="5151" max="5151" width="15" style="22" customWidth="1"/>
    <col min="5152" max="5152" width="23.25" style="22" customWidth="1"/>
    <col min="5153" max="5153" width="26.375" style="22" customWidth="1"/>
    <col min="5154" max="5154" width="11.25" style="22" customWidth="1"/>
    <col min="5155" max="5155" width="19.625" style="22" customWidth="1"/>
    <col min="5156" max="5156" width="14.375" style="22" customWidth="1"/>
    <col min="5157" max="5157" width="18.375" style="22" customWidth="1"/>
    <col min="5158" max="5158" width="10.25" style="22" customWidth="1"/>
    <col min="5159" max="5159" width="36.375" style="22" customWidth="1"/>
    <col min="5160" max="5160" width="20.625" style="22" customWidth="1"/>
    <col min="5161" max="5161" width="16.375" style="22" customWidth="1"/>
    <col min="5162" max="5162" width="14.625" style="22" customWidth="1"/>
    <col min="5163" max="5163" width="10" style="22" customWidth="1"/>
    <col min="5164" max="5164" width="8" style="22" customWidth="1"/>
    <col min="5165" max="5165" width="16" style="22" customWidth="1"/>
    <col min="5166" max="5166" width="16.375" style="22" customWidth="1"/>
    <col min="5167" max="5167" width="9" style="22"/>
    <col min="5168" max="5168" width="16.25" style="22" customWidth="1"/>
    <col min="5169" max="5178" width="9" style="22"/>
    <col min="5179" max="5179" width="12.625" style="22" customWidth="1"/>
    <col min="5180" max="5180" width="22.875" style="22" customWidth="1"/>
    <col min="5181" max="5181" width="8.75" style="22" customWidth="1"/>
    <col min="5182" max="5182" width="19.75" style="22" customWidth="1"/>
    <col min="5183" max="5183" width="9.375" style="22" customWidth="1"/>
    <col min="5184" max="5184" width="9" style="22"/>
    <col min="5185" max="5185" width="10.875" style="22" customWidth="1"/>
    <col min="5186" max="5186" width="9.875" style="22" customWidth="1"/>
    <col min="5187" max="5381" width="9" style="22"/>
    <col min="5382" max="5382" width="4" style="22" customWidth="1"/>
    <col min="5383" max="5383" width="5.875" style="22" customWidth="1"/>
    <col min="5384" max="5384" width="6.375" style="22" customWidth="1"/>
    <col min="5385" max="5385" width="20.25" style="22" customWidth="1"/>
    <col min="5386" max="5386" width="7.375" style="22" customWidth="1"/>
    <col min="5387" max="5387" width="12.75" style="22" customWidth="1"/>
    <col min="5388" max="5388" width="5.875" style="22" customWidth="1"/>
    <col min="5389" max="5389" width="8.75" style="22" customWidth="1"/>
    <col min="5390" max="5390" width="25.625" style="22" customWidth="1"/>
    <col min="5391" max="5391" width="6" style="22" customWidth="1"/>
    <col min="5392" max="5392" width="7.375" style="22" customWidth="1"/>
    <col min="5393" max="5393" width="7.125" style="22" customWidth="1"/>
    <col min="5394" max="5394" width="7" style="22" customWidth="1"/>
    <col min="5395" max="5395" width="6" style="22" customWidth="1"/>
    <col min="5396" max="5396" width="6.25" style="22" customWidth="1"/>
    <col min="5397" max="5397" width="6.375" style="22" customWidth="1"/>
    <col min="5398" max="5398" width="19.125" style="22" customWidth="1"/>
    <col min="5399" max="5399" width="8.125" style="22" customWidth="1"/>
    <col min="5400" max="5400" width="8.75" style="22" customWidth="1"/>
    <col min="5401" max="5401" width="11.25" style="22" customWidth="1"/>
    <col min="5402" max="5402" width="22.875" style="22" customWidth="1"/>
    <col min="5403" max="5403" width="9.375" style="22" customWidth="1"/>
    <col min="5404" max="5404" width="9.875" style="22" customWidth="1"/>
    <col min="5405" max="5406" width="15.875" style="22" customWidth="1"/>
    <col min="5407" max="5407" width="15" style="22" customWidth="1"/>
    <col min="5408" max="5408" width="23.25" style="22" customWidth="1"/>
    <col min="5409" max="5409" width="26.375" style="22" customWidth="1"/>
    <col min="5410" max="5410" width="11.25" style="22" customWidth="1"/>
    <col min="5411" max="5411" width="19.625" style="22" customWidth="1"/>
    <col min="5412" max="5412" width="14.375" style="22" customWidth="1"/>
    <col min="5413" max="5413" width="18.375" style="22" customWidth="1"/>
    <col min="5414" max="5414" width="10.25" style="22" customWidth="1"/>
    <col min="5415" max="5415" width="36.375" style="22" customWidth="1"/>
    <col min="5416" max="5416" width="20.625" style="22" customWidth="1"/>
    <col min="5417" max="5417" width="16.375" style="22" customWidth="1"/>
    <col min="5418" max="5418" width="14.625" style="22" customWidth="1"/>
    <col min="5419" max="5419" width="10" style="22" customWidth="1"/>
    <col min="5420" max="5420" width="8" style="22" customWidth="1"/>
    <col min="5421" max="5421" width="16" style="22" customWidth="1"/>
    <col min="5422" max="5422" width="16.375" style="22" customWidth="1"/>
    <col min="5423" max="5423" width="9" style="22"/>
    <col min="5424" max="5424" width="16.25" style="22" customWidth="1"/>
    <col min="5425" max="5434" width="9" style="22"/>
    <col min="5435" max="5435" width="12.625" style="22" customWidth="1"/>
    <col min="5436" max="5436" width="22.875" style="22" customWidth="1"/>
    <col min="5437" max="5437" width="8.75" style="22" customWidth="1"/>
    <col min="5438" max="5438" width="19.75" style="22" customWidth="1"/>
    <col min="5439" max="5439" width="9.375" style="22" customWidth="1"/>
    <col min="5440" max="5440" width="9" style="22"/>
    <col min="5441" max="5441" width="10.875" style="22" customWidth="1"/>
    <col min="5442" max="5442" width="9.875" style="22" customWidth="1"/>
    <col min="5443" max="5637" width="9" style="22"/>
    <col min="5638" max="5638" width="4" style="22" customWidth="1"/>
    <col min="5639" max="5639" width="5.875" style="22" customWidth="1"/>
    <col min="5640" max="5640" width="6.375" style="22" customWidth="1"/>
    <col min="5641" max="5641" width="20.25" style="22" customWidth="1"/>
    <col min="5642" max="5642" width="7.375" style="22" customWidth="1"/>
    <col min="5643" max="5643" width="12.75" style="22" customWidth="1"/>
    <col min="5644" max="5644" width="5.875" style="22" customWidth="1"/>
    <col min="5645" max="5645" width="8.75" style="22" customWidth="1"/>
    <col min="5646" max="5646" width="25.625" style="22" customWidth="1"/>
    <col min="5647" max="5647" width="6" style="22" customWidth="1"/>
    <col min="5648" max="5648" width="7.375" style="22" customWidth="1"/>
    <col min="5649" max="5649" width="7.125" style="22" customWidth="1"/>
    <col min="5650" max="5650" width="7" style="22" customWidth="1"/>
    <col min="5651" max="5651" width="6" style="22" customWidth="1"/>
    <col min="5652" max="5652" width="6.25" style="22" customWidth="1"/>
    <col min="5653" max="5653" width="6.375" style="22" customWidth="1"/>
    <col min="5654" max="5654" width="19.125" style="22" customWidth="1"/>
    <col min="5655" max="5655" width="8.125" style="22" customWidth="1"/>
    <col min="5656" max="5656" width="8.75" style="22" customWidth="1"/>
    <col min="5657" max="5657" width="11.25" style="22" customWidth="1"/>
    <col min="5658" max="5658" width="22.875" style="22" customWidth="1"/>
    <col min="5659" max="5659" width="9.375" style="22" customWidth="1"/>
    <col min="5660" max="5660" width="9.875" style="22" customWidth="1"/>
    <col min="5661" max="5662" width="15.875" style="22" customWidth="1"/>
    <col min="5663" max="5663" width="15" style="22" customWidth="1"/>
    <col min="5664" max="5664" width="23.25" style="22" customWidth="1"/>
    <col min="5665" max="5665" width="26.375" style="22" customWidth="1"/>
    <col min="5666" max="5666" width="11.25" style="22" customWidth="1"/>
    <col min="5667" max="5667" width="19.625" style="22" customWidth="1"/>
    <col min="5668" max="5668" width="14.375" style="22" customWidth="1"/>
    <col min="5669" max="5669" width="18.375" style="22" customWidth="1"/>
    <col min="5670" max="5670" width="10.25" style="22" customWidth="1"/>
    <col min="5671" max="5671" width="36.375" style="22" customWidth="1"/>
    <col min="5672" max="5672" width="20.625" style="22" customWidth="1"/>
    <col min="5673" max="5673" width="16.375" style="22" customWidth="1"/>
    <col min="5674" max="5674" width="14.625" style="22" customWidth="1"/>
    <col min="5675" max="5675" width="10" style="22" customWidth="1"/>
    <col min="5676" max="5676" width="8" style="22" customWidth="1"/>
    <col min="5677" max="5677" width="16" style="22" customWidth="1"/>
    <col min="5678" max="5678" width="16.375" style="22" customWidth="1"/>
    <col min="5679" max="5679" width="9" style="22"/>
    <col min="5680" max="5680" width="16.25" style="22" customWidth="1"/>
    <col min="5681" max="5690" width="9" style="22"/>
    <col min="5691" max="5691" width="12.625" style="22" customWidth="1"/>
    <col min="5692" max="5692" width="22.875" style="22" customWidth="1"/>
    <col min="5693" max="5693" width="8.75" style="22" customWidth="1"/>
    <col min="5694" max="5694" width="19.75" style="22" customWidth="1"/>
    <col min="5695" max="5695" width="9.375" style="22" customWidth="1"/>
    <col min="5696" max="5696" width="9" style="22"/>
    <col min="5697" max="5697" width="10.875" style="22" customWidth="1"/>
    <col min="5698" max="5698" width="9.875" style="22" customWidth="1"/>
    <col min="5699" max="5893" width="9" style="22"/>
    <col min="5894" max="5894" width="4" style="22" customWidth="1"/>
    <col min="5895" max="5895" width="5.875" style="22" customWidth="1"/>
    <col min="5896" max="5896" width="6.375" style="22" customWidth="1"/>
    <col min="5897" max="5897" width="20.25" style="22" customWidth="1"/>
    <col min="5898" max="5898" width="7.375" style="22" customWidth="1"/>
    <col min="5899" max="5899" width="12.75" style="22" customWidth="1"/>
    <col min="5900" max="5900" width="5.875" style="22" customWidth="1"/>
    <col min="5901" max="5901" width="8.75" style="22" customWidth="1"/>
    <col min="5902" max="5902" width="25.625" style="22" customWidth="1"/>
    <col min="5903" max="5903" width="6" style="22" customWidth="1"/>
    <col min="5904" max="5904" width="7.375" style="22" customWidth="1"/>
    <col min="5905" max="5905" width="7.125" style="22" customWidth="1"/>
    <col min="5906" max="5906" width="7" style="22" customWidth="1"/>
    <col min="5907" max="5907" width="6" style="22" customWidth="1"/>
    <col min="5908" max="5908" width="6.25" style="22" customWidth="1"/>
    <col min="5909" max="5909" width="6.375" style="22" customWidth="1"/>
    <col min="5910" max="5910" width="19.125" style="22" customWidth="1"/>
    <col min="5911" max="5911" width="8.125" style="22" customWidth="1"/>
    <col min="5912" max="5912" width="8.75" style="22" customWidth="1"/>
    <col min="5913" max="5913" width="11.25" style="22" customWidth="1"/>
    <col min="5914" max="5914" width="22.875" style="22" customWidth="1"/>
    <col min="5915" max="5915" width="9.375" style="22" customWidth="1"/>
    <col min="5916" max="5916" width="9.875" style="22" customWidth="1"/>
    <col min="5917" max="5918" width="15.875" style="22" customWidth="1"/>
    <col min="5919" max="5919" width="15" style="22" customWidth="1"/>
    <col min="5920" max="5920" width="23.25" style="22" customWidth="1"/>
    <col min="5921" max="5921" width="26.375" style="22" customWidth="1"/>
    <col min="5922" max="5922" width="11.25" style="22" customWidth="1"/>
    <col min="5923" max="5923" width="19.625" style="22" customWidth="1"/>
    <col min="5924" max="5924" width="14.375" style="22" customWidth="1"/>
    <col min="5925" max="5925" width="18.375" style="22" customWidth="1"/>
    <col min="5926" max="5926" width="10.25" style="22" customWidth="1"/>
    <col min="5927" max="5927" width="36.375" style="22" customWidth="1"/>
    <col min="5928" max="5928" width="20.625" style="22" customWidth="1"/>
    <col min="5929" max="5929" width="16.375" style="22" customWidth="1"/>
    <col min="5930" max="5930" width="14.625" style="22" customWidth="1"/>
    <col min="5931" max="5931" width="10" style="22" customWidth="1"/>
    <col min="5932" max="5932" width="8" style="22" customWidth="1"/>
    <col min="5933" max="5933" width="16" style="22" customWidth="1"/>
    <col min="5934" max="5934" width="16.375" style="22" customWidth="1"/>
    <col min="5935" max="5935" width="9" style="22"/>
    <col min="5936" max="5936" width="16.25" style="22" customWidth="1"/>
    <col min="5937" max="5946" width="9" style="22"/>
    <col min="5947" max="5947" width="12.625" style="22" customWidth="1"/>
    <col min="5948" max="5948" width="22.875" style="22" customWidth="1"/>
    <col min="5949" max="5949" width="8.75" style="22" customWidth="1"/>
    <col min="5950" max="5950" width="19.75" style="22" customWidth="1"/>
    <col min="5951" max="5951" width="9.375" style="22" customWidth="1"/>
    <col min="5952" max="5952" width="9" style="22"/>
    <col min="5953" max="5953" width="10.875" style="22" customWidth="1"/>
    <col min="5954" max="5954" width="9.875" style="22" customWidth="1"/>
    <col min="5955" max="6149" width="9" style="22"/>
    <col min="6150" max="6150" width="4" style="22" customWidth="1"/>
    <col min="6151" max="6151" width="5.875" style="22" customWidth="1"/>
    <col min="6152" max="6152" width="6.375" style="22" customWidth="1"/>
    <col min="6153" max="6153" width="20.25" style="22" customWidth="1"/>
    <col min="6154" max="6154" width="7.375" style="22" customWidth="1"/>
    <col min="6155" max="6155" width="12.75" style="22" customWidth="1"/>
    <col min="6156" max="6156" width="5.875" style="22" customWidth="1"/>
    <col min="6157" max="6157" width="8.75" style="22" customWidth="1"/>
    <col min="6158" max="6158" width="25.625" style="22" customWidth="1"/>
    <col min="6159" max="6159" width="6" style="22" customWidth="1"/>
    <col min="6160" max="6160" width="7.375" style="22" customWidth="1"/>
    <col min="6161" max="6161" width="7.125" style="22" customWidth="1"/>
    <col min="6162" max="6162" width="7" style="22" customWidth="1"/>
    <col min="6163" max="6163" width="6" style="22" customWidth="1"/>
    <col min="6164" max="6164" width="6.25" style="22" customWidth="1"/>
    <col min="6165" max="6165" width="6.375" style="22" customWidth="1"/>
    <col min="6166" max="6166" width="19.125" style="22" customWidth="1"/>
    <col min="6167" max="6167" width="8.125" style="22" customWidth="1"/>
    <col min="6168" max="6168" width="8.75" style="22" customWidth="1"/>
    <col min="6169" max="6169" width="11.25" style="22" customWidth="1"/>
    <col min="6170" max="6170" width="22.875" style="22" customWidth="1"/>
    <col min="6171" max="6171" width="9.375" style="22" customWidth="1"/>
    <col min="6172" max="6172" width="9.875" style="22" customWidth="1"/>
    <col min="6173" max="6174" width="15.875" style="22" customWidth="1"/>
    <col min="6175" max="6175" width="15" style="22" customWidth="1"/>
    <col min="6176" max="6176" width="23.25" style="22" customWidth="1"/>
    <col min="6177" max="6177" width="26.375" style="22" customWidth="1"/>
    <col min="6178" max="6178" width="11.25" style="22" customWidth="1"/>
    <col min="6179" max="6179" width="19.625" style="22" customWidth="1"/>
    <col min="6180" max="6180" width="14.375" style="22" customWidth="1"/>
    <col min="6181" max="6181" width="18.375" style="22" customWidth="1"/>
    <col min="6182" max="6182" width="10.25" style="22" customWidth="1"/>
    <col min="6183" max="6183" width="36.375" style="22" customWidth="1"/>
    <col min="6184" max="6184" width="20.625" style="22" customWidth="1"/>
    <col min="6185" max="6185" width="16.375" style="22" customWidth="1"/>
    <col min="6186" max="6186" width="14.625" style="22" customWidth="1"/>
    <col min="6187" max="6187" width="10" style="22" customWidth="1"/>
    <col min="6188" max="6188" width="8" style="22" customWidth="1"/>
    <col min="6189" max="6189" width="16" style="22" customWidth="1"/>
    <col min="6190" max="6190" width="16.375" style="22" customWidth="1"/>
    <col min="6191" max="6191" width="9" style="22"/>
    <col min="6192" max="6192" width="16.25" style="22" customWidth="1"/>
    <col min="6193" max="6202" width="9" style="22"/>
    <col min="6203" max="6203" width="12.625" style="22" customWidth="1"/>
    <col min="6204" max="6204" width="22.875" style="22" customWidth="1"/>
    <col min="6205" max="6205" width="8.75" style="22" customWidth="1"/>
    <col min="6206" max="6206" width="19.75" style="22" customWidth="1"/>
    <col min="6207" max="6207" width="9.375" style="22" customWidth="1"/>
    <col min="6208" max="6208" width="9" style="22"/>
    <col min="6209" max="6209" width="10.875" style="22" customWidth="1"/>
    <col min="6210" max="6210" width="9.875" style="22" customWidth="1"/>
    <col min="6211" max="6405" width="9" style="22"/>
    <col min="6406" max="6406" width="4" style="22" customWidth="1"/>
    <col min="6407" max="6407" width="5.875" style="22" customWidth="1"/>
    <col min="6408" max="6408" width="6.375" style="22" customWidth="1"/>
    <col min="6409" max="6409" width="20.25" style="22" customWidth="1"/>
    <col min="6410" max="6410" width="7.375" style="22" customWidth="1"/>
    <col min="6411" max="6411" width="12.75" style="22" customWidth="1"/>
    <col min="6412" max="6412" width="5.875" style="22" customWidth="1"/>
    <col min="6413" max="6413" width="8.75" style="22" customWidth="1"/>
    <col min="6414" max="6414" width="25.625" style="22" customWidth="1"/>
    <col min="6415" max="6415" width="6" style="22" customWidth="1"/>
    <col min="6416" max="6416" width="7.375" style="22" customWidth="1"/>
    <col min="6417" max="6417" width="7.125" style="22" customWidth="1"/>
    <col min="6418" max="6418" width="7" style="22" customWidth="1"/>
    <col min="6419" max="6419" width="6" style="22" customWidth="1"/>
    <col min="6420" max="6420" width="6.25" style="22" customWidth="1"/>
    <col min="6421" max="6421" width="6.375" style="22" customWidth="1"/>
    <col min="6422" max="6422" width="19.125" style="22" customWidth="1"/>
    <col min="6423" max="6423" width="8.125" style="22" customWidth="1"/>
    <col min="6424" max="6424" width="8.75" style="22" customWidth="1"/>
    <col min="6425" max="6425" width="11.25" style="22" customWidth="1"/>
    <col min="6426" max="6426" width="22.875" style="22" customWidth="1"/>
    <col min="6427" max="6427" width="9.375" style="22" customWidth="1"/>
    <col min="6428" max="6428" width="9.875" style="22" customWidth="1"/>
    <col min="6429" max="6430" width="15.875" style="22" customWidth="1"/>
    <col min="6431" max="6431" width="15" style="22" customWidth="1"/>
    <col min="6432" max="6432" width="23.25" style="22" customWidth="1"/>
    <col min="6433" max="6433" width="26.375" style="22" customWidth="1"/>
    <col min="6434" max="6434" width="11.25" style="22" customWidth="1"/>
    <col min="6435" max="6435" width="19.625" style="22" customWidth="1"/>
    <col min="6436" max="6436" width="14.375" style="22" customWidth="1"/>
    <col min="6437" max="6437" width="18.375" style="22" customWidth="1"/>
    <col min="6438" max="6438" width="10.25" style="22" customWidth="1"/>
    <col min="6439" max="6439" width="36.375" style="22" customWidth="1"/>
    <col min="6440" max="6440" width="20.625" style="22" customWidth="1"/>
    <col min="6441" max="6441" width="16.375" style="22" customWidth="1"/>
    <col min="6442" max="6442" width="14.625" style="22" customWidth="1"/>
    <col min="6443" max="6443" width="10" style="22" customWidth="1"/>
    <col min="6444" max="6444" width="8" style="22" customWidth="1"/>
    <col min="6445" max="6445" width="16" style="22" customWidth="1"/>
    <col min="6446" max="6446" width="16.375" style="22" customWidth="1"/>
    <col min="6447" max="6447" width="9" style="22"/>
    <col min="6448" max="6448" width="16.25" style="22" customWidth="1"/>
    <col min="6449" max="6458" width="9" style="22"/>
    <col min="6459" max="6459" width="12.625" style="22" customWidth="1"/>
    <col min="6460" max="6460" width="22.875" style="22" customWidth="1"/>
    <col min="6461" max="6461" width="8.75" style="22" customWidth="1"/>
    <col min="6462" max="6462" width="19.75" style="22" customWidth="1"/>
    <col min="6463" max="6463" width="9.375" style="22" customWidth="1"/>
    <col min="6464" max="6464" width="9" style="22"/>
    <col min="6465" max="6465" width="10.875" style="22" customWidth="1"/>
    <col min="6466" max="6466" width="9.875" style="22" customWidth="1"/>
    <col min="6467" max="6661" width="9" style="22"/>
    <col min="6662" max="6662" width="4" style="22" customWidth="1"/>
    <col min="6663" max="6663" width="5.875" style="22" customWidth="1"/>
    <col min="6664" max="6664" width="6.375" style="22" customWidth="1"/>
    <col min="6665" max="6665" width="20.25" style="22" customWidth="1"/>
    <col min="6666" max="6666" width="7.375" style="22" customWidth="1"/>
    <col min="6667" max="6667" width="12.75" style="22" customWidth="1"/>
    <col min="6668" max="6668" width="5.875" style="22" customWidth="1"/>
    <col min="6669" max="6669" width="8.75" style="22" customWidth="1"/>
    <col min="6670" max="6670" width="25.625" style="22" customWidth="1"/>
    <col min="6671" max="6671" width="6" style="22" customWidth="1"/>
    <col min="6672" max="6672" width="7.375" style="22" customWidth="1"/>
    <col min="6673" max="6673" width="7.125" style="22" customWidth="1"/>
    <col min="6674" max="6674" width="7" style="22" customWidth="1"/>
    <col min="6675" max="6675" width="6" style="22" customWidth="1"/>
    <col min="6676" max="6676" width="6.25" style="22" customWidth="1"/>
    <col min="6677" max="6677" width="6.375" style="22" customWidth="1"/>
    <col min="6678" max="6678" width="19.125" style="22" customWidth="1"/>
    <col min="6679" max="6679" width="8.125" style="22" customWidth="1"/>
    <col min="6680" max="6680" width="8.75" style="22" customWidth="1"/>
    <col min="6681" max="6681" width="11.25" style="22" customWidth="1"/>
    <col min="6682" max="6682" width="22.875" style="22" customWidth="1"/>
    <col min="6683" max="6683" width="9.375" style="22" customWidth="1"/>
    <col min="6684" max="6684" width="9.875" style="22" customWidth="1"/>
    <col min="6685" max="6686" width="15.875" style="22" customWidth="1"/>
    <col min="6687" max="6687" width="15" style="22" customWidth="1"/>
    <col min="6688" max="6688" width="23.25" style="22" customWidth="1"/>
    <col min="6689" max="6689" width="26.375" style="22" customWidth="1"/>
    <col min="6690" max="6690" width="11.25" style="22" customWidth="1"/>
    <col min="6691" max="6691" width="19.625" style="22" customWidth="1"/>
    <col min="6692" max="6692" width="14.375" style="22" customWidth="1"/>
    <col min="6693" max="6693" width="18.375" style="22" customWidth="1"/>
    <col min="6694" max="6694" width="10.25" style="22" customWidth="1"/>
    <col min="6695" max="6695" width="36.375" style="22" customWidth="1"/>
    <col min="6696" max="6696" width="20.625" style="22" customWidth="1"/>
    <col min="6697" max="6697" width="16.375" style="22" customWidth="1"/>
    <col min="6698" max="6698" width="14.625" style="22" customWidth="1"/>
    <col min="6699" max="6699" width="10" style="22" customWidth="1"/>
    <col min="6700" max="6700" width="8" style="22" customWidth="1"/>
    <col min="6701" max="6701" width="16" style="22" customWidth="1"/>
    <col min="6702" max="6702" width="16.375" style="22" customWidth="1"/>
    <col min="6703" max="6703" width="9" style="22"/>
    <col min="6704" max="6704" width="16.25" style="22" customWidth="1"/>
    <col min="6705" max="6714" width="9" style="22"/>
    <col min="6715" max="6715" width="12.625" style="22" customWidth="1"/>
    <col min="6716" max="6716" width="22.875" style="22" customWidth="1"/>
    <col min="6717" max="6717" width="8.75" style="22" customWidth="1"/>
    <col min="6718" max="6718" width="19.75" style="22" customWidth="1"/>
    <col min="6719" max="6719" width="9.375" style="22" customWidth="1"/>
    <col min="6720" max="6720" width="9" style="22"/>
    <col min="6721" max="6721" width="10.875" style="22" customWidth="1"/>
    <col min="6722" max="6722" width="9.875" style="22" customWidth="1"/>
    <col min="6723" max="6917" width="9" style="22"/>
    <col min="6918" max="6918" width="4" style="22" customWidth="1"/>
    <col min="6919" max="6919" width="5.875" style="22" customWidth="1"/>
    <col min="6920" max="6920" width="6.375" style="22" customWidth="1"/>
    <col min="6921" max="6921" width="20.25" style="22" customWidth="1"/>
    <col min="6922" max="6922" width="7.375" style="22" customWidth="1"/>
    <col min="6923" max="6923" width="12.75" style="22" customWidth="1"/>
    <col min="6924" max="6924" width="5.875" style="22" customWidth="1"/>
    <col min="6925" max="6925" width="8.75" style="22" customWidth="1"/>
    <col min="6926" max="6926" width="25.625" style="22" customWidth="1"/>
    <col min="6927" max="6927" width="6" style="22" customWidth="1"/>
    <col min="6928" max="6928" width="7.375" style="22" customWidth="1"/>
    <col min="6929" max="6929" width="7.125" style="22" customWidth="1"/>
    <col min="6930" max="6930" width="7" style="22" customWidth="1"/>
    <col min="6931" max="6931" width="6" style="22" customWidth="1"/>
    <col min="6932" max="6932" width="6.25" style="22" customWidth="1"/>
    <col min="6933" max="6933" width="6.375" style="22" customWidth="1"/>
    <col min="6934" max="6934" width="19.125" style="22" customWidth="1"/>
    <col min="6935" max="6935" width="8.125" style="22" customWidth="1"/>
    <col min="6936" max="6936" width="8.75" style="22" customWidth="1"/>
    <col min="6937" max="6937" width="11.25" style="22" customWidth="1"/>
    <col min="6938" max="6938" width="22.875" style="22" customWidth="1"/>
    <col min="6939" max="6939" width="9.375" style="22" customWidth="1"/>
    <col min="6940" max="6940" width="9.875" style="22" customWidth="1"/>
    <col min="6941" max="6942" width="15.875" style="22" customWidth="1"/>
    <col min="6943" max="6943" width="15" style="22" customWidth="1"/>
    <col min="6944" max="6944" width="23.25" style="22" customWidth="1"/>
    <col min="6945" max="6945" width="26.375" style="22" customWidth="1"/>
    <col min="6946" max="6946" width="11.25" style="22" customWidth="1"/>
    <col min="6947" max="6947" width="19.625" style="22" customWidth="1"/>
    <col min="6948" max="6948" width="14.375" style="22" customWidth="1"/>
    <col min="6949" max="6949" width="18.375" style="22" customWidth="1"/>
    <col min="6950" max="6950" width="10.25" style="22" customWidth="1"/>
    <col min="6951" max="6951" width="36.375" style="22" customWidth="1"/>
    <col min="6952" max="6952" width="20.625" style="22" customWidth="1"/>
    <col min="6953" max="6953" width="16.375" style="22" customWidth="1"/>
    <col min="6954" max="6954" width="14.625" style="22" customWidth="1"/>
    <col min="6955" max="6955" width="10" style="22" customWidth="1"/>
    <col min="6956" max="6956" width="8" style="22" customWidth="1"/>
    <col min="6957" max="6957" width="16" style="22" customWidth="1"/>
    <col min="6958" max="6958" width="16.375" style="22" customWidth="1"/>
    <col min="6959" max="6959" width="9" style="22"/>
    <col min="6960" max="6960" width="16.25" style="22" customWidth="1"/>
    <col min="6961" max="6970" width="9" style="22"/>
    <col min="6971" max="6971" width="12.625" style="22" customWidth="1"/>
    <col min="6972" max="6972" width="22.875" style="22" customWidth="1"/>
    <col min="6973" max="6973" width="8.75" style="22" customWidth="1"/>
    <col min="6974" max="6974" width="19.75" style="22" customWidth="1"/>
    <col min="6975" max="6975" width="9.375" style="22" customWidth="1"/>
    <col min="6976" max="6976" width="9" style="22"/>
    <col min="6977" max="6977" width="10.875" style="22" customWidth="1"/>
    <col min="6978" max="6978" width="9.875" style="22" customWidth="1"/>
    <col min="6979" max="7173" width="9" style="22"/>
    <col min="7174" max="7174" width="4" style="22" customWidth="1"/>
    <col min="7175" max="7175" width="5.875" style="22" customWidth="1"/>
    <col min="7176" max="7176" width="6.375" style="22" customWidth="1"/>
    <col min="7177" max="7177" width="20.25" style="22" customWidth="1"/>
    <col min="7178" max="7178" width="7.375" style="22" customWidth="1"/>
    <col min="7179" max="7179" width="12.75" style="22" customWidth="1"/>
    <col min="7180" max="7180" width="5.875" style="22" customWidth="1"/>
    <col min="7181" max="7181" width="8.75" style="22" customWidth="1"/>
    <col min="7182" max="7182" width="25.625" style="22" customWidth="1"/>
    <col min="7183" max="7183" width="6" style="22" customWidth="1"/>
    <col min="7184" max="7184" width="7.375" style="22" customWidth="1"/>
    <col min="7185" max="7185" width="7.125" style="22" customWidth="1"/>
    <col min="7186" max="7186" width="7" style="22" customWidth="1"/>
    <col min="7187" max="7187" width="6" style="22" customWidth="1"/>
    <col min="7188" max="7188" width="6.25" style="22" customWidth="1"/>
    <col min="7189" max="7189" width="6.375" style="22" customWidth="1"/>
    <col min="7190" max="7190" width="19.125" style="22" customWidth="1"/>
    <col min="7191" max="7191" width="8.125" style="22" customWidth="1"/>
    <col min="7192" max="7192" width="8.75" style="22" customWidth="1"/>
    <col min="7193" max="7193" width="11.25" style="22" customWidth="1"/>
    <col min="7194" max="7194" width="22.875" style="22" customWidth="1"/>
    <col min="7195" max="7195" width="9.375" style="22" customWidth="1"/>
    <col min="7196" max="7196" width="9.875" style="22" customWidth="1"/>
    <col min="7197" max="7198" width="15.875" style="22" customWidth="1"/>
    <col min="7199" max="7199" width="15" style="22" customWidth="1"/>
    <col min="7200" max="7200" width="23.25" style="22" customWidth="1"/>
    <col min="7201" max="7201" width="26.375" style="22" customWidth="1"/>
    <col min="7202" max="7202" width="11.25" style="22" customWidth="1"/>
    <col min="7203" max="7203" width="19.625" style="22" customWidth="1"/>
    <col min="7204" max="7204" width="14.375" style="22" customWidth="1"/>
    <col min="7205" max="7205" width="18.375" style="22" customWidth="1"/>
    <col min="7206" max="7206" width="10.25" style="22" customWidth="1"/>
    <col min="7207" max="7207" width="36.375" style="22" customWidth="1"/>
    <col min="7208" max="7208" width="20.625" style="22" customWidth="1"/>
    <col min="7209" max="7209" width="16.375" style="22" customWidth="1"/>
    <col min="7210" max="7210" width="14.625" style="22" customWidth="1"/>
    <col min="7211" max="7211" width="10" style="22" customWidth="1"/>
    <col min="7212" max="7212" width="8" style="22" customWidth="1"/>
    <col min="7213" max="7213" width="16" style="22" customWidth="1"/>
    <col min="7214" max="7214" width="16.375" style="22" customWidth="1"/>
    <col min="7215" max="7215" width="9" style="22"/>
    <col min="7216" max="7216" width="16.25" style="22" customWidth="1"/>
    <col min="7217" max="7226" width="9" style="22"/>
    <col min="7227" max="7227" width="12.625" style="22" customWidth="1"/>
    <col min="7228" max="7228" width="22.875" style="22" customWidth="1"/>
    <col min="7229" max="7229" width="8.75" style="22" customWidth="1"/>
    <col min="7230" max="7230" width="19.75" style="22" customWidth="1"/>
    <col min="7231" max="7231" width="9.375" style="22" customWidth="1"/>
    <col min="7232" max="7232" width="9" style="22"/>
    <col min="7233" max="7233" width="10.875" style="22" customWidth="1"/>
    <col min="7234" max="7234" width="9.875" style="22" customWidth="1"/>
    <col min="7235" max="7429" width="9" style="22"/>
    <col min="7430" max="7430" width="4" style="22" customWidth="1"/>
    <col min="7431" max="7431" width="5.875" style="22" customWidth="1"/>
    <col min="7432" max="7432" width="6.375" style="22" customWidth="1"/>
    <col min="7433" max="7433" width="20.25" style="22" customWidth="1"/>
    <col min="7434" max="7434" width="7.375" style="22" customWidth="1"/>
    <col min="7435" max="7435" width="12.75" style="22" customWidth="1"/>
    <col min="7436" max="7436" width="5.875" style="22" customWidth="1"/>
    <col min="7437" max="7437" width="8.75" style="22" customWidth="1"/>
    <col min="7438" max="7438" width="25.625" style="22" customWidth="1"/>
    <col min="7439" max="7439" width="6" style="22" customWidth="1"/>
    <col min="7440" max="7440" width="7.375" style="22" customWidth="1"/>
    <col min="7441" max="7441" width="7.125" style="22" customWidth="1"/>
    <col min="7442" max="7442" width="7" style="22" customWidth="1"/>
    <col min="7443" max="7443" width="6" style="22" customWidth="1"/>
    <col min="7444" max="7444" width="6.25" style="22" customWidth="1"/>
    <col min="7445" max="7445" width="6.375" style="22" customWidth="1"/>
    <col min="7446" max="7446" width="19.125" style="22" customWidth="1"/>
    <col min="7447" max="7447" width="8.125" style="22" customWidth="1"/>
    <col min="7448" max="7448" width="8.75" style="22" customWidth="1"/>
    <col min="7449" max="7449" width="11.25" style="22" customWidth="1"/>
    <col min="7450" max="7450" width="22.875" style="22" customWidth="1"/>
    <col min="7451" max="7451" width="9.375" style="22" customWidth="1"/>
    <col min="7452" max="7452" width="9.875" style="22" customWidth="1"/>
    <col min="7453" max="7454" width="15.875" style="22" customWidth="1"/>
    <col min="7455" max="7455" width="15" style="22" customWidth="1"/>
    <col min="7456" max="7456" width="23.25" style="22" customWidth="1"/>
    <col min="7457" max="7457" width="26.375" style="22" customWidth="1"/>
    <col min="7458" max="7458" width="11.25" style="22" customWidth="1"/>
    <col min="7459" max="7459" width="19.625" style="22" customWidth="1"/>
    <col min="7460" max="7460" width="14.375" style="22" customWidth="1"/>
    <col min="7461" max="7461" width="18.375" style="22" customWidth="1"/>
    <col min="7462" max="7462" width="10.25" style="22" customWidth="1"/>
    <col min="7463" max="7463" width="36.375" style="22" customWidth="1"/>
    <col min="7464" max="7464" width="20.625" style="22" customWidth="1"/>
    <col min="7465" max="7465" width="16.375" style="22" customWidth="1"/>
    <col min="7466" max="7466" width="14.625" style="22" customWidth="1"/>
    <col min="7467" max="7467" width="10" style="22" customWidth="1"/>
    <col min="7468" max="7468" width="8" style="22" customWidth="1"/>
    <col min="7469" max="7469" width="16" style="22" customWidth="1"/>
    <col min="7470" max="7470" width="16.375" style="22" customWidth="1"/>
    <col min="7471" max="7471" width="9" style="22"/>
    <col min="7472" max="7472" width="16.25" style="22" customWidth="1"/>
    <col min="7473" max="7482" width="9" style="22"/>
    <col min="7483" max="7483" width="12.625" style="22" customWidth="1"/>
    <col min="7484" max="7484" width="22.875" style="22" customWidth="1"/>
    <col min="7485" max="7485" width="8.75" style="22" customWidth="1"/>
    <col min="7486" max="7486" width="19.75" style="22" customWidth="1"/>
    <col min="7487" max="7487" width="9.375" style="22" customWidth="1"/>
    <col min="7488" max="7488" width="9" style="22"/>
    <col min="7489" max="7489" width="10.875" style="22" customWidth="1"/>
    <col min="7490" max="7490" width="9.875" style="22" customWidth="1"/>
    <col min="7491" max="7685" width="9" style="22"/>
    <col min="7686" max="7686" width="4" style="22" customWidth="1"/>
    <col min="7687" max="7687" width="5.875" style="22" customWidth="1"/>
    <col min="7688" max="7688" width="6.375" style="22" customWidth="1"/>
    <col min="7689" max="7689" width="20.25" style="22" customWidth="1"/>
    <col min="7690" max="7690" width="7.375" style="22" customWidth="1"/>
    <col min="7691" max="7691" width="12.75" style="22" customWidth="1"/>
    <col min="7692" max="7692" width="5.875" style="22" customWidth="1"/>
    <col min="7693" max="7693" width="8.75" style="22" customWidth="1"/>
    <col min="7694" max="7694" width="25.625" style="22" customWidth="1"/>
    <col min="7695" max="7695" width="6" style="22" customWidth="1"/>
    <col min="7696" max="7696" width="7.375" style="22" customWidth="1"/>
    <col min="7697" max="7697" width="7.125" style="22" customWidth="1"/>
    <col min="7698" max="7698" width="7" style="22" customWidth="1"/>
    <col min="7699" max="7699" width="6" style="22" customWidth="1"/>
    <col min="7700" max="7700" width="6.25" style="22" customWidth="1"/>
    <col min="7701" max="7701" width="6.375" style="22" customWidth="1"/>
    <col min="7702" max="7702" width="19.125" style="22" customWidth="1"/>
    <col min="7703" max="7703" width="8.125" style="22" customWidth="1"/>
    <col min="7704" max="7704" width="8.75" style="22" customWidth="1"/>
    <col min="7705" max="7705" width="11.25" style="22" customWidth="1"/>
    <col min="7706" max="7706" width="22.875" style="22" customWidth="1"/>
    <col min="7707" max="7707" width="9.375" style="22" customWidth="1"/>
    <col min="7708" max="7708" width="9.875" style="22" customWidth="1"/>
    <col min="7709" max="7710" width="15.875" style="22" customWidth="1"/>
    <col min="7711" max="7711" width="15" style="22" customWidth="1"/>
    <col min="7712" max="7712" width="23.25" style="22" customWidth="1"/>
    <col min="7713" max="7713" width="26.375" style="22" customWidth="1"/>
    <col min="7714" max="7714" width="11.25" style="22" customWidth="1"/>
    <col min="7715" max="7715" width="19.625" style="22" customWidth="1"/>
    <col min="7716" max="7716" width="14.375" style="22" customWidth="1"/>
    <col min="7717" max="7717" width="18.375" style="22" customWidth="1"/>
    <col min="7718" max="7718" width="10.25" style="22" customWidth="1"/>
    <col min="7719" max="7719" width="36.375" style="22" customWidth="1"/>
    <col min="7720" max="7720" width="20.625" style="22" customWidth="1"/>
    <col min="7721" max="7721" width="16.375" style="22" customWidth="1"/>
    <col min="7722" max="7722" width="14.625" style="22" customWidth="1"/>
    <col min="7723" max="7723" width="10" style="22" customWidth="1"/>
    <col min="7724" max="7724" width="8" style="22" customWidth="1"/>
    <col min="7725" max="7725" width="16" style="22" customWidth="1"/>
    <col min="7726" max="7726" width="16.375" style="22" customWidth="1"/>
    <col min="7727" max="7727" width="9" style="22"/>
    <col min="7728" max="7728" width="16.25" style="22" customWidth="1"/>
    <col min="7729" max="7738" width="9" style="22"/>
    <col min="7739" max="7739" width="12.625" style="22" customWidth="1"/>
    <col min="7740" max="7740" width="22.875" style="22" customWidth="1"/>
    <col min="7741" max="7741" width="8.75" style="22" customWidth="1"/>
    <col min="7742" max="7742" width="19.75" style="22" customWidth="1"/>
    <col min="7743" max="7743" width="9.375" style="22" customWidth="1"/>
    <col min="7744" max="7744" width="9" style="22"/>
    <col min="7745" max="7745" width="10.875" style="22" customWidth="1"/>
    <col min="7746" max="7746" width="9.875" style="22" customWidth="1"/>
    <col min="7747" max="7941" width="9" style="22"/>
    <col min="7942" max="7942" width="4" style="22" customWidth="1"/>
    <col min="7943" max="7943" width="5.875" style="22" customWidth="1"/>
    <col min="7944" max="7944" width="6.375" style="22" customWidth="1"/>
    <col min="7945" max="7945" width="20.25" style="22" customWidth="1"/>
    <col min="7946" max="7946" width="7.375" style="22" customWidth="1"/>
    <col min="7947" max="7947" width="12.75" style="22" customWidth="1"/>
    <col min="7948" max="7948" width="5.875" style="22" customWidth="1"/>
    <col min="7949" max="7949" width="8.75" style="22" customWidth="1"/>
    <col min="7950" max="7950" width="25.625" style="22" customWidth="1"/>
    <col min="7951" max="7951" width="6" style="22" customWidth="1"/>
    <col min="7952" max="7952" width="7.375" style="22" customWidth="1"/>
    <col min="7953" max="7953" width="7.125" style="22" customWidth="1"/>
    <col min="7954" max="7954" width="7" style="22" customWidth="1"/>
    <col min="7955" max="7955" width="6" style="22" customWidth="1"/>
    <col min="7956" max="7956" width="6.25" style="22" customWidth="1"/>
    <col min="7957" max="7957" width="6.375" style="22" customWidth="1"/>
    <col min="7958" max="7958" width="19.125" style="22" customWidth="1"/>
    <col min="7959" max="7959" width="8.125" style="22" customWidth="1"/>
    <col min="7960" max="7960" width="8.75" style="22" customWidth="1"/>
    <col min="7961" max="7961" width="11.25" style="22" customWidth="1"/>
    <col min="7962" max="7962" width="22.875" style="22" customWidth="1"/>
    <col min="7963" max="7963" width="9.375" style="22" customWidth="1"/>
    <col min="7964" max="7964" width="9.875" style="22" customWidth="1"/>
    <col min="7965" max="7966" width="15.875" style="22" customWidth="1"/>
    <col min="7967" max="7967" width="15" style="22" customWidth="1"/>
    <col min="7968" max="7968" width="23.25" style="22" customWidth="1"/>
    <col min="7969" max="7969" width="26.375" style="22" customWidth="1"/>
    <col min="7970" max="7970" width="11.25" style="22" customWidth="1"/>
    <col min="7971" max="7971" width="19.625" style="22" customWidth="1"/>
    <col min="7972" max="7972" width="14.375" style="22" customWidth="1"/>
    <col min="7973" max="7973" width="18.375" style="22" customWidth="1"/>
    <col min="7974" max="7974" width="10.25" style="22" customWidth="1"/>
    <col min="7975" max="7975" width="36.375" style="22" customWidth="1"/>
    <col min="7976" max="7976" width="20.625" style="22" customWidth="1"/>
    <col min="7977" max="7977" width="16.375" style="22" customWidth="1"/>
    <col min="7978" max="7978" width="14.625" style="22" customWidth="1"/>
    <col min="7979" max="7979" width="10" style="22" customWidth="1"/>
    <col min="7980" max="7980" width="8" style="22" customWidth="1"/>
    <col min="7981" max="7981" width="16" style="22" customWidth="1"/>
    <col min="7982" max="7982" width="16.375" style="22" customWidth="1"/>
    <col min="7983" max="7983" width="9" style="22"/>
    <col min="7984" max="7984" width="16.25" style="22" customWidth="1"/>
    <col min="7985" max="7994" width="9" style="22"/>
    <col min="7995" max="7995" width="12.625" style="22" customWidth="1"/>
    <col min="7996" max="7996" width="22.875" style="22" customWidth="1"/>
    <col min="7997" max="7997" width="8.75" style="22" customWidth="1"/>
    <col min="7998" max="7998" width="19.75" style="22" customWidth="1"/>
    <col min="7999" max="7999" width="9.375" style="22" customWidth="1"/>
    <col min="8000" max="8000" width="9" style="22"/>
    <col min="8001" max="8001" width="10.875" style="22" customWidth="1"/>
    <col min="8002" max="8002" width="9.875" style="22" customWidth="1"/>
    <col min="8003" max="8197" width="9" style="22"/>
    <col min="8198" max="8198" width="4" style="22" customWidth="1"/>
    <col min="8199" max="8199" width="5.875" style="22" customWidth="1"/>
    <col min="8200" max="8200" width="6.375" style="22" customWidth="1"/>
    <col min="8201" max="8201" width="20.25" style="22" customWidth="1"/>
    <col min="8202" max="8202" width="7.375" style="22" customWidth="1"/>
    <col min="8203" max="8203" width="12.75" style="22" customWidth="1"/>
    <col min="8204" max="8204" width="5.875" style="22" customWidth="1"/>
    <col min="8205" max="8205" width="8.75" style="22" customWidth="1"/>
    <col min="8206" max="8206" width="25.625" style="22" customWidth="1"/>
    <col min="8207" max="8207" width="6" style="22" customWidth="1"/>
    <col min="8208" max="8208" width="7.375" style="22" customWidth="1"/>
    <col min="8209" max="8209" width="7.125" style="22" customWidth="1"/>
    <col min="8210" max="8210" width="7" style="22" customWidth="1"/>
    <col min="8211" max="8211" width="6" style="22" customWidth="1"/>
    <col min="8212" max="8212" width="6.25" style="22" customWidth="1"/>
    <col min="8213" max="8213" width="6.375" style="22" customWidth="1"/>
    <col min="8214" max="8214" width="19.125" style="22" customWidth="1"/>
    <col min="8215" max="8215" width="8.125" style="22" customWidth="1"/>
    <col min="8216" max="8216" width="8.75" style="22" customWidth="1"/>
    <col min="8217" max="8217" width="11.25" style="22" customWidth="1"/>
    <col min="8218" max="8218" width="22.875" style="22" customWidth="1"/>
    <col min="8219" max="8219" width="9.375" style="22" customWidth="1"/>
    <col min="8220" max="8220" width="9.875" style="22" customWidth="1"/>
    <col min="8221" max="8222" width="15.875" style="22" customWidth="1"/>
    <col min="8223" max="8223" width="15" style="22" customWidth="1"/>
    <col min="8224" max="8224" width="23.25" style="22" customWidth="1"/>
    <col min="8225" max="8225" width="26.375" style="22" customWidth="1"/>
    <col min="8226" max="8226" width="11.25" style="22" customWidth="1"/>
    <col min="8227" max="8227" width="19.625" style="22" customWidth="1"/>
    <col min="8228" max="8228" width="14.375" style="22" customWidth="1"/>
    <col min="8229" max="8229" width="18.375" style="22" customWidth="1"/>
    <col min="8230" max="8230" width="10.25" style="22" customWidth="1"/>
    <col min="8231" max="8231" width="36.375" style="22" customWidth="1"/>
    <col min="8232" max="8232" width="20.625" style="22" customWidth="1"/>
    <col min="8233" max="8233" width="16.375" style="22" customWidth="1"/>
    <col min="8234" max="8234" width="14.625" style="22" customWidth="1"/>
    <col min="8235" max="8235" width="10" style="22" customWidth="1"/>
    <col min="8236" max="8236" width="8" style="22" customWidth="1"/>
    <col min="8237" max="8237" width="16" style="22" customWidth="1"/>
    <col min="8238" max="8238" width="16.375" style="22" customWidth="1"/>
    <col min="8239" max="8239" width="9" style="22"/>
    <col min="8240" max="8240" width="16.25" style="22" customWidth="1"/>
    <col min="8241" max="8250" width="9" style="22"/>
    <col min="8251" max="8251" width="12.625" style="22" customWidth="1"/>
    <col min="8252" max="8252" width="22.875" style="22" customWidth="1"/>
    <col min="8253" max="8253" width="8.75" style="22" customWidth="1"/>
    <col min="8254" max="8254" width="19.75" style="22" customWidth="1"/>
    <col min="8255" max="8255" width="9.375" style="22" customWidth="1"/>
    <col min="8256" max="8256" width="9" style="22"/>
    <col min="8257" max="8257" width="10.875" style="22" customWidth="1"/>
    <col min="8258" max="8258" width="9.875" style="22" customWidth="1"/>
    <col min="8259" max="8453" width="9" style="22"/>
    <col min="8454" max="8454" width="4" style="22" customWidth="1"/>
    <col min="8455" max="8455" width="5.875" style="22" customWidth="1"/>
    <col min="8456" max="8456" width="6.375" style="22" customWidth="1"/>
    <col min="8457" max="8457" width="20.25" style="22" customWidth="1"/>
    <col min="8458" max="8458" width="7.375" style="22" customWidth="1"/>
    <col min="8459" max="8459" width="12.75" style="22" customWidth="1"/>
    <col min="8460" max="8460" width="5.875" style="22" customWidth="1"/>
    <col min="8461" max="8461" width="8.75" style="22" customWidth="1"/>
    <col min="8462" max="8462" width="25.625" style="22" customWidth="1"/>
    <col min="8463" max="8463" width="6" style="22" customWidth="1"/>
    <col min="8464" max="8464" width="7.375" style="22" customWidth="1"/>
    <col min="8465" max="8465" width="7.125" style="22" customWidth="1"/>
    <col min="8466" max="8466" width="7" style="22" customWidth="1"/>
    <col min="8467" max="8467" width="6" style="22" customWidth="1"/>
    <col min="8468" max="8468" width="6.25" style="22" customWidth="1"/>
    <col min="8469" max="8469" width="6.375" style="22" customWidth="1"/>
    <col min="8470" max="8470" width="19.125" style="22" customWidth="1"/>
    <col min="8471" max="8471" width="8.125" style="22" customWidth="1"/>
    <col min="8472" max="8472" width="8.75" style="22" customWidth="1"/>
    <col min="8473" max="8473" width="11.25" style="22" customWidth="1"/>
    <col min="8474" max="8474" width="22.875" style="22" customWidth="1"/>
    <col min="8475" max="8475" width="9.375" style="22" customWidth="1"/>
    <col min="8476" max="8476" width="9.875" style="22" customWidth="1"/>
    <col min="8477" max="8478" width="15.875" style="22" customWidth="1"/>
    <col min="8479" max="8479" width="15" style="22" customWidth="1"/>
    <col min="8480" max="8480" width="23.25" style="22" customWidth="1"/>
    <col min="8481" max="8481" width="26.375" style="22" customWidth="1"/>
    <col min="8482" max="8482" width="11.25" style="22" customWidth="1"/>
    <col min="8483" max="8483" width="19.625" style="22" customWidth="1"/>
    <col min="8484" max="8484" width="14.375" style="22" customWidth="1"/>
    <col min="8485" max="8485" width="18.375" style="22" customWidth="1"/>
    <col min="8486" max="8486" width="10.25" style="22" customWidth="1"/>
    <col min="8487" max="8487" width="36.375" style="22" customWidth="1"/>
    <col min="8488" max="8488" width="20.625" style="22" customWidth="1"/>
    <col min="8489" max="8489" width="16.375" style="22" customWidth="1"/>
    <col min="8490" max="8490" width="14.625" style="22" customWidth="1"/>
    <col min="8491" max="8491" width="10" style="22" customWidth="1"/>
    <col min="8492" max="8492" width="8" style="22" customWidth="1"/>
    <col min="8493" max="8493" width="16" style="22" customWidth="1"/>
    <col min="8494" max="8494" width="16.375" style="22" customWidth="1"/>
    <col min="8495" max="8495" width="9" style="22"/>
    <col min="8496" max="8496" width="16.25" style="22" customWidth="1"/>
    <col min="8497" max="8506" width="9" style="22"/>
    <col min="8507" max="8507" width="12.625" style="22" customWidth="1"/>
    <col min="8508" max="8508" width="22.875" style="22" customWidth="1"/>
    <col min="8509" max="8509" width="8.75" style="22" customWidth="1"/>
    <col min="8510" max="8510" width="19.75" style="22" customWidth="1"/>
    <col min="8511" max="8511" width="9.375" style="22" customWidth="1"/>
    <col min="8512" max="8512" width="9" style="22"/>
    <col min="8513" max="8513" width="10.875" style="22" customWidth="1"/>
    <col min="8514" max="8514" width="9.875" style="22" customWidth="1"/>
    <col min="8515" max="8709" width="9" style="22"/>
    <col min="8710" max="8710" width="4" style="22" customWidth="1"/>
    <col min="8711" max="8711" width="5.875" style="22" customWidth="1"/>
    <col min="8712" max="8712" width="6.375" style="22" customWidth="1"/>
    <col min="8713" max="8713" width="20.25" style="22" customWidth="1"/>
    <col min="8714" max="8714" width="7.375" style="22" customWidth="1"/>
    <col min="8715" max="8715" width="12.75" style="22" customWidth="1"/>
    <col min="8716" max="8716" width="5.875" style="22" customWidth="1"/>
    <col min="8717" max="8717" width="8.75" style="22" customWidth="1"/>
    <col min="8718" max="8718" width="25.625" style="22" customWidth="1"/>
    <col min="8719" max="8719" width="6" style="22" customWidth="1"/>
    <col min="8720" max="8720" width="7.375" style="22" customWidth="1"/>
    <col min="8721" max="8721" width="7.125" style="22" customWidth="1"/>
    <col min="8722" max="8722" width="7" style="22" customWidth="1"/>
    <col min="8723" max="8723" width="6" style="22" customWidth="1"/>
    <col min="8724" max="8724" width="6.25" style="22" customWidth="1"/>
    <col min="8725" max="8725" width="6.375" style="22" customWidth="1"/>
    <col min="8726" max="8726" width="19.125" style="22" customWidth="1"/>
    <col min="8727" max="8727" width="8.125" style="22" customWidth="1"/>
    <col min="8728" max="8728" width="8.75" style="22" customWidth="1"/>
    <col min="8729" max="8729" width="11.25" style="22" customWidth="1"/>
    <col min="8730" max="8730" width="22.875" style="22" customWidth="1"/>
    <col min="8731" max="8731" width="9.375" style="22" customWidth="1"/>
    <col min="8732" max="8732" width="9.875" style="22" customWidth="1"/>
    <col min="8733" max="8734" width="15.875" style="22" customWidth="1"/>
    <col min="8735" max="8735" width="15" style="22" customWidth="1"/>
    <col min="8736" max="8736" width="23.25" style="22" customWidth="1"/>
    <col min="8737" max="8737" width="26.375" style="22" customWidth="1"/>
    <col min="8738" max="8738" width="11.25" style="22" customWidth="1"/>
    <col min="8739" max="8739" width="19.625" style="22" customWidth="1"/>
    <col min="8740" max="8740" width="14.375" style="22" customWidth="1"/>
    <col min="8741" max="8741" width="18.375" style="22" customWidth="1"/>
    <col min="8742" max="8742" width="10.25" style="22" customWidth="1"/>
    <col min="8743" max="8743" width="36.375" style="22" customWidth="1"/>
    <col min="8744" max="8744" width="20.625" style="22" customWidth="1"/>
    <col min="8745" max="8745" width="16.375" style="22" customWidth="1"/>
    <col min="8746" max="8746" width="14.625" style="22" customWidth="1"/>
    <col min="8747" max="8747" width="10" style="22" customWidth="1"/>
    <col min="8748" max="8748" width="8" style="22" customWidth="1"/>
    <col min="8749" max="8749" width="16" style="22" customWidth="1"/>
    <col min="8750" max="8750" width="16.375" style="22" customWidth="1"/>
    <col min="8751" max="8751" width="9" style="22"/>
    <col min="8752" max="8752" width="16.25" style="22" customWidth="1"/>
    <col min="8753" max="8762" width="9" style="22"/>
    <col min="8763" max="8763" width="12.625" style="22" customWidth="1"/>
    <col min="8764" max="8764" width="22.875" style="22" customWidth="1"/>
    <col min="8765" max="8765" width="8.75" style="22" customWidth="1"/>
    <col min="8766" max="8766" width="19.75" style="22" customWidth="1"/>
    <col min="8767" max="8767" width="9.375" style="22" customWidth="1"/>
    <col min="8768" max="8768" width="9" style="22"/>
    <col min="8769" max="8769" width="10.875" style="22" customWidth="1"/>
    <col min="8770" max="8770" width="9.875" style="22" customWidth="1"/>
    <col min="8771" max="8965" width="9" style="22"/>
    <col min="8966" max="8966" width="4" style="22" customWidth="1"/>
    <col min="8967" max="8967" width="5.875" style="22" customWidth="1"/>
    <col min="8968" max="8968" width="6.375" style="22" customWidth="1"/>
    <col min="8969" max="8969" width="20.25" style="22" customWidth="1"/>
    <col min="8970" max="8970" width="7.375" style="22" customWidth="1"/>
    <col min="8971" max="8971" width="12.75" style="22" customWidth="1"/>
    <col min="8972" max="8972" width="5.875" style="22" customWidth="1"/>
    <col min="8973" max="8973" width="8.75" style="22" customWidth="1"/>
    <col min="8974" max="8974" width="25.625" style="22" customWidth="1"/>
    <col min="8975" max="8975" width="6" style="22" customWidth="1"/>
    <col min="8976" max="8976" width="7.375" style="22" customWidth="1"/>
    <col min="8977" max="8977" width="7.125" style="22" customWidth="1"/>
    <col min="8978" max="8978" width="7" style="22" customWidth="1"/>
    <col min="8979" max="8979" width="6" style="22" customWidth="1"/>
    <col min="8980" max="8980" width="6.25" style="22" customWidth="1"/>
    <col min="8981" max="8981" width="6.375" style="22" customWidth="1"/>
    <col min="8982" max="8982" width="19.125" style="22" customWidth="1"/>
    <col min="8983" max="8983" width="8.125" style="22" customWidth="1"/>
    <col min="8984" max="8984" width="8.75" style="22" customWidth="1"/>
    <col min="8985" max="8985" width="11.25" style="22" customWidth="1"/>
    <col min="8986" max="8986" width="22.875" style="22" customWidth="1"/>
    <col min="8987" max="8987" width="9.375" style="22" customWidth="1"/>
    <col min="8988" max="8988" width="9.875" style="22" customWidth="1"/>
    <col min="8989" max="8990" width="15.875" style="22" customWidth="1"/>
    <col min="8991" max="8991" width="15" style="22" customWidth="1"/>
    <col min="8992" max="8992" width="23.25" style="22" customWidth="1"/>
    <col min="8993" max="8993" width="26.375" style="22" customWidth="1"/>
    <col min="8994" max="8994" width="11.25" style="22" customWidth="1"/>
    <col min="8995" max="8995" width="19.625" style="22" customWidth="1"/>
    <col min="8996" max="8996" width="14.375" style="22" customWidth="1"/>
    <col min="8997" max="8997" width="18.375" style="22" customWidth="1"/>
    <col min="8998" max="8998" width="10.25" style="22" customWidth="1"/>
    <col min="8999" max="8999" width="36.375" style="22" customWidth="1"/>
    <col min="9000" max="9000" width="20.625" style="22" customWidth="1"/>
    <col min="9001" max="9001" width="16.375" style="22" customWidth="1"/>
    <col min="9002" max="9002" width="14.625" style="22" customWidth="1"/>
    <col min="9003" max="9003" width="10" style="22" customWidth="1"/>
    <col min="9004" max="9004" width="8" style="22" customWidth="1"/>
    <col min="9005" max="9005" width="16" style="22" customWidth="1"/>
    <col min="9006" max="9006" width="16.375" style="22" customWidth="1"/>
    <col min="9007" max="9007" width="9" style="22"/>
    <col min="9008" max="9008" width="16.25" style="22" customWidth="1"/>
    <col min="9009" max="9018" width="9" style="22"/>
    <col min="9019" max="9019" width="12.625" style="22" customWidth="1"/>
    <col min="9020" max="9020" width="22.875" style="22" customWidth="1"/>
    <col min="9021" max="9021" width="8.75" style="22" customWidth="1"/>
    <col min="9022" max="9022" width="19.75" style="22" customWidth="1"/>
    <col min="9023" max="9023" width="9.375" style="22" customWidth="1"/>
    <col min="9024" max="9024" width="9" style="22"/>
    <col min="9025" max="9025" width="10.875" style="22" customWidth="1"/>
    <col min="9026" max="9026" width="9.875" style="22" customWidth="1"/>
    <col min="9027" max="9221" width="9" style="22"/>
    <col min="9222" max="9222" width="4" style="22" customWidth="1"/>
    <col min="9223" max="9223" width="5.875" style="22" customWidth="1"/>
    <col min="9224" max="9224" width="6.375" style="22" customWidth="1"/>
    <col min="9225" max="9225" width="20.25" style="22" customWidth="1"/>
    <col min="9226" max="9226" width="7.375" style="22" customWidth="1"/>
    <col min="9227" max="9227" width="12.75" style="22" customWidth="1"/>
    <col min="9228" max="9228" width="5.875" style="22" customWidth="1"/>
    <col min="9229" max="9229" width="8.75" style="22" customWidth="1"/>
    <col min="9230" max="9230" width="25.625" style="22" customWidth="1"/>
    <col min="9231" max="9231" width="6" style="22" customWidth="1"/>
    <col min="9232" max="9232" width="7.375" style="22" customWidth="1"/>
    <col min="9233" max="9233" width="7.125" style="22" customWidth="1"/>
    <col min="9234" max="9234" width="7" style="22" customWidth="1"/>
    <col min="9235" max="9235" width="6" style="22" customWidth="1"/>
    <col min="9236" max="9236" width="6.25" style="22" customWidth="1"/>
    <col min="9237" max="9237" width="6.375" style="22" customWidth="1"/>
    <col min="9238" max="9238" width="19.125" style="22" customWidth="1"/>
    <col min="9239" max="9239" width="8.125" style="22" customWidth="1"/>
    <col min="9240" max="9240" width="8.75" style="22" customWidth="1"/>
    <col min="9241" max="9241" width="11.25" style="22" customWidth="1"/>
    <col min="9242" max="9242" width="22.875" style="22" customWidth="1"/>
    <col min="9243" max="9243" width="9.375" style="22" customWidth="1"/>
    <col min="9244" max="9244" width="9.875" style="22" customWidth="1"/>
    <col min="9245" max="9246" width="15.875" style="22" customWidth="1"/>
    <col min="9247" max="9247" width="15" style="22" customWidth="1"/>
    <col min="9248" max="9248" width="23.25" style="22" customWidth="1"/>
    <col min="9249" max="9249" width="26.375" style="22" customWidth="1"/>
    <col min="9250" max="9250" width="11.25" style="22" customWidth="1"/>
    <col min="9251" max="9251" width="19.625" style="22" customWidth="1"/>
    <col min="9252" max="9252" width="14.375" style="22" customWidth="1"/>
    <col min="9253" max="9253" width="18.375" style="22" customWidth="1"/>
    <col min="9254" max="9254" width="10.25" style="22" customWidth="1"/>
    <col min="9255" max="9255" width="36.375" style="22" customWidth="1"/>
    <col min="9256" max="9256" width="20.625" style="22" customWidth="1"/>
    <col min="9257" max="9257" width="16.375" style="22" customWidth="1"/>
    <col min="9258" max="9258" width="14.625" style="22" customWidth="1"/>
    <col min="9259" max="9259" width="10" style="22" customWidth="1"/>
    <col min="9260" max="9260" width="8" style="22" customWidth="1"/>
    <col min="9261" max="9261" width="16" style="22" customWidth="1"/>
    <col min="9262" max="9262" width="16.375" style="22" customWidth="1"/>
    <col min="9263" max="9263" width="9" style="22"/>
    <col min="9264" max="9264" width="16.25" style="22" customWidth="1"/>
    <col min="9265" max="9274" width="9" style="22"/>
    <col min="9275" max="9275" width="12.625" style="22" customWidth="1"/>
    <col min="9276" max="9276" width="22.875" style="22" customWidth="1"/>
    <col min="9277" max="9277" width="8.75" style="22" customWidth="1"/>
    <col min="9278" max="9278" width="19.75" style="22" customWidth="1"/>
    <col min="9279" max="9279" width="9.375" style="22" customWidth="1"/>
    <col min="9280" max="9280" width="9" style="22"/>
    <col min="9281" max="9281" width="10.875" style="22" customWidth="1"/>
    <col min="9282" max="9282" width="9.875" style="22" customWidth="1"/>
    <col min="9283" max="9477" width="9" style="22"/>
    <col min="9478" max="9478" width="4" style="22" customWidth="1"/>
    <col min="9479" max="9479" width="5.875" style="22" customWidth="1"/>
    <col min="9480" max="9480" width="6.375" style="22" customWidth="1"/>
    <col min="9481" max="9481" width="20.25" style="22" customWidth="1"/>
    <col min="9482" max="9482" width="7.375" style="22" customWidth="1"/>
    <col min="9483" max="9483" width="12.75" style="22" customWidth="1"/>
    <col min="9484" max="9484" width="5.875" style="22" customWidth="1"/>
    <col min="9485" max="9485" width="8.75" style="22" customWidth="1"/>
    <col min="9486" max="9486" width="25.625" style="22" customWidth="1"/>
    <col min="9487" max="9487" width="6" style="22" customWidth="1"/>
    <col min="9488" max="9488" width="7.375" style="22" customWidth="1"/>
    <col min="9489" max="9489" width="7.125" style="22" customWidth="1"/>
    <col min="9490" max="9490" width="7" style="22" customWidth="1"/>
    <col min="9491" max="9491" width="6" style="22" customWidth="1"/>
    <col min="9492" max="9492" width="6.25" style="22" customWidth="1"/>
    <col min="9493" max="9493" width="6.375" style="22" customWidth="1"/>
    <col min="9494" max="9494" width="19.125" style="22" customWidth="1"/>
    <col min="9495" max="9495" width="8.125" style="22" customWidth="1"/>
    <col min="9496" max="9496" width="8.75" style="22" customWidth="1"/>
    <col min="9497" max="9497" width="11.25" style="22" customWidth="1"/>
    <col min="9498" max="9498" width="22.875" style="22" customWidth="1"/>
    <col min="9499" max="9499" width="9.375" style="22" customWidth="1"/>
    <col min="9500" max="9500" width="9.875" style="22" customWidth="1"/>
    <col min="9501" max="9502" width="15.875" style="22" customWidth="1"/>
    <col min="9503" max="9503" width="15" style="22" customWidth="1"/>
    <col min="9504" max="9504" width="23.25" style="22" customWidth="1"/>
    <col min="9505" max="9505" width="26.375" style="22" customWidth="1"/>
    <col min="9506" max="9506" width="11.25" style="22" customWidth="1"/>
    <col min="9507" max="9507" width="19.625" style="22" customWidth="1"/>
    <col min="9508" max="9508" width="14.375" style="22" customWidth="1"/>
    <col min="9509" max="9509" width="18.375" style="22" customWidth="1"/>
    <col min="9510" max="9510" width="10.25" style="22" customWidth="1"/>
    <col min="9511" max="9511" width="36.375" style="22" customWidth="1"/>
    <col min="9512" max="9512" width="20.625" style="22" customWidth="1"/>
    <col min="9513" max="9513" width="16.375" style="22" customWidth="1"/>
    <col min="9514" max="9514" width="14.625" style="22" customWidth="1"/>
    <col min="9515" max="9515" width="10" style="22" customWidth="1"/>
    <col min="9516" max="9516" width="8" style="22" customWidth="1"/>
    <col min="9517" max="9517" width="16" style="22" customWidth="1"/>
    <col min="9518" max="9518" width="16.375" style="22" customWidth="1"/>
    <col min="9519" max="9519" width="9" style="22"/>
    <col min="9520" max="9520" width="16.25" style="22" customWidth="1"/>
    <col min="9521" max="9530" width="9" style="22"/>
    <col min="9531" max="9531" width="12.625" style="22" customWidth="1"/>
    <col min="9532" max="9532" width="22.875" style="22" customWidth="1"/>
    <col min="9533" max="9533" width="8.75" style="22" customWidth="1"/>
    <col min="9534" max="9534" width="19.75" style="22" customWidth="1"/>
    <col min="9535" max="9535" width="9.375" style="22" customWidth="1"/>
    <col min="9536" max="9536" width="9" style="22"/>
    <col min="9537" max="9537" width="10.875" style="22" customWidth="1"/>
    <col min="9538" max="9538" width="9.875" style="22" customWidth="1"/>
    <col min="9539" max="9733" width="9" style="22"/>
    <col min="9734" max="9734" width="4" style="22" customWidth="1"/>
    <col min="9735" max="9735" width="5.875" style="22" customWidth="1"/>
    <col min="9736" max="9736" width="6.375" style="22" customWidth="1"/>
    <col min="9737" max="9737" width="20.25" style="22" customWidth="1"/>
    <col min="9738" max="9738" width="7.375" style="22" customWidth="1"/>
    <col min="9739" max="9739" width="12.75" style="22" customWidth="1"/>
    <col min="9740" max="9740" width="5.875" style="22" customWidth="1"/>
    <col min="9741" max="9741" width="8.75" style="22" customWidth="1"/>
    <col min="9742" max="9742" width="25.625" style="22" customWidth="1"/>
    <col min="9743" max="9743" width="6" style="22" customWidth="1"/>
    <col min="9744" max="9744" width="7.375" style="22" customWidth="1"/>
    <col min="9745" max="9745" width="7.125" style="22" customWidth="1"/>
    <col min="9746" max="9746" width="7" style="22" customWidth="1"/>
    <col min="9747" max="9747" width="6" style="22" customWidth="1"/>
    <col min="9748" max="9748" width="6.25" style="22" customWidth="1"/>
    <col min="9749" max="9749" width="6.375" style="22" customWidth="1"/>
    <col min="9750" max="9750" width="19.125" style="22" customWidth="1"/>
    <col min="9751" max="9751" width="8.125" style="22" customWidth="1"/>
    <col min="9752" max="9752" width="8.75" style="22" customWidth="1"/>
    <col min="9753" max="9753" width="11.25" style="22" customWidth="1"/>
    <col min="9754" max="9754" width="22.875" style="22" customWidth="1"/>
    <col min="9755" max="9755" width="9.375" style="22" customWidth="1"/>
    <col min="9756" max="9756" width="9.875" style="22" customWidth="1"/>
    <col min="9757" max="9758" width="15.875" style="22" customWidth="1"/>
    <col min="9759" max="9759" width="15" style="22" customWidth="1"/>
    <col min="9760" max="9760" width="23.25" style="22" customWidth="1"/>
    <col min="9761" max="9761" width="26.375" style="22" customWidth="1"/>
    <col min="9762" max="9762" width="11.25" style="22" customWidth="1"/>
    <col min="9763" max="9763" width="19.625" style="22" customWidth="1"/>
    <col min="9764" max="9764" width="14.375" style="22" customWidth="1"/>
    <col min="9765" max="9765" width="18.375" style="22" customWidth="1"/>
    <col min="9766" max="9766" width="10.25" style="22" customWidth="1"/>
    <col min="9767" max="9767" width="36.375" style="22" customWidth="1"/>
    <col min="9768" max="9768" width="20.625" style="22" customWidth="1"/>
    <col min="9769" max="9769" width="16.375" style="22" customWidth="1"/>
    <col min="9770" max="9770" width="14.625" style="22" customWidth="1"/>
    <col min="9771" max="9771" width="10" style="22" customWidth="1"/>
    <col min="9772" max="9772" width="8" style="22" customWidth="1"/>
    <col min="9773" max="9773" width="16" style="22" customWidth="1"/>
    <col min="9774" max="9774" width="16.375" style="22" customWidth="1"/>
    <col min="9775" max="9775" width="9" style="22"/>
    <col min="9776" max="9776" width="16.25" style="22" customWidth="1"/>
    <col min="9777" max="9786" width="9" style="22"/>
    <col min="9787" max="9787" width="12.625" style="22" customWidth="1"/>
    <col min="9788" max="9788" width="22.875" style="22" customWidth="1"/>
    <col min="9789" max="9789" width="8.75" style="22" customWidth="1"/>
    <col min="9790" max="9790" width="19.75" style="22" customWidth="1"/>
    <col min="9791" max="9791" width="9.375" style="22" customWidth="1"/>
    <col min="9792" max="9792" width="9" style="22"/>
    <col min="9793" max="9793" width="10.875" style="22" customWidth="1"/>
    <col min="9794" max="9794" width="9.875" style="22" customWidth="1"/>
    <col min="9795" max="9989" width="9" style="22"/>
    <col min="9990" max="9990" width="4" style="22" customWidth="1"/>
    <col min="9991" max="9991" width="5.875" style="22" customWidth="1"/>
    <col min="9992" max="9992" width="6.375" style="22" customWidth="1"/>
    <col min="9993" max="9993" width="20.25" style="22" customWidth="1"/>
    <col min="9994" max="9994" width="7.375" style="22" customWidth="1"/>
    <col min="9995" max="9995" width="12.75" style="22" customWidth="1"/>
    <col min="9996" max="9996" width="5.875" style="22" customWidth="1"/>
    <col min="9997" max="9997" width="8.75" style="22" customWidth="1"/>
    <col min="9998" max="9998" width="25.625" style="22" customWidth="1"/>
    <col min="9999" max="9999" width="6" style="22" customWidth="1"/>
    <col min="10000" max="10000" width="7.375" style="22" customWidth="1"/>
    <col min="10001" max="10001" width="7.125" style="22" customWidth="1"/>
    <col min="10002" max="10002" width="7" style="22" customWidth="1"/>
    <col min="10003" max="10003" width="6" style="22" customWidth="1"/>
    <col min="10004" max="10004" width="6.25" style="22" customWidth="1"/>
    <col min="10005" max="10005" width="6.375" style="22" customWidth="1"/>
    <col min="10006" max="10006" width="19.125" style="22" customWidth="1"/>
    <col min="10007" max="10007" width="8.125" style="22" customWidth="1"/>
    <col min="10008" max="10008" width="8.75" style="22" customWidth="1"/>
    <col min="10009" max="10009" width="11.25" style="22" customWidth="1"/>
    <col min="10010" max="10010" width="22.875" style="22" customWidth="1"/>
    <col min="10011" max="10011" width="9.375" style="22" customWidth="1"/>
    <col min="10012" max="10012" width="9.875" style="22" customWidth="1"/>
    <col min="10013" max="10014" width="15.875" style="22" customWidth="1"/>
    <col min="10015" max="10015" width="15" style="22" customWidth="1"/>
    <col min="10016" max="10016" width="23.25" style="22" customWidth="1"/>
    <col min="10017" max="10017" width="26.375" style="22" customWidth="1"/>
    <col min="10018" max="10018" width="11.25" style="22" customWidth="1"/>
    <col min="10019" max="10019" width="19.625" style="22" customWidth="1"/>
    <col min="10020" max="10020" width="14.375" style="22" customWidth="1"/>
    <col min="10021" max="10021" width="18.375" style="22" customWidth="1"/>
    <col min="10022" max="10022" width="10.25" style="22" customWidth="1"/>
    <col min="10023" max="10023" width="36.375" style="22" customWidth="1"/>
    <col min="10024" max="10024" width="20.625" style="22" customWidth="1"/>
    <col min="10025" max="10025" width="16.375" style="22" customWidth="1"/>
    <col min="10026" max="10026" width="14.625" style="22" customWidth="1"/>
    <col min="10027" max="10027" width="10" style="22" customWidth="1"/>
    <col min="10028" max="10028" width="8" style="22" customWidth="1"/>
    <col min="10029" max="10029" width="16" style="22" customWidth="1"/>
    <col min="10030" max="10030" width="16.375" style="22" customWidth="1"/>
    <col min="10031" max="10031" width="9" style="22"/>
    <col min="10032" max="10032" width="16.25" style="22" customWidth="1"/>
    <col min="10033" max="10042" width="9" style="22"/>
    <col min="10043" max="10043" width="12.625" style="22" customWidth="1"/>
    <col min="10044" max="10044" width="22.875" style="22" customWidth="1"/>
    <col min="10045" max="10045" width="8.75" style="22" customWidth="1"/>
    <col min="10046" max="10046" width="19.75" style="22" customWidth="1"/>
    <col min="10047" max="10047" width="9.375" style="22" customWidth="1"/>
    <col min="10048" max="10048" width="9" style="22"/>
    <col min="10049" max="10049" width="10.875" style="22" customWidth="1"/>
    <col min="10050" max="10050" width="9.875" style="22" customWidth="1"/>
    <col min="10051" max="10245" width="9" style="22"/>
    <col min="10246" max="10246" width="4" style="22" customWidth="1"/>
    <col min="10247" max="10247" width="5.875" style="22" customWidth="1"/>
    <col min="10248" max="10248" width="6.375" style="22" customWidth="1"/>
    <col min="10249" max="10249" width="20.25" style="22" customWidth="1"/>
    <col min="10250" max="10250" width="7.375" style="22" customWidth="1"/>
    <col min="10251" max="10251" width="12.75" style="22" customWidth="1"/>
    <col min="10252" max="10252" width="5.875" style="22" customWidth="1"/>
    <col min="10253" max="10253" width="8.75" style="22" customWidth="1"/>
    <col min="10254" max="10254" width="25.625" style="22" customWidth="1"/>
    <col min="10255" max="10255" width="6" style="22" customWidth="1"/>
    <col min="10256" max="10256" width="7.375" style="22" customWidth="1"/>
    <col min="10257" max="10257" width="7.125" style="22" customWidth="1"/>
    <col min="10258" max="10258" width="7" style="22" customWidth="1"/>
    <col min="10259" max="10259" width="6" style="22" customWidth="1"/>
    <col min="10260" max="10260" width="6.25" style="22" customWidth="1"/>
    <col min="10261" max="10261" width="6.375" style="22" customWidth="1"/>
    <col min="10262" max="10262" width="19.125" style="22" customWidth="1"/>
    <col min="10263" max="10263" width="8.125" style="22" customWidth="1"/>
    <col min="10264" max="10264" width="8.75" style="22" customWidth="1"/>
    <col min="10265" max="10265" width="11.25" style="22" customWidth="1"/>
    <col min="10266" max="10266" width="22.875" style="22" customWidth="1"/>
    <col min="10267" max="10267" width="9.375" style="22" customWidth="1"/>
    <col min="10268" max="10268" width="9.875" style="22" customWidth="1"/>
    <col min="10269" max="10270" width="15.875" style="22" customWidth="1"/>
    <col min="10271" max="10271" width="15" style="22" customWidth="1"/>
    <col min="10272" max="10272" width="23.25" style="22" customWidth="1"/>
    <col min="10273" max="10273" width="26.375" style="22" customWidth="1"/>
    <col min="10274" max="10274" width="11.25" style="22" customWidth="1"/>
    <col min="10275" max="10275" width="19.625" style="22" customWidth="1"/>
    <col min="10276" max="10276" width="14.375" style="22" customWidth="1"/>
    <col min="10277" max="10277" width="18.375" style="22" customWidth="1"/>
    <col min="10278" max="10278" width="10.25" style="22" customWidth="1"/>
    <col min="10279" max="10279" width="36.375" style="22" customWidth="1"/>
    <col min="10280" max="10280" width="20.625" style="22" customWidth="1"/>
    <col min="10281" max="10281" width="16.375" style="22" customWidth="1"/>
    <col min="10282" max="10282" width="14.625" style="22" customWidth="1"/>
    <col min="10283" max="10283" width="10" style="22" customWidth="1"/>
    <col min="10284" max="10284" width="8" style="22" customWidth="1"/>
    <col min="10285" max="10285" width="16" style="22" customWidth="1"/>
    <col min="10286" max="10286" width="16.375" style="22" customWidth="1"/>
    <col min="10287" max="10287" width="9" style="22"/>
    <col min="10288" max="10288" width="16.25" style="22" customWidth="1"/>
    <col min="10289" max="10298" width="9" style="22"/>
    <col min="10299" max="10299" width="12.625" style="22" customWidth="1"/>
    <col min="10300" max="10300" width="22.875" style="22" customWidth="1"/>
    <col min="10301" max="10301" width="8.75" style="22" customWidth="1"/>
    <col min="10302" max="10302" width="19.75" style="22" customWidth="1"/>
    <col min="10303" max="10303" width="9.375" style="22" customWidth="1"/>
    <col min="10304" max="10304" width="9" style="22"/>
    <col min="10305" max="10305" width="10.875" style="22" customWidth="1"/>
    <col min="10306" max="10306" width="9.875" style="22" customWidth="1"/>
    <col min="10307" max="10501" width="9" style="22"/>
    <col min="10502" max="10502" width="4" style="22" customWidth="1"/>
    <col min="10503" max="10503" width="5.875" style="22" customWidth="1"/>
    <col min="10504" max="10504" width="6.375" style="22" customWidth="1"/>
    <col min="10505" max="10505" width="20.25" style="22" customWidth="1"/>
    <col min="10506" max="10506" width="7.375" style="22" customWidth="1"/>
    <col min="10507" max="10507" width="12.75" style="22" customWidth="1"/>
    <col min="10508" max="10508" width="5.875" style="22" customWidth="1"/>
    <col min="10509" max="10509" width="8.75" style="22" customWidth="1"/>
    <col min="10510" max="10510" width="25.625" style="22" customWidth="1"/>
    <col min="10511" max="10511" width="6" style="22" customWidth="1"/>
    <col min="10512" max="10512" width="7.375" style="22" customWidth="1"/>
    <col min="10513" max="10513" width="7.125" style="22" customWidth="1"/>
    <col min="10514" max="10514" width="7" style="22" customWidth="1"/>
    <col min="10515" max="10515" width="6" style="22" customWidth="1"/>
    <col min="10516" max="10516" width="6.25" style="22" customWidth="1"/>
    <col min="10517" max="10517" width="6.375" style="22" customWidth="1"/>
    <col min="10518" max="10518" width="19.125" style="22" customWidth="1"/>
    <col min="10519" max="10519" width="8.125" style="22" customWidth="1"/>
    <col min="10520" max="10520" width="8.75" style="22" customWidth="1"/>
    <col min="10521" max="10521" width="11.25" style="22" customWidth="1"/>
    <col min="10522" max="10522" width="22.875" style="22" customWidth="1"/>
    <col min="10523" max="10523" width="9.375" style="22" customWidth="1"/>
    <col min="10524" max="10524" width="9.875" style="22" customWidth="1"/>
    <col min="10525" max="10526" width="15.875" style="22" customWidth="1"/>
    <col min="10527" max="10527" width="15" style="22" customWidth="1"/>
    <col min="10528" max="10528" width="23.25" style="22" customWidth="1"/>
    <col min="10529" max="10529" width="26.375" style="22" customWidth="1"/>
    <col min="10530" max="10530" width="11.25" style="22" customWidth="1"/>
    <col min="10531" max="10531" width="19.625" style="22" customWidth="1"/>
    <col min="10532" max="10532" width="14.375" style="22" customWidth="1"/>
    <col min="10533" max="10533" width="18.375" style="22" customWidth="1"/>
    <col min="10534" max="10534" width="10.25" style="22" customWidth="1"/>
    <col min="10535" max="10535" width="36.375" style="22" customWidth="1"/>
    <col min="10536" max="10536" width="20.625" style="22" customWidth="1"/>
    <col min="10537" max="10537" width="16.375" style="22" customWidth="1"/>
    <col min="10538" max="10538" width="14.625" style="22" customWidth="1"/>
    <col min="10539" max="10539" width="10" style="22" customWidth="1"/>
    <col min="10540" max="10540" width="8" style="22" customWidth="1"/>
    <col min="10541" max="10541" width="16" style="22" customWidth="1"/>
    <col min="10542" max="10542" width="16.375" style="22" customWidth="1"/>
    <col min="10543" max="10543" width="9" style="22"/>
    <col min="10544" max="10544" width="16.25" style="22" customWidth="1"/>
    <col min="10545" max="10554" width="9" style="22"/>
    <col min="10555" max="10555" width="12.625" style="22" customWidth="1"/>
    <col min="10556" max="10556" width="22.875" style="22" customWidth="1"/>
    <col min="10557" max="10557" width="8.75" style="22" customWidth="1"/>
    <col min="10558" max="10558" width="19.75" style="22" customWidth="1"/>
    <col min="10559" max="10559" width="9.375" style="22" customWidth="1"/>
    <col min="10560" max="10560" width="9" style="22"/>
    <col min="10561" max="10561" width="10.875" style="22" customWidth="1"/>
    <col min="10562" max="10562" width="9.875" style="22" customWidth="1"/>
    <col min="10563" max="10757" width="9" style="22"/>
    <col min="10758" max="10758" width="4" style="22" customWidth="1"/>
    <col min="10759" max="10759" width="5.875" style="22" customWidth="1"/>
    <col min="10760" max="10760" width="6.375" style="22" customWidth="1"/>
    <col min="10761" max="10761" width="20.25" style="22" customWidth="1"/>
    <col min="10762" max="10762" width="7.375" style="22" customWidth="1"/>
    <col min="10763" max="10763" width="12.75" style="22" customWidth="1"/>
    <col min="10764" max="10764" width="5.875" style="22" customWidth="1"/>
    <col min="10765" max="10765" width="8.75" style="22" customWidth="1"/>
    <col min="10766" max="10766" width="25.625" style="22" customWidth="1"/>
    <col min="10767" max="10767" width="6" style="22" customWidth="1"/>
    <col min="10768" max="10768" width="7.375" style="22" customWidth="1"/>
    <col min="10769" max="10769" width="7.125" style="22" customWidth="1"/>
    <col min="10770" max="10770" width="7" style="22" customWidth="1"/>
    <col min="10771" max="10771" width="6" style="22" customWidth="1"/>
    <col min="10772" max="10772" width="6.25" style="22" customWidth="1"/>
    <col min="10773" max="10773" width="6.375" style="22" customWidth="1"/>
    <col min="10774" max="10774" width="19.125" style="22" customWidth="1"/>
    <col min="10775" max="10775" width="8.125" style="22" customWidth="1"/>
    <col min="10776" max="10776" width="8.75" style="22" customWidth="1"/>
    <col min="10777" max="10777" width="11.25" style="22" customWidth="1"/>
    <col min="10778" max="10778" width="22.875" style="22" customWidth="1"/>
    <col min="10779" max="10779" width="9.375" style="22" customWidth="1"/>
    <col min="10780" max="10780" width="9.875" style="22" customWidth="1"/>
    <col min="10781" max="10782" width="15.875" style="22" customWidth="1"/>
    <col min="10783" max="10783" width="15" style="22" customWidth="1"/>
    <col min="10784" max="10784" width="23.25" style="22" customWidth="1"/>
    <col min="10785" max="10785" width="26.375" style="22" customWidth="1"/>
    <col min="10786" max="10786" width="11.25" style="22" customWidth="1"/>
    <col min="10787" max="10787" width="19.625" style="22" customWidth="1"/>
    <col min="10788" max="10788" width="14.375" style="22" customWidth="1"/>
    <col min="10789" max="10789" width="18.375" style="22" customWidth="1"/>
    <col min="10790" max="10790" width="10.25" style="22" customWidth="1"/>
    <col min="10791" max="10791" width="36.375" style="22" customWidth="1"/>
    <col min="10792" max="10792" width="20.625" style="22" customWidth="1"/>
    <col min="10793" max="10793" width="16.375" style="22" customWidth="1"/>
    <col min="10794" max="10794" width="14.625" style="22" customWidth="1"/>
    <col min="10795" max="10795" width="10" style="22" customWidth="1"/>
    <col min="10796" max="10796" width="8" style="22" customWidth="1"/>
    <col min="10797" max="10797" width="16" style="22" customWidth="1"/>
    <col min="10798" max="10798" width="16.375" style="22" customWidth="1"/>
    <col min="10799" max="10799" width="9" style="22"/>
    <col min="10800" max="10800" width="16.25" style="22" customWidth="1"/>
    <col min="10801" max="10810" width="9" style="22"/>
    <col min="10811" max="10811" width="12.625" style="22" customWidth="1"/>
    <col min="10812" max="10812" width="22.875" style="22" customWidth="1"/>
    <col min="10813" max="10813" width="8.75" style="22" customWidth="1"/>
    <col min="10814" max="10814" width="19.75" style="22" customWidth="1"/>
    <col min="10815" max="10815" width="9.375" style="22" customWidth="1"/>
    <col min="10816" max="10816" width="9" style="22"/>
    <col min="10817" max="10817" width="10.875" style="22" customWidth="1"/>
    <col min="10818" max="10818" width="9.875" style="22" customWidth="1"/>
    <col min="10819" max="11013" width="9" style="22"/>
    <col min="11014" max="11014" width="4" style="22" customWidth="1"/>
    <col min="11015" max="11015" width="5.875" style="22" customWidth="1"/>
    <col min="11016" max="11016" width="6.375" style="22" customWidth="1"/>
    <col min="11017" max="11017" width="20.25" style="22" customWidth="1"/>
    <col min="11018" max="11018" width="7.375" style="22" customWidth="1"/>
    <col min="11019" max="11019" width="12.75" style="22" customWidth="1"/>
    <col min="11020" max="11020" width="5.875" style="22" customWidth="1"/>
    <col min="11021" max="11021" width="8.75" style="22" customWidth="1"/>
    <col min="11022" max="11022" width="25.625" style="22" customWidth="1"/>
    <col min="11023" max="11023" width="6" style="22" customWidth="1"/>
    <col min="11024" max="11024" width="7.375" style="22" customWidth="1"/>
    <col min="11025" max="11025" width="7.125" style="22" customWidth="1"/>
    <col min="11026" max="11026" width="7" style="22" customWidth="1"/>
    <col min="11027" max="11027" width="6" style="22" customWidth="1"/>
    <col min="11028" max="11028" width="6.25" style="22" customWidth="1"/>
    <col min="11029" max="11029" width="6.375" style="22" customWidth="1"/>
    <col min="11030" max="11030" width="19.125" style="22" customWidth="1"/>
    <col min="11031" max="11031" width="8.125" style="22" customWidth="1"/>
    <col min="11032" max="11032" width="8.75" style="22" customWidth="1"/>
    <col min="11033" max="11033" width="11.25" style="22" customWidth="1"/>
    <col min="11034" max="11034" width="22.875" style="22" customWidth="1"/>
    <col min="11035" max="11035" width="9.375" style="22" customWidth="1"/>
    <col min="11036" max="11036" width="9.875" style="22" customWidth="1"/>
    <col min="11037" max="11038" width="15.875" style="22" customWidth="1"/>
    <col min="11039" max="11039" width="15" style="22" customWidth="1"/>
    <col min="11040" max="11040" width="23.25" style="22" customWidth="1"/>
    <col min="11041" max="11041" width="26.375" style="22" customWidth="1"/>
    <col min="11042" max="11042" width="11.25" style="22" customWidth="1"/>
    <col min="11043" max="11043" width="19.625" style="22" customWidth="1"/>
    <col min="11044" max="11044" width="14.375" style="22" customWidth="1"/>
    <col min="11045" max="11045" width="18.375" style="22" customWidth="1"/>
    <col min="11046" max="11046" width="10.25" style="22" customWidth="1"/>
    <col min="11047" max="11047" width="36.375" style="22" customWidth="1"/>
    <col min="11048" max="11048" width="20.625" style="22" customWidth="1"/>
    <col min="11049" max="11049" width="16.375" style="22" customWidth="1"/>
    <col min="11050" max="11050" width="14.625" style="22" customWidth="1"/>
    <col min="11051" max="11051" width="10" style="22" customWidth="1"/>
    <col min="11052" max="11052" width="8" style="22" customWidth="1"/>
    <col min="11053" max="11053" width="16" style="22" customWidth="1"/>
    <col min="11054" max="11054" width="16.375" style="22" customWidth="1"/>
    <col min="11055" max="11055" width="9" style="22"/>
    <col min="11056" max="11056" width="16.25" style="22" customWidth="1"/>
    <col min="11057" max="11066" width="9" style="22"/>
    <col min="11067" max="11067" width="12.625" style="22" customWidth="1"/>
    <col min="11068" max="11068" width="22.875" style="22" customWidth="1"/>
    <col min="11069" max="11069" width="8.75" style="22" customWidth="1"/>
    <col min="11070" max="11070" width="19.75" style="22" customWidth="1"/>
    <col min="11071" max="11071" width="9.375" style="22" customWidth="1"/>
    <col min="11072" max="11072" width="9" style="22"/>
    <col min="11073" max="11073" width="10.875" style="22" customWidth="1"/>
    <col min="11074" max="11074" width="9.875" style="22" customWidth="1"/>
    <col min="11075" max="11269" width="9" style="22"/>
    <col min="11270" max="11270" width="4" style="22" customWidth="1"/>
    <col min="11271" max="11271" width="5.875" style="22" customWidth="1"/>
    <col min="11272" max="11272" width="6.375" style="22" customWidth="1"/>
    <col min="11273" max="11273" width="20.25" style="22" customWidth="1"/>
    <col min="11274" max="11274" width="7.375" style="22" customWidth="1"/>
    <col min="11275" max="11275" width="12.75" style="22" customWidth="1"/>
    <col min="11276" max="11276" width="5.875" style="22" customWidth="1"/>
    <col min="11277" max="11277" width="8.75" style="22" customWidth="1"/>
    <col min="11278" max="11278" width="25.625" style="22" customWidth="1"/>
    <col min="11279" max="11279" width="6" style="22" customWidth="1"/>
    <col min="11280" max="11280" width="7.375" style="22" customWidth="1"/>
    <col min="11281" max="11281" width="7.125" style="22" customWidth="1"/>
    <col min="11282" max="11282" width="7" style="22" customWidth="1"/>
    <col min="11283" max="11283" width="6" style="22" customWidth="1"/>
    <col min="11284" max="11284" width="6.25" style="22" customWidth="1"/>
    <col min="11285" max="11285" width="6.375" style="22" customWidth="1"/>
    <col min="11286" max="11286" width="19.125" style="22" customWidth="1"/>
    <col min="11287" max="11287" width="8.125" style="22" customWidth="1"/>
    <col min="11288" max="11288" width="8.75" style="22" customWidth="1"/>
    <col min="11289" max="11289" width="11.25" style="22" customWidth="1"/>
    <col min="11290" max="11290" width="22.875" style="22" customWidth="1"/>
    <col min="11291" max="11291" width="9.375" style="22" customWidth="1"/>
    <col min="11292" max="11292" width="9.875" style="22" customWidth="1"/>
    <col min="11293" max="11294" width="15.875" style="22" customWidth="1"/>
    <col min="11295" max="11295" width="15" style="22" customWidth="1"/>
    <col min="11296" max="11296" width="23.25" style="22" customWidth="1"/>
    <col min="11297" max="11297" width="26.375" style="22" customWidth="1"/>
    <col min="11298" max="11298" width="11.25" style="22" customWidth="1"/>
    <col min="11299" max="11299" width="19.625" style="22" customWidth="1"/>
    <col min="11300" max="11300" width="14.375" style="22" customWidth="1"/>
    <col min="11301" max="11301" width="18.375" style="22" customWidth="1"/>
    <col min="11302" max="11302" width="10.25" style="22" customWidth="1"/>
    <col min="11303" max="11303" width="36.375" style="22" customWidth="1"/>
    <col min="11304" max="11304" width="20.625" style="22" customWidth="1"/>
    <col min="11305" max="11305" width="16.375" style="22" customWidth="1"/>
    <col min="11306" max="11306" width="14.625" style="22" customWidth="1"/>
    <col min="11307" max="11307" width="10" style="22" customWidth="1"/>
    <col min="11308" max="11308" width="8" style="22" customWidth="1"/>
    <col min="11309" max="11309" width="16" style="22" customWidth="1"/>
    <col min="11310" max="11310" width="16.375" style="22" customWidth="1"/>
    <col min="11311" max="11311" width="9" style="22"/>
    <col min="11312" max="11312" width="16.25" style="22" customWidth="1"/>
    <col min="11313" max="11322" width="9" style="22"/>
    <col min="11323" max="11323" width="12.625" style="22" customWidth="1"/>
    <col min="11324" max="11324" width="22.875" style="22" customWidth="1"/>
    <col min="11325" max="11325" width="8.75" style="22" customWidth="1"/>
    <col min="11326" max="11326" width="19.75" style="22" customWidth="1"/>
    <col min="11327" max="11327" width="9.375" style="22" customWidth="1"/>
    <col min="11328" max="11328" width="9" style="22"/>
    <col min="11329" max="11329" width="10.875" style="22" customWidth="1"/>
    <col min="11330" max="11330" width="9.875" style="22" customWidth="1"/>
    <col min="11331" max="11525" width="9" style="22"/>
    <col min="11526" max="11526" width="4" style="22" customWidth="1"/>
    <col min="11527" max="11527" width="5.875" style="22" customWidth="1"/>
    <col min="11528" max="11528" width="6.375" style="22" customWidth="1"/>
    <col min="11529" max="11529" width="20.25" style="22" customWidth="1"/>
    <col min="11530" max="11530" width="7.375" style="22" customWidth="1"/>
    <col min="11531" max="11531" width="12.75" style="22" customWidth="1"/>
    <col min="11532" max="11532" width="5.875" style="22" customWidth="1"/>
    <col min="11533" max="11533" width="8.75" style="22" customWidth="1"/>
    <col min="11534" max="11534" width="25.625" style="22" customWidth="1"/>
    <col min="11535" max="11535" width="6" style="22" customWidth="1"/>
    <col min="11536" max="11536" width="7.375" style="22" customWidth="1"/>
    <col min="11537" max="11537" width="7.125" style="22" customWidth="1"/>
    <col min="11538" max="11538" width="7" style="22" customWidth="1"/>
    <col min="11539" max="11539" width="6" style="22" customWidth="1"/>
    <col min="11540" max="11540" width="6.25" style="22" customWidth="1"/>
    <col min="11541" max="11541" width="6.375" style="22" customWidth="1"/>
    <col min="11542" max="11542" width="19.125" style="22" customWidth="1"/>
    <col min="11543" max="11543" width="8.125" style="22" customWidth="1"/>
    <col min="11544" max="11544" width="8.75" style="22" customWidth="1"/>
    <col min="11545" max="11545" width="11.25" style="22" customWidth="1"/>
    <col min="11546" max="11546" width="22.875" style="22" customWidth="1"/>
    <col min="11547" max="11547" width="9.375" style="22" customWidth="1"/>
    <col min="11548" max="11548" width="9.875" style="22" customWidth="1"/>
    <col min="11549" max="11550" width="15.875" style="22" customWidth="1"/>
    <col min="11551" max="11551" width="15" style="22" customWidth="1"/>
    <col min="11552" max="11552" width="23.25" style="22" customWidth="1"/>
    <col min="11553" max="11553" width="26.375" style="22" customWidth="1"/>
    <col min="11554" max="11554" width="11.25" style="22" customWidth="1"/>
    <col min="11555" max="11555" width="19.625" style="22" customWidth="1"/>
    <col min="11556" max="11556" width="14.375" style="22" customWidth="1"/>
    <col min="11557" max="11557" width="18.375" style="22" customWidth="1"/>
    <col min="11558" max="11558" width="10.25" style="22" customWidth="1"/>
    <col min="11559" max="11559" width="36.375" style="22" customWidth="1"/>
    <col min="11560" max="11560" width="20.625" style="22" customWidth="1"/>
    <col min="11561" max="11561" width="16.375" style="22" customWidth="1"/>
    <col min="11562" max="11562" width="14.625" style="22" customWidth="1"/>
    <col min="11563" max="11563" width="10" style="22" customWidth="1"/>
    <col min="11564" max="11564" width="8" style="22" customWidth="1"/>
    <col min="11565" max="11565" width="16" style="22" customWidth="1"/>
    <col min="11566" max="11566" width="16.375" style="22" customWidth="1"/>
    <col min="11567" max="11567" width="9" style="22"/>
    <col min="11568" max="11568" width="16.25" style="22" customWidth="1"/>
    <col min="11569" max="11578" width="9" style="22"/>
    <col min="11579" max="11579" width="12.625" style="22" customWidth="1"/>
    <col min="11580" max="11580" width="22.875" style="22" customWidth="1"/>
    <col min="11581" max="11581" width="8.75" style="22" customWidth="1"/>
    <col min="11582" max="11582" width="19.75" style="22" customWidth="1"/>
    <col min="11583" max="11583" width="9.375" style="22" customWidth="1"/>
    <col min="11584" max="11584" width="9" style="22"/>
    <col min="11585" max="11585" width="10.875" style="22" customWidth="1"/>
    <col min="11586" max="11586" width="9.875" style="22" customWidth="1"/>
    <col min="11587" max="11781" width="9" style="22"/>
    <col min="11782" max="11782" width="4" style="22" customWidth="1"/>
    <col min="11783" max="11783" width="5.875" style="22" customWidth="1"/>
    <col min="11784" max="11784" width="6.375" style="22" customWidth="1"/>
    <col min="11785" max="11785" width="20.25" style="22" customWidth="1"/>
    <col min="11786" max="11786" width="7.375" style="22" customWidth="1"/>
    <col min="11787" max="11787" width="12.75" style="22" customWidth="1"/>
    <col min="11788" max="11788" width="5.875" style="22" customWidth="1"/>
    <col min="11789" max="11789" width="8.75" style="22" customWidth="1"/>
    <col min="11790" max="11790" width="25.625" style="22" customWidth="1"/>
    <col min="11791" max="11791" width="6" style="22" customWidth="1"/>
    <col min="11792" max="11792" width="7.375" style="22" customWidth="1"/>
    <col min="11793" max="11793" width="7.125" style="22" customWidth="1"/>
    <col min="11794" max="11794" width="7" style="22" customWidth="1"/>
    <col min="11795" max="11795" width="6" style="22" customWidth="1"/>
    <col min="11796" max="11796" width="6.25" style="22" customWidth="1"/>
    <col min="11797" max="11797" width="6.375" style="22" customWidth="1"/>
    <col min="11798" max="11798" width="19.125" style="22" customWidth="1"/>
    <col min="11799" max="11799" width="8.125" style="22" customWidth="1"/>
    <col min="11800" max="11800" width="8.75" style="22" customWidth="1"/>
    <col min="11801" max="11801" width="11.25" style="22" customWidth="1"/>
    <col min="11802" max="11802" width="22.875" style="22" customWidth="1"/>
    <col min="11803" max="11803" width="9.375" style="22" customWidth="1"/>
    <col min="11804" max="11804" width="9.875" style="22" customWidth="1"/>
    <col min="11805" max="11806" width="15.875" style="22" customWidth="1"/>
    <col min="11807" max="11807" width="15" style="22" customWidth="1"/>
    <col min="11808" max="11808" width="23.25" style="22" customWidth="1"/>
    <col min="11809" max="11809" width="26.375" style="22" customWidth="1"/>
    <col min="11810" max="11810" width="11.25" style="22" customWidth="1"/>
    <col min="11811" max="11811" width="19.625" style="22" customWidth="1"/>
    <col min="11812" max="11812" width="14.375" style="22" customWidth="1"/>
    <col min="11813" max="11813" width="18.375" style="22" customWidth="1"/>
    <col min="11814" max="11814" width="10.25" style="22" customWidth="1"/>
    <col min="11815" max="11815" width="36.375" style="22" customWidth="1"/>
    <col min="11816" max="11816" width="20.625" style="22" customWidth="1"/>
    <col min="11817" max="11817" width="16.375" style="22" customWidth="1"/>
    <col min="11818" max="11818" width="14.625" style="22" customWidth="1"/>
    <col min="11819" max="11819" width="10" style="22" customWidth="1"/>
    <col min="11820" max="11820" width="8" style="22" customWidth="1"/>
    <col min="11821" max="11821" width="16" style="22" customWidth="1"/>
    <col min="11822" max="11822" width="16.375" style="22" customWidth="1"/>
    <col min="11823" max="11823" width="9" style="22"/>
    <col min="11824" max="11824" width="16.25" style="22" customWidth="1"/>
    <col min="11825" max="11834" width="9" style="22"/>
    <col min="11835" max="11835" width="12.625" style="22" customWidth="1"/>
    <col min="11836" max="11836" width="22.875" style="22" customWidth="1"/>
    <col min="11837" max="11837" width="8.75" style="22" customWidth="1"/>
    <col min="11838" max="11838" width="19.75" style="22" customWidth="1"/>
    <col min="11839" max="11839" width="9.375" style="22" customWidth="1"/>
    <col min="11840" max="11840" width="9" style="22"/>
    <col min="11841" max="11841" width="10.875" style="22" customWidth="1"/>
    <col min="11842" max="11842" width="9.875" style="22" customWidth="1"/>
    <col min="11843" max="12037" width="9" style="22"/>
    <col min="12038" max="12038" width="4" style="22" customWidth="1"/>
    <col min="12039" max="12039" width="5.875" style="22" customWidth="1"/>
    <col min="12040" max="12040" width="6.375" style="22" customWidth="1"/>
    <col min="12041" max="12041" width="20.25" style="22" customWidth="1"/>
    <col min="12042" max="12042" width="7.375" style="22" customWidth="1"/>
    <col min="12043" max="12043" width="12.75" style="22" customWidth="1"/>
    <col min="12044" max="12044" width="5.875" style="22" customWidth="1"/>
    <col min="12045" max="12045" width="8.75" style="22" customWidth="1"/>
    <col min="12046" max="12046" width="25.625" style="22" customWidth="1"/>
    <col min="12047" max="12047" width="6" style="22" customWidth="1"/>
    <col min="12048" max="12048" width="7.375" style="22" customWidth="1"/>
    <col min="12049" max="12049" width="7.125" style="22" customWidth="1"/>
    <col min="12050" max="12050" width="7" style="22" customWidth="1"/>
    <col min="12051" max="12051" width="6" style="22" customWidth="1"/>
    <col min="12052" max="12052" width="6.25" style="22" customWidth="1"/>
    <col min="12053" max="12053" width="6.375" style="22" customWidth="1"/>
    <col min="12054" max="12054" width="19.125" style="22" customWidth="1"/>
    <col min="12055" max="12055" width="8.125" style="22" customWidth="1"/>
    <col min="12056" max="12056" width="8.75" style="22" customWidth="1"/>
    <col min="12057" max="12057" width="11.25" style="22" customWidth="1"/>
    <col min="12058" max="12058" width="22.875" style="22" customWidth="1"/>
    <col min="12059" max="12059" width="9.375" style="22" customWidth="1"/>
    <col min="12060" max="12060" width="9.875" style="22" customWidth="1"/>
    <col min="12061" max="12062" width="15.875" style="22" customWidth="1"/>
    <col min="12063" max="12063" width="15" style="22" customWidth="1"/>
    <col min="12064" max="12064" width="23.25" style="22" customWidth="1"/>
    <col min="12065" max="12065" width="26.375" style="22" customWidth="1"/>
    <col min="12066" max="12066" width="11.25" style="22" customWidth="1"/>
    <col min="12067" max="12067" width="19.625" style="22" customWidth="1"/>
    <col min="12068" max="12068" width="14.375" style="22" customWidth="1"/>
    <col min="12069" max="12069" width="18.375" style="22" customWidth="1"/>
    <col min="12070" max="12070" width="10.25" style="22" customWidth="1"/>
    <col min="12071" max="12071" width="36.375" style="22" customWidth="1"/>
    <col min="12072" max="12072" width="20.625" style="22" customWidth="1"/>
    <col min="12073" max="12073" width="16.375" style="22" customWidth="1"/>
    <col min="12074" max="12074" width="14.625" style="22" customWidth="1"/>
    <col min="12075" max="12075" width="10" style="22" customWidth="1"/>
    <col min="12076" max="12076" width="8" style="22" customWidth="1"/>
    <col min="12077" max="12077" width="16" style="22" customWidth="1"/>
    <col min="12078" max="12078" width="16.375" style="22" customWidth="1"/>
    <col min="12079" max="12079" width="9" style="22"/>
    <col min="12080" max="12080" width="16.25" style="22" customWidth="1"/>
    <col min="12081" max="12090" width="9" style="22"/>
    <col min="12091" max="12091" width="12.625" style="22" customWidth="1"/>
    <col min="12092" max="12092" width="22.875" style="22" customWidth="1"/>
    <col min="12093" max="12093" width="8.75" style="22" customWidth="1"/>
    <col min="12094" max="12094" width="19.75" style="22" customWidth="1"/>
    <col min="12095" max="12095" width="9.375" style="22" customWidth="1"/>
    <col min="12096" max="12096" width="9" style="22"/>
    <col min="12097" max="12097" width="10.875" style="22" customWidth="1"/>
    <col min="12098" max="12098" width="9.875" style="22" customWidth="1"/>
    <col min="12099" max="12293" width="9" style="22"/>
    <col min="12294" max="12294" width="4" style="22" customWidth="1"/>
    <col min="12295" max="12295" width="5.875" style="22" customWidth="1"/>
    <col min="12296" max="12296" width="6.375" style="22" customWidth="1"/>
    <col min="12297" max="12297" width="20.25" style="22" customWidth="1"/>
    <col min="12298" max="12298" width="7.375" style="22" customWidth="1"/>
    <col min="12299" max="12299" width="12.75" style="22" customWidth="1"/>
    <col min="12300" max="12300" width="5.875" style="22" customWidth="1"/>
    <col min="12301" max="12301" width="8.75" style="22" customWidth="1"/>
    <col min="12302" max="12302" width="25.625" style="22" customWidth="1"/>
    <col min="12303" max="12303" width="6" style="22" customWidth="1"/>
    <col min="12304" max="12304" width="7.375" style="22" customWidth="1"/>
    <col min="12305" max="12305" width="7.125" style="22" customWidth="1"/>
    <col min="12306" max="12306" width="7" style="22" customWidth="1"/>
    <col min="12307" max="12307" width="6" style="22" customWidth="1"/>
    <col min="12308" max="12308" width="6.25" style="22" customWidth="1"/>
    <col min="12309" max="12309" width="6.375" style="22" customWidth="1"/>
    <col min="12310" max="12310" width="19.125" style="22" customWidth="1"/>
    <col min="12311" max="12311" width="8.125" style="22" customWidth="1"/>
    <col min="12312" max="12312" width="8.75" style="22" customWidth="1"/>
    <col min="12313" max="12313" width="11.25" style="22" customWidth="1"/>
    <col min="12314" max="12314" width="22.875" style="22" customWidth="1"/>
    <col min="12315" max="12315" width="9.375" style="22" customWidth="1"/>
    <col min="12316" max="12316" width="9.875" style="22" customWidth="1"/>
    <col min="12317" max="12318" width="15.875" style="22" customWidth="1"/>
    <col min="12319" max="12319" width="15" style="22" customWidth="1"/>
    <col min="12320" max="12320" width="23.25" style="22" customWidth="1"/>
    <col min="12321" max="12321" width="26.375" style="22" customWidth="1"/>
    <col min="12322" max="12322" width="11.25" style="22" customWidth="1"/>
    <col min="12323" max="12323" width="19.625" style="22" customWidth="1"/>
    <col min="12324" max="12324" width="14.375" style="22" customWidth="1"/>
    <col min="12325" max="12325" width="18.375" style="22" customWidth="1"/>
    <col min="12326" max="12326" width="10.25" style="22" customWidth="1"/>
    <col min="12327" max="12327" width="36.375" style="22" customWidth="1"/>
    <col min="12328" max="12328" width="20.625" style="22" customWidth="1"/>
    <col min="12329" max="12329" width="16.375" style="22" customWidth="1"/>
    <col min="12330" max="12330" width="14.625" style="22" customWidth="1"/>
    <col min="12331" max="12331" width="10" style="22" customWidth="1"/>
    <col min="12332" max="12332" width="8" style="22" customWidth="1"/>
    <col min="12333" max="12333" width="16" style="22" customWidth="1"/>
    <col min="12334" max="12334" width="16.375" style="22" customWidth="1"/>
    <col min="12335" max="12335" width="9" style="22"/>
    <col min="12336" max="12336" width="16.25" style="22" customWidth="1"/>
    <col min="12337" max="12346" width="9" style="22"/>
    <col min="12347" max="12347" width="12.625" style="22" customWidth="1"/>
    <col min="12348" max="12348" width="22.875" style="22" customWidth="1"/>
    <col min="12349" max="12349" width="8.75" style="22" customWidth="1"/>
    <col min="12350" max="12350" width="19.75" style="22" customWidth="1"/>
    <col min="12351" max="12351" width="9.375" style="22" customWidth="1"/>
    <col min="12352" max="12352" width="9" style="22"/>
    <col min="12353" max="12353" width="10.875" style="22" customWidth="1"/>
    <col min="12354" max="12354" width="9.875" style="22" customWidth="1"/>
    <col min="12355" max="12549" width="9" style="22"/>
    <col min="12550" max="12550" width="4" style="22" customWidth="1"/>
    <col min="12551" max="12551" width="5.875" style="22" customWidth="1"/>
    <col min="12552" max="12552" width="6.375" style="22" customWidth="1"/>
    <col min="12553" max="12553" width="20.25" style="22" customWidth="1"/>
    <col min="12554" max="12554" width="7.375" style="22" customWidth="1"/>
    <col min="12555" max="12555" width="12.75" style="22" customWidth="1"/>
    <col min="12556" max="12556" width="5.875" style="22" customWidth="1"/>
    <col min="12557" max="12557" width="8.75" style="22" customWidth="1"/>
    <col min="12558" max="12558" width="25.625" style="22" customWidth="1"/>
    <col min="12559" max="12559" width="6" style="22" customWidth="1"/>
    <col min="12560" max="12560" width="7.375" style="22" customWidth="1"/>
    <col min="12561" max="12561" width="7.125" style="22" customWidth="1"/>
    <col min="12562" max="12562" width="7" style="22" customWidth="1"/>
    <col min="12563" max="12563" width="6" style="22" customWidth="1"/>
    <col min="12564" max="12564" width="6.25" style="22" customWidth="1"/>
    <col min="12565" max="12565" width="6.375" style="22" customWidth="1"/>
    <col min="12566" max="12566" width="19.125" style="22" customWidth="1"/>
    <col min="12567" max="12567" width="8.125" style="22" customWidth="1"/>
    <col min="12568" max="12568" width="8.75" style="22" customWidth="1"/>
    <col min="12569" max="12569" width="11.25" style="22" customWidth="1"/>
    <col min="12570" max="12570" width="22.875" style="22" customWidth="1"/>
    <col min="12571" max="12571" width="9.375" style="22" customWidth="1"/>
    <col min="12572" max="12572" width="9.875" style="22" customWidth="1"/>
    <col min="12573" max="12574" width="15.875" style="22" customWidth="1"/>
    <col min="12575" max="12575" width="15" style="22" customWidth="1"/>
    <col min="12576" max="12576" width="23.25" style="22" customWidth="1"/>
    <col min="12577" max="12577" width="26.375" style="22" customWidth="1"/>
    <col min="12578" max="12578" width="11.25" style="22" customWidth="1"/>
    <col min="12579" max="12579" width="19.625" style="22" customWidth="1"/>
    <col min="12580" max="12580" width="14.375" style="22" customWidth="1"/>
    <col min="12581" max="12581" width="18.375" style="22" customWidth="1"/>
    <col min="12582" max="12582" width="10.25" style="22" customWidth="1"/>
    <col min="12583" max="12583" width="36.375" style="22" customWidth="1"/>
    <col min="12584" max="12584" width="20.625" style="22" customWidth="1"/>
    <col min="12585" max="12585" width="16.375" style="22" customWidth="1"/>
    <col min="12586" max="12586" width="14.625" style="22" customWidth="1"/>
    <col min="12587" max="12587" width="10" style="22" customWidth="1"/>
    <col min="12588" max="12588" width="8" style="22" customWidth="1"/>
    <col min="12589" max="12589" width="16" style="22" customWidth="1"/>
    <col min="12590" max="12590" width="16.375" style="22" customWidth="1"/>
    <col min="12591" max="12591" width="9" style="22"/>
    <col min="12592" max="12592" width="16.25" style="22" customWidth="1"/>
    <col min="12593" max="12602" width="9" style="22"/>
    <col min="12603" max="12603" width="12.625" style="22" customWidth="1"/>
    <col min="12604" max="12604" width="22.875" style="22" customWidth="1"/>
    <col min="12605" max="12605" width="8.75" style="22" customWidth="1"/>
    <col min="12606" max="12606" width="19.75" style="22" customWidth="1"/>
    <col min="12607" max="12607" width="9.375" style="22" customWidth="1"/>
    <col min="12608" max="12608" width="9" style="22"/>
    <col min="12609" max="12609" width="10.875" style="22" customWidth="1"/>
    <col min="12610" max="12610" width="9.875" style="22" customWidth="1"/>
    <col min="12611" max="12805" width="9" style="22"/>
    <col min="12806" max="12806" width="4" style="22" customWidth="1"/>
    <col min="12807" max="12807" width="5.875" style="22" customWidth="1"/>
    <col min="12808" max="12808" width="6.375" style="22" customWidth="1"/>
    <col min="12809" max="12809" width="20.25" style="22" customWidth="1"/>
    <col min="12810" max="12810" width="7.375" style="22" customWidth="1"/>
    <col min="12811" max="12811" width="12.75" style="22" customWidth="1"/>
    <col min="12812" max="12812" width="5.875" style="22" customWidth="1"/>
    <col min="12813" max="12813" width="8.75" style="22" customWidth="1"/>
    <col min="12814" max="12814" width="25.625" style="22" customWidth="1"/>
    <col min="12815" max="12815" width="6" style="22" customWidth="1"/>
    <col min="12816" max="12816" width="7.375" style="22" customWidth="1"/>
    <col min="12817" max="12817" width="7.125" style="22" customWidth="1"/>
    <col min="12818" max="12818" width="7" style="22" customWidth="1"/>
    <col min="12819" max="12819" width="6" style="22" customWidth="1"/>
    <col min="12820" max="12820" width="6.25" style="22" customWidth="1"/>
    <col min="12821" max="12821" width="6.375" style="22" customWidth="1"/>
    <col min="12822" max="12822" width="19.125" style="22" customWidth="1"/>
    <col min="12823" max="12823" width="8.125" style="22" customWidth="1"/>
    <col min="12824" max="12824" width="8.75" style="22" customWidth="1"/>
    <col min="12825" max="12825" width="11.25" style="22" customWidth="1"/>
    <col min="12826" max="12826" width="22.875" style="22" customWidth="1"/>
    <col min="12827" max="12827" width="9.375" style="22" customWidth="1"/>
    <col min="12828" max="12828" width="9.875" style="22" customWidth="1"/>
    <col min="12829" max="12830" width="15.875" style="22" customWidth="1"/>
    <col min="12831" max="12831" width="15" style="22" customWidth="1"/>
    <col min="12832" max="12832" width="23.25" style="22" customWidth="1"/>
    <col min="12833" max="12833" width="26.375" style="22" customWidth="1"/>
    <col min="12834" max="12834" width="11.25" style="22" customWidth="1"/>
    <col min="12835" max="12835" width="19.625" style="22" customWidth="1"/>
    <col min="12836" max="12836" width="14.375" style="22" customWidth="1"/>
    <col min="12837" max="12837" width="18.375" style="22" customWidth="1"/>
    <col min="12838" max="12838" width="10.25" style="22" customWidth="1"/>
    <col min="12839" max="12839" width="36.375" style="22" customWidth="1"/>
    <col min="12840" max="12840" width="20.625" style="22" customWidth="1"/>
    <col min="12841" max="12841" width="16.375" style="22" customWidth="1"/>
    <col min="12842" max="12842" width="14.625" style="22" customWidth="1"/>
    <col min="12843" max="12843" width="10" style="22" customWidth="1"/>
    <col min="12844" max="12844" width="8" style="22" customWidth="1"/>
    <col min="12845" max="12845" width="16" style="22" customWidth="1"/>
    <col min="12846" max="12846" width="16.375" style="22" customWidth="1"/>
    <col min="12847" max="12847" width="9" style="22"/>
    <col min="12848" max="12848" width="16.25" style="22" customWidth="1"/>
    <col min="12849" max="12858" width="9" style="22"/>
    <col min="12859" max="12859" width="12.625" style="22" customWidth="1"/>
    <col min="12860" max="12860" width="22.875" style="22" customWidth="1"/>
    <col min="12861" max="12861" width="8.75" style="22" customWidth="1"/>
    <col min="12862" max="12862" width="19.75" style="22" customWidth="1"/>
    <col min="12863" max="12863" width="9.375" style="22" customWidth="1"/>
    <col min="12864" max="12864" width="9" style="22"/>
    <col min="12865" max="12865" width="10.875" style="22" customWidth="1"/>
    <col min="12866" max="12866" width="9.875" style="22" customWidth="1"/>
    <col min="12867" max="13061" width="9" style="22"/>
    <col min="13062" max="13062" width="4" style="22" customWidth="1"/>
    <col min="13063" max="13063" width="5.875" style="22" customWidth="1"/>
    <col min="13064" max="13064" width="6.375" style="22" customWidth="1"/>
    <col min="13065" max="13065" width="20.25" style="22" customWidth="1"/>
    <col min="13066" max="13066" width="7.375" style="22" customWidth="1"/>
    <col min="13067" max="13067" width="12.75" style="22" customWidth="1"/>
    <col min="13068" max="13068" width="5.875" style="22" customWidth="1"/>
    <col min="13069" max="13069" width="8.75" style="22" customWidth="1"/>
    <col min="13070" max="13070" width="25.625" style="22" customWidth="1"/>
    <col min="13071" max="13071" width="6" style="22" customWidth="1"/>
    <col min="13072" max="13072" width="7.375" style="22" customWidth="1"/>
    <col min="13073" max="13073" width="7.125" style="22" customWidth="1"/>
    <col min="13074" max="13074" width="7" style="22" customWidth="1"/>
    <col min="13075" max="13075" width="6" style="22" customWidth="1"/>
    <col min="13076" max="13076" width="6.25" style="22" customWidth="1"/>
    <col min="13077" max="13077" width="6.375" style="22" customWidth="1"/>
    <col min="13078" max="13078" width="19.125" style="22" customWidth="1"/>
    <col min="13079" max="13079" width="8.125" style="22" customWidth="1"/>
    <col min="13080" max="13080" width="8.75" style="22" customWidth="1"/>
    <col min="13081" max="13081" width="11.25" style="22" customWidth="1"/>
    <col min="13082" max="13082" width="22.875" style="22" customWidth="1"/>
    <col min="13083" max="13083" width="9.375" style="22" customWidth="1"/>
    <col min="13084" max="13084" width="9.875" style="22" customWidth="1"/>
    <col min="13085" max="13086" width="15.875" style="22" customWidth="1"/>
    <col min="13087" max="13087" width="15" style="22" customWidth="1"/>
    <col min="13088" max="13088" width="23.25" style="22" customWidth="1"/>
    <col min="13089" max="13089" width="26.375" style="22" customWidth="1"/>
    <col min="13090" max="13090" width="11.25" style="22" customWidth="1"/>
    <col min="13091" max="13091" width="19.625" style="22" customWidth="1"/>
    <col min="13092" max="13092" width="14.375" style="22" customWidth="1"/>
    <col min="13093" max="13093" width="18.375" style="22" customWidth="1"/>
    <col min="13094" max="13094" width="10.25" style="22" customWidth="1"/>
    <col min="13095" max="13095" width="36.375" style="22" customWidth="1"/>
    <col min="13096" max="13096" width="20.625" style="22" customWidth="1"/>
    <col min="13097" max="13097" width="16.375" style="22" customWidth="1"/>
    <col min="13098" max="13098" width="14.625" style="22" customWidth="1"/>
    <col min="13099" max="13099" width="10" style="22" customWidth="1"/>
    <col min="13100" max="13100" width="8" style="22" customWidth="1"/>
    <col min="13101" max="13101" width="16" style="22" customWidth="1"/>
    <col min="13102" max="13102" width="16.375" style="22" customWidth="1"/>
    <col min="13103" max="13103" width="9" style="22"/>
    <col min="13104" max="13104" width="16.25" style="22" customWidth="1"/>
    <col min="13105" max="13114" width="9" style="22"/>
    <col min="13115" max="13115" width="12.625" style="22" customWidth="1"/>
    <col min="13116" max="13116" width="22.875" style="22" customWidth="1"/>
    <col min="13117" max="13117" width="8.75" style="22" customWidth="1"/>
    <col min="13118" max="13118" width="19.75" style="22" customWidth="1"/>
    <col min="13119" max="13119" width="9.375" style="22" customWidth="1"/>
    <col min="13120" max="13120" width="9" style="22"/>
    <col min="13121" max="13121" width="10.875" style="22" customWidth="1"/>
    <col min="13122" max="13122" width="9.875" style="22" customWidth="1"/>
    <col min="13123" max="13317" width="9" style="22"/>
    <col min="13318" max="13318" width="4" style="22" customWidth="1"/>
    <col min="13319" max="13319" width="5.875" style="22" customWidth="1"/>
    <col min="13320" max="13320" width="6.375" style="22" customWidth="1"/>
    <col min="13321" max="13321" width="20.25" style="22" customWidth="1"/>
    <col min="13322" max="13322" width="7.375" style="22" customWidth="1"/>
    <col min="13323" max="13323" width="12.75" style="22" customWidth="1"/>
    <col min="13324" max="13324" width="5.875" style="22" customWidth="1"/>
    <col min="13325" max="13325" width="8.75" style="22" customWidth="1"/>
    <col min="13326" max="13326" width="25.625" style="22" customWidth="1"/>
    <col min="13327" max="13327" width="6" style="22" customWidth="1"/>
    <col min="13328" max="13328" width="7.375" style="22" customWidth="1"/>
    <col min="13329" max="13329" width="7.125" style="22" customWidth="1"/>
    <col min="13330" max="13330" width="7" style="22" customWidth="1"/>
    <col min="13331" max="13331" width="6" style="22" customWidth="1"/>
    <col min="13332" max="13332" width="6.25" style="22" customWidth="1"/>
    <col min="13333" max="13333" width="6.375" style="22" customWidth="1"/>
    <col min="13334" max="13334" width="19.125" style="22" customWidth="1"/>
    <col min="13335" max="13335" width="8.125" style="22" customWidth="1"/>
    <col min="13336" max="13336" width="8.75" style="22" customWidth="1"/>
    <col min="13337" max="13337" width="11.25" style="22" customWidth="1"/>
    <col min="13338" max="13338" width="22.875" style="22" customWidth="1"/>
    <col min="13339" max="13339" width="9.375" style="22" customWidth="1"/>
    <col min="13340" max="13340" width="9.875" style="22" customWidth="1"/>
    <col min="13341" max="13342" width="15.875" style="22" customWidth="1"/>
    <col min="13343" max="13343" width="15" style="22" customWidth="1"/>
    <col min="13344" max="13344" width="23.25" style="22" customWidth="1"/>
    <col min="13345" max="13345" width="26.375" style="22" customWidth="1"/>
    <col min="13346" max="13346" width="11.25" style="22" customWidth="1"/>
    <col min="13347" max="13347" width="19.625" style="22" customWidth="1"/>
    <col min="13348" max="13348" width="14.375" style="22" customWidth="1"/>
    <col min="13349" max="13349" width="18.375" style="22" customWidth="1"/>
    <col min="13350" max="13350" width="10.25" style="22" customWidth="1"/>
    <col min="13351" max="13351" width="36.375" style="22" customWidth="1"/>
    <col min="13352" max="13352" width="20.625" style="22" customWidth="1"/>
    <col min="13353" max="13353" width="16.375" style="22" customWidth="1"/>
    <col min="13354" max="13354" width="14.625" style="22" customWidth="1"/>
    <col min="13355" max="13355" width="10" style="22" customWidth="1"/>
    <col min="13356" max="13356" width="8" style="22" customWidth="1"/>
    <col min="13357" max="13357" width="16" style="22" customWidth="1"/>
    <col min="13358" max="13358" width="16.375" style="22" customWidth="1"/>
    <col min="13359" max="13359" width="9" style="22"/>
    <col min="13360" max="13360" width="16.25" style="22" customWidth="1"/>
    <col min="13361" max="13370" width="9" style="22"/>
    <col min="13371" max="13371" width="12.625" style="22" customWidth="1"/>
    <col min="13372" max="13372" width="22.875" style="22" customWidth="1"/>
    <col min="13373" max="13373" width="8.75" style="22" customWidth="1"/>
    <col min="13374" max="13374" width="19.75" style="22" customWidth="1"/>
    <col min="13375" max="13375" width="9.375" style="22" customWidth="1"/>
    <col min="13376" max="13376" width="9" style="22"/>
    <col min="13377" max="13377" width="10.875" style="22" customWidth="1"/>
    <col min="13378" max="13378" width="9.875" style="22" customWidth="1"/>
    <col min="13379" max="13573" width="9" style="22"/>
    <col min="13574" max="13574" width="4" style="22" customWidth="1"/>
    <col min="13575" max="13575" width="5.875" style="22" customWidth="1"/>
    <col min="13576" max="13576" width="6.375" style="22" customWidth="1"/>
    <col min="13577" max="13577" width="20.25" style="22" customWidth="1"/>
    <col min="13578" max="13578" width="7.375" style="22" customWidth="1"/>
    <col min="13579" max="13579" width="12.75" style="22" customWidth="1"/>
    <col min="13580" max="13580" width="5.875" style="22" customWidth="1"/>
    <col min="13581" max="13581" width="8.75" style="22" customWidth="1"/>
    <col min="13582" max="13582" width="25.625" style="22" customWidth="1"/>
    <col min="13583" max="13583" width="6" style="22" customWidth="1"/>
    <col min="13584" max="13584" width="7.375" style="22" customWidth="1"/>
    <col min="13585" max="13585" width="7.125" style="22" customWidth="1"/>
    <col min="13586" max="13586" width="7" style="22" customWidth="1"/>
    <col min="13587" max="13587" width="6" style="22" customWidth="1"/>
    <col min="13588" max="13588" width="6.25" style="22" customWidth="1"/>
    <col min="13589" max="13589" width="6.375" style="22" customWidth="1"/>
    <col min="13590" max="13590" width="19.125" style="22" customWidth="1"/>
    <col min="13591" max="13591" width="8.125" style="22" customWidth="1"/>
    <col min="13592" max="13592" width="8.75" style="22" customWidth="1"/>
    <col min="13593" max="13593" width="11.25" style="22" customWidth="1"/>
    <col min="13594" max="13594" width="22.875" style="22" customWidth="1"/>
    <col min="13595" max="13595" width="9.375" style="22" customWidth="1"/>
    <col min="13596" max="13596" width="9.875" style="22" customWidth="1"/>
    <col min="13597" max="13598" width="15.875" style="22" customWidth="1"/>
    <col min="13599" max="13599" width="15" style="22" customWidth="1"/>
    <col min="13600" max="13600" width="23.25" style="22" customWidth="1"/>
    <col min="13601" max="13601" width="26.375" style="22" customWidth="1"/>
    <col min="13602" max="13602" width="11.25" style="22" customWidth="1"/>
    <col min="13603" max="13603" width="19.625" style="22" customWidth="1"/>
    <col min="13604" max="13604" width="14.375" style="22" customWidth="1"/>
    <col min="13605" max="13605" width="18.375" style="22" customWidth="1"/>
    <col min="13606" max="13606" width="10.25" style="22" customWidth="1"/>
    <col min="13607" max="13607" width="36.375" style="22" customWidth="1"/>
    <col min="13608" max="13608" width="20.625" style="22" customWidth="1"/>
    <col min="13609" max="13609" width="16.375" style="22" customWidth="1"/>
    <col min="13610" max="13610" width="14.625" style="22" customWidth="1"/>
    <col min="13611" max="13611" width="10" style="22" customWidth="1"/>
    <col min="13612" max="13612" width="8" style="22" customWidth="1"/>
    <col min="13613" max="13613" width="16" style="22" customWidth="1"/>
    <col min="13614" max="13614" width="16.375" style="22" customWidth="1"/>
    <col min="13615" max="13615" width="9" style="22"/>
    <col min="13616" max="13616" width="16.25" style="22" customWidth="1"/>
    <col min="13617" max="13626" width="9" style="22"/>
    <col min="13627" max="13627" width="12.625" style="22" customWidth="1"/>
    <col min="13628" max="13628" width="22.875" style="22" customWidth="1"/>
    <col min="13629" max="13629" width="8.75" style="22" customWidth="1"/>
    <col min="13630" max="13630" width="19.75" style="22" customWidth="1"/>
    <col min="13631" max="13631" width="9.375" style="22" customWidth="1"/>
    <col min="13632" max="13632" width="9" style="22"/>
    <col min="13633" max="13633" width="10.875" style="22" customWidth="1"/>
    <col min="13634" max="13634" width="9.875" style="22" customWidth="1"/>
    <col min="13635" max="13829" width="9" style="22"/>
    <col min="13830" max="13830" width="4" style="22" customWidth="1"/>
    <col min="13831" max="13831" width="5.875" style="22" customWidth="1"/>
    <col min="13832" max="13832" width="6.375" style="22" customWidth="1"/>
    <col min="13833" max="13833" width="20.25" style="22" customWidth="1"/>
    <col min="13834" max="13834" width="7.375" style="22" customWidth="1"/>
    <col min="13835" max="13835" width="12.75" style="22" customWidth="1"/>
    <col min="13836" max="13836" width="5.875" style="22" customWidth="1"/>
    <col min="13837" max="13837" width="8.75" style="22" customWidth="1"/>
    <col min="13838" max="13838" width="25.625" style="22" customWidth="1"/>
    <col min="13839" max="13839" width="6" style="22" customWidth="1"/>
    <col min="13840" max="13840" width="7.375" style="22" customWidth="1"/>
    <col min="13841" max="13841" width="7.125" style="22" customWidth="1"/>
    <col min="13842" max="13842" width="7" style="22" customWidth="1"/>
    <col min="13843" max="13843" width="6" style="22" customWidth="1"/>
    <col min="13844" max="13844" width="6.25" style="22" customWidth="1"/>
    <col min="13845" max="13845" width="6.375" style="22" customWidth="1"/>
    <col min="13846" max="13846" width="19.125" style="22" customWidth="1"/>
    <col min="13847" max="13847" width="8.125" style="22" customWidth="1"/>
    <col min="13848" max="13848" width="8.75" style="22" customWidth="1"/>
    <col min="13849" max="13849" width="11.25" style="22" customWidth="1"/>
    <col min="13850" max="13850" width="22.875" style="22" customWidth="1"/>
    <col min="13851" max="13851" width="9.375" style="22" customWidth="1"/>
    <col min="13852" max="13852" width="9.875" style="22" customWidth="1"/>
    <col min="13853" max="13854" width="15.875" style="22" customWidth="1"/>
    <col min="13855" max="13855" width="15" style="22" customWidth="1"/>
    <col min="13856" max="13856" width="23.25" style="22" customWidth="1"/>
    <col min="13857" max="13857" width="26.375" style="22" customWidth="1"/>
    <col min="13858" max="13858" width="11.25" style="22" customWidth="1"/>
    <col min="13859" max="13859" width="19.625" style="22" customWidth="1"/>
    <col min="13860" max="13860" width="14.375" style="22" customWidth="1"/>
    <col min="13861" max="13861" width="18.375" style="22" customWidth="1"/>
    <col min="13862" max="13862" width="10.25" style="22" customWidth="1"/>
    <col min="13863" max="13863" width="36.375" style="22" customWidth="1"/>
    <col min="13864" max="13864" width="20.625" style="22" customWidth="1"/>
    <col min="13865" max="13865" width="16.375" style="22" customWidth="1"/>
    <col min="13866" max="13866" width="14.625" style="22" customWidth="1"/>
    <col min="13867" max="13867" width="10" style="22" customWidth="1"/>
    <col min="13868" max="13868" width="8" style="22" customWidth="1"/>
    <col min="13869" max="13869" width="16" style="22" customWidth="1"/>
    <col min="13870" max="13870" width="16.375" style="22" customWidth="1"/>
    <col min="13871" max="13871" width="9" style="22"/>
    <col min="13872" max="13872" width="16.25" style="22" customWidth="1"/>
    <col min="13873" max="13882" width="9" style="22"/>
    <col min="13883" max="13883" width="12.625" style="22" customWidth="1"/>
    <col min="13884" max="13884" width="22.875" style="22" customWidth="1"/>
    <col min="13885" max="13885" width="8.75" style="22" customWidth="1"/>
    <col min="13886" max="13886" width="19.75" style="22" customWidth="1"/>
    <col min="13887" max="13887" width="9.375" style="22" customWidth="1"/>
    <col min="13888" max="13888" width="9" style="22"/>
    <col min="13889" max="13889" width="10.875" style="22" customWidth="1"/>
    <col min="13890" max="13890" width="9.875" style="22" customWidth="1"/>
    <col min="13891" max="14085" width="9" style="22"/>
    <col min="14086" max="14086" width="4" style="22" customWidth="1"/>
    <col min="14087" max="14087" width="5.875" style="22" customWidth="1"/>
    <col min="14088" max="14088" width="6.375" style="22" customWidth="1"/>
    <col min="14089" max="14089" width="20.25" style="22" customWidth="1"/>
    <col min="14090" max="14090" width="7.375" style="22" customWidth="1"/>
    <col min="14091" max="14091" width="12.75" style="22" customWidth="1"/>
    <col min="14092" max="14092" width="5.875" style="22" customWidth="1"/>
    <col min="14093" max="14093" width="8.75" style="22" customWidth="1"/>
    <col min="14094" max="14094" width="25.625" style="22" customWidth="1"/>
    <col min="14095" max="14095" width="6" style="22" customWidth="1"/>
    <col min="14096" max="14096" width="7.375" style="22" customWidth="1"/>
    <col min="14097" max="14097" width="7.125" style="22" customWidth="1"/>
    <col min="14098" max="14098" width="7" style="22" customWidth="1"/>
    <col min="14099" max="14099" width="6" style="22" customWidth="1"/>
    <col min="14100" max="14100" width="6.25" style="22" customWidth="1"/>
    <col min="14101" max="14101" width="6.375" style="22" customWidth="1"/>
    <col min="14102" max="14102" width="19.125" style="22" customWidth="1"/>
    <col min="14103" max="14103" width="8.125" style="22" customWidth="1"/>
    <col min="14104" max="14104" width="8.75" style="22" customWidth="1"/>
    <col min="14105" max="14105" width="11.25" style="22" customWidth="1"/>
    <col min="14106" max="14106" width="22.875" style="22" customWidth="1"/>
    <col min="14107" max="14107" width="9.375" style="22" customWidth="1"/>
    <col min="14108" max="14108" width="9.875" style="22" customWidth="1"/>
    <col min="14109" max="14110" width="15.875" style="22" customWidth="1"/>
    <col min="14111" max="14111" width="15" style="22" customWidth="1"/>
    <col min="14112" max="14112" width="23.25" style="22" customWidth="1"/>
    <col min="14113" max="14113" width="26.375" style="22" customWidth="1"/>
    <col min="14114" max="14114" width="11.25" style="22" customWidth="1"/>
    <col min="14115" max="14115" width="19.625" style="22" customWidth="1"/>
    <col min="14116" max="14116" width="14.375" style="22" customWidth="1"/>
    <col min="14117" max="14117" width="18.375" style="22" customWidth="1"/>
    <col min="14118" max="14118" width="10.25" style="22" customWidth="1"/>
    <col min="14119" max="14119" width="36.375" style="22" customWidth="1"/>
    <col min="14120" max="14120" width="20.625" style="22" customWidth="1"/>
    <col min="14121" max="14121" width="16.375" style="22" customWidth="1"/>
    <col min="14122" max="14122" width="14.625" style="22" customWidth="1"/>
    <col min="14123" max="14123" width="10" style="22" customWidth="1"/>
    <col min="14124" max="14124" width="8" style="22" customWidth="1"/>
    <col min="14125" max="14125" width="16" style="22" customWidth="1"/>
    <col min="14126" max="14126" width="16.375" style="22" customWidth="1"/>
    <col min="14127" max="14127" width="9" style="22"/>
    <col min="14128" max="14128" width="16.25" style="22" customWidth="1"/>
    <col min="14129" max="14138" width="9" style="22"/>
    <col min="14139" max="14139" width="12.625" style="22" customWidth="1"/>
    <col min="14140" max="14140" width="22.875" style="22" customWidth="1"/>
    <col min="14141" max="14141" width="8.75" style="22" customWidth="1"/>
    <col min="14142" max="14142" width="19.75" style="22" customWidth="1"/>
    <col min="14143" max="14143" width="9.375" style="22" customWidth="1"/>
    <col min="14144" max="14144" width="9" style="22"/>
    <col min="14145" max="14145" width="10.875" style="22" customWidth="1"/>
    <col min="14146" max="14146" width="9.875" style="22" customWidth="1"/>
    <col min="14147" max="14341" width="9" style="22"/>
    <col min="14342" max="14342" width="4" style="22" customWidth="1"/>
    <col min="14343" max="14343" width="5.875" style="22" customWidth="1"/>
    <col min="14344" max="14344" width="6.375" style="22" customWidth="1"/>
    <col min="14345" max="14345" width="20.25" style="22" customWidth="1"/>
    <col min="14346" max="14346" width="7.375" style="22" customWidth="1"/>
    <col min="14347" max="14347" width="12.75" style="22" customWidth="1"/>
    <col min="14348" max="14348" width="5.875" style="22" customWidth="1"/>
    <col min="14349" max="14349" width="8.75" style="22" customWidth="1"/>
    <col min="14350" max="14350" width="25.625" style="22" customWidth="1"/>
    <col min="14351" max="14351" width="6" style="22" customWidth="1"/>
    <col min="14352" max="14352" width="7.375" style="22" customWidth="1"/>
    <col min="14353" max="14353" width="7.125" style="22" customWidth="1"/>
    <col min="14354" max="14354" width="7" style="22" customWidth="1"/>
    <col min="14355" max="14355" width="6" style="22" customWidth="1"/>
    <col min="14356" max="14356" width="6.25" style="22" customWidth="1"/>
    <col min="14357" max="14357" width="6.375" style="22" customWidth="1"/>
    <col min="14358" max="14358" width="19.125" style="22" customWidth="1"/>
    <col min="14359" max="14359" width="8.125" style="22" customWidth="1"/>
    <col min="14360" max="14360" width="8.75" style="22" customWidth="1"/>
    <col min="14361" max="14361" width="11.25" style="22" customWidth="1"/>
    <col min="14362" max="14362" width="22.875" style="22" customWidth="1"/>
    <col min="14363" max="14363" width="9.375" style="22" customWidth="1"/>
    <col min="14364" max="14364" width="9.875" style="22" customWidth="1"/>
    <col min="14365" max="14366" width="15.875" style="22" customWidth="1"/>
    <col min="14367" max="14367" width="15" style="22" customWidth="1"/>
    <col min="14368" max="14368" width="23.25" style="22" customWidth="1"/>
    <col min="14369" max="14369" width="26.375" style="22" customWidth="1"/>
    <col min="14370" max="14370" width="11.25" style="22" customWidth="1"/>
    <col min="14371" max="14371" width="19.625" style="22" customWidth="1"/>
    <col min="14372" max="14372" width="14.375" style="22" customWidth="1"/>
    <col min="14373" max="14373" width="18.375" style="22" customWidth="1"/>
    <col min="14374" max="14374" width="10.25" style="22" customWidth="1"/>
    <col min="14375" max="14375" width="36.375" style="22" customWidth="1"/>
    <col min="14376" max="14376" width="20.625" style="22" customWidth="1"/>
    <col min="14377" max="14377" width="16.375" style="22" customWidth="1"/>
    <col min="14378" max="14378" width="14.625" style="22" customWidth="1"/>
    <col min="14379" max="14379" width="10" style="22" customWidth="1"/>
    <col min="14380" max="14380" width="8" style="22" customWidth="1"/>
    <col min="14381" max="14381" width="16" style="22" customWidth="1"/>
    <col min="14382" max="14382" width="16.375" style="22" customWidth="1"/>
    <col min="14383" max="14383" width="9" style="22"/>
    <col min="14384" max="14384" width="16.25" style="22" customWidth="1"/>
    <col min="14385" max="14394" width="9" style="22"/>
    <col min="14395" max="14395" width="12.625" style="22" customWidth="1"/>
    <col min="14396" max="14396" width="22.875" style="22" customWidth="1"/>
    <col min="14397" max="14397" width="8.75" style="22" customWidth="1"/>
    <col min="14398" max="14398" width="19.75" style="22" customWidth="1"/>
    <col min="14399" max="14399" width="9.375" style="22" customWidth="1"/>
    <col min="14400" max="14400" width="9" style="22"/>
    <col min="14401" max="14401" width="10.875" style="22" customWidth="1"/>
    <col min="14402" max="14402" width="9.875" style="22" customWidth="1"/>
    <col min="14403" max="14597" width="9" style="22"/>
    <col min="14598" max="14598" width="4" style="22" customWidth="1"/>
    <col min="14599" max="14599" width="5.875" style="22" customWidth="1"/>
    <col min="14600" max="14600" width="6.375" style="22" customWidth="1"/>
    <col min="14601" max="14601" width="20.25" style="22" customWidth="1"/>
    <col min="14602" max="14602" width="7.375" style="22" customWidth="1"/>
    <col min="14603" max="14603" width="12.75" style="22" customWidth="1"/>
    <col min="14604" max="14604" width="5.875" style="22" customWidth="1"/>
    <col min="14605" max="14605" width="8.75" style="22" customWidth="1"/>
    <col min="14606" max="14606" width="25.625" style="22" customWidth="1"/>
    <col min="14607" max="14607" width="6" style="22" customWidth="1"/>
    <col min="14608" max="14608" width="7.375" style="22" customWidth="1"/>
    <col min="14609" max="14609" width="7.125" style="22" customWidth="1"/>
    <col min="14610" max="14610" width="7" style="22" customWidth="1"/>
    <col min="14611" max="14611" width="6" style="22" customWidth="1"/>
    <col min="14612" max="14612" width="6.25" style="22" customWidth="1"/>
    <col min="14613" max="14613" width="6.375" style="22" customWidth="1"/>
    <col min="14614" max="14614" width="19.125" style="22" customWidth="1"/>
    <col min="14615" max="14615" width="8.125" style="22" customWidth="1"/>
    <col min="14616" max="14616" width="8.75" style="22" customWidth="1"/>
    <col min="14617" max="14617" width="11.25" style="22" customWidth="1"/>
    <col min="14618" max="14618" width="22.875" style="22" customWidth="1"/>
    <col min="14619" max="14619" width="9.375" style="22" customWidth="1"/>
    <col min="14620" max="14620" width="9.875" style="22" customWidth="1"/>
    <col min="14621" max="14622" width="15.875" style="22" customWidth="1"/>
    <col min="14623" max="14623" width="15" style="22" customWidth="1"/>
    <col min="14624" max="14624" width="23.25" style="22" customWidth="1"/>
    <col min="14625" max="14625" width="26.375" style="22" customWidth="1"/>
    <col min="14626" max="14626" width="11.25" style="22" customWidth="1"/>
    <col min="14627" max="14627" width="19.625" style="22" customWidth="1"/>
    <col min="14628" max="14628" width="14.375" style="22" customWidth="1"/>
    <col min="14629" max="14629" width="18.375" style="22" customWidth="1"/>
    <col min="14630" max="14630" width="10.25" style="22" customWidth="1"/>
    <col min="14631" max="14631" width="36.375" style="22" customWidth="1"/>
    <col min="14632" max="14632" width="20.625" style="22" customWidth="1"/>
    <col min="14633" max="14633" width="16.375" style="22" customWidth="1"/>
    <col min="14634" max="14634" width="14.625" style="22" customWidth="1"/>
    <col min="14635" max="14635" width="10" style="22" customWidth="1"/>
    <col min="14636" max="14636" width="8" style="22" customWidth="1"/>
    <col min="14637" max="14637" width="16" style="22" customWidth="1"/>
    <col min="14638" max="14638" width="16.375" style="22" customWidth="1"/>
    <col min="14639" max="14639" width="9" style="22"/>
    <col min="14640" max="14640" width="16.25" style="22" customWidth="1"/>
    <col min="14641" max="14650" width="9" style="22"/>
    <col min="14651" max="14651" width="12.625" style="22" customWidth="1"/>
    <col min="14652" max="14652" width="22.875" style="22" customWidth="1"/>
    <col min="14653" max="14653" width="8.75" style="22" customWidth="1"/>
    <col min="14654" max="14654" width="19.75" style="22" customWidth="1"/>
    <col min="14655" max="14655" width="9.375" style="22" customWidth="1"/>
    <col min="14656" max="14656" width="9" style="22"/>
    <col min="14657" max="14657" width="10.875" style="22" customWidth="1"/>
    <col min="14658" max="14658" width="9.875" style="22" customWidth="1"/>
    <col min="14659" max="14853" width="9" style="22"/>
    <col min="14854" max="14854" width="4" style="22" customWidth="1"/>
    <col min="14855" max="14855" width="5.875" style="22" customWidth="1"/>
    <col min="14856" max="14856" width="6.375" style="22" customWidth="1"/>
    <col min="14857" max="14857" width="20.25" style="22" customWidth="1"/>
    <col min="14858" max="14858" width="7.375" style="22" customWidth="1"/>
    <col min="14859" max="14859" width="12.75" style="22" customWidth="1"/>
    <col min="14860" max="14860" width="5.875" style="22" customWidth="1"/>
    <col min="14861" max="14861" width="8.75" style="22" customWidth="1"/>
    <col min="14862" max="14862" width="25.625" style="22" customWidth="1"/>
    <col min="14863" max="14863" width="6" style="22" customWidth="1"/>
    <col min="14864" max="14864" width="7.375" style="22" customWidth="1"/>
    <col min="14865" max="14865" width="7.125" style="22" customWidth="1"/>
    <col min="14866" max="14866" width="7" style="22" customWidth="1"/>
    <col min="14867" max="14867" width="6" style="22" customWidth="1"/>
    <col min="14868" max="14868" width="6.25" style="22" customWidth="1"/>
    <col min="14869" max="14869" width="6.375" style="22" customWidth="1"/>
    <col min="14870" max="14870" width="19.125" style="22" customWidth="1"/>
    <col min="14871" max="14871" width="8.125" style="22" customWidth="1"/>
    <col min="14872" max="14872" width="8.75" style="22" customWidth="1"/>
    <col min="14873" max="14873" width="11.25" style="22" customWidth="1"/>
    <col min="14874" max="14874" width="22.875" style="22" customWidth="1"/>
    <col min="14875" max="14875" width="9.375" style="22" customWidth="1"/>
    <col min="14876" max="14876" width="9.875" style="22" customWidth="1"/>
    <col min="14877" max="14878" width="15.875" style="22" customWidth="1"/>
    <col min="14879" max="14879" width="15" style="22" customWidth="1"/>
    <col min="14880" max="14880" width="23.25" style="22" customWidth="1"/>
    <col min="14881" max="14881" width="26.375" style="22" customWidth="1"/>
    <col min="14882" max="14882" width="11.25" style="22" customWidth="1"/>
    <col min="14883" max="14883" width="19.625" style="22" customWidth="1"/>
    <col min="14884" max="14884" width="14.375" style="22" customWidth="1"/>
    <col min="14885" max="14885" width="18.375" style="22" customWidth="1"/>
    <col min="14886" max="14886" width="10.25" style="22" customWidth="1"/>
    <col min="14887" max="14887" width="36.375" style="22" customWidth="1"/>
    <col min="14888" max="14888" width="20.625" style="22" customWidth="1"/>
    <col min="14889" max="14889" width="16.375" style="22" customWidth="1"/>
    <col min="14890" max="14890" width="14.625" style="22" customWidth="1"/>
    <col min="14891" max="14891" width="10" style="22" customWidth="1"/>
    <col min="14892" max="14892" width="8" style="22" customWidth="1"/>
    <col min="14893" max="14893" width="16" style="22" customWidth="1"/>
    <col min="14894" max="14894" width="16.375" style="22" customWidth="1"/>
    <col min="14895" max="14895" width="9" style="22"/>
    <col min="14896" max="14896" width="16.25" style="22" customWidth="1"/>
    <col min="14897" max="14906" width="9" style="22"/>
    <col min="14907" max="14907" width="12.625" style="22" customWidth="1"/>
    <col min="14908" max="14908" width="22.875" style="22" customWidth="1"/>
    <col min="14909" max="14909" width="8.75" style="22" customWidth="1"/>
    <col min="14910" max="14910" width="19.75" style="22" customWidth="1"/>
    <col min="14911" max="14911" width="9.375" style="22" customWidth="1"/>
    <col min="14912" max="14912" width="9" style="22"/>
    <col min="14913" max="14913" width="10.875" style="22" customWidth="1"/>
    <col min="14914" max="14914" width="9.875" style="22" customWidth="1"/>
    <col min="14915" max="15109" width="9" style="22"/>
    <col min="15110" max="15110" width="4" style="22" customWidth="1"/>
    <col min="15111" max="15111" width="5.875" style="22" customWidth="1"/>
    <col min="15112" max="15112" width="6.375" style="22" customWidth="1"/>
    <col min="15113" max="15113" width="20.25" style="22" customWidth="1"/>
    <col min="15114" max="15114" width="7.375" style="22" customWidth="1"/>
    <col min="15115" max="15115" width="12.75" style="22" customWidth="1"/>
    <col min="15116" max="15116" width="5.875" style="22" customWidth="1"/>
    <col min="15117" max="15117" width="8.75" style="22" customWidth="1"/>
    <col min="15118" max="15118" width="25.625" style="22" customWidth="1"/>
    <col min="15119" max="15119" width="6" style="22" customWidth="1"/>
    <col min="15120" max="15120" width="7.375" style="22" customWidth="1"/>
    <col min="15121" max="15121" width="7.125" style="22" customWidth="1"/>
    <col min="15122" max="15122" width="7" style="22" customWidth="1"/>
    <col min="15123" max="15123" width="6" style="22" customWidth="1"/>
    <col min="15124" max="15124" width="6.25" style="22" customWidth="1"/>
    <col min="15125" max="15125" width="6.375" style="22" customWidth="1"/>
    <col min="15126" max="15126" width="19.125" style="22" customWidth="1"/>
    <col min="15127" max="15127" width="8.125" style="22" customWidth="1"/>
    <col min="15128" max="15128" width="8.75" style="22" customWidth="1"/>
    <col min="15129" max="15129" width="11.25" style="22" customWidth="1"/>
    <col min="15130" max="15130" width="22.875" style="22" customWidth="1"/>
    <col min="15131" max="15131" width="9.375" style="22" customWidth="1"/>
    <col min="15132" max="15132" width="9.875" style="22" customWidth="1"/>
    <col min="15133" max="15134" width="15.875" style="22" customWidth="1"/>
    <col min="15135" max="15135" width="15" style="22" customWidth="1"/>
    <col min="15136" max="15136" width="23.25" style="22" customWidth="1"/>
    <col min="15137" max="15137" width="26.375" style="22" customWidth="1"/>
    <col min="15138" max="15138" width="11.25" style="22" customWidth="1"/>
    <col min="15139" max="15139" width="19.625" style="22" customWidth="1"/>
    <col min="15140" max="15140" width="14.375" style="22" customWidth="1"/>
    <col min="15141" max="15141" width="18.375" style="22" customWidth="1"/>
    <col min="15142" max="15142" width="10.25" style="22" customWidth="1"/>
    <col min="15143" max="15143" width="36.375" style="22" customWidth="1"/>
    <col min="15144" max="15144" width="20.625" style="22" customWidth="1"/>
    <col min="15145" max="15145" width="16.375" style="22" customWidth="1"/>
    <col min="15146" max="15146" width="14.625" style="22" customWidth="1"/>
    <col min="15147" max="15147" width="10" style="22" customWidth="1"/>
    <col min="15148" max="15148" width="8" style="22" customWidth="1"/>
    <col min="15149" max="15149" width="16" style="22" customWidth="1"/>
    <col min="15150" max="15150" width="16.375" style="22" customWidth="1"/>
    <col min="15151" max="15151" width="9" style="22"/>
    <col min="15152" max="15152" width="16.25" style="22" customWidth="1"/>
    <col min="15153" max="15162" width="9" style="22"/>
    <col min="15163" max="15163" width="12.625" style="22" customWidth="1"/>
    <col min="15164" max="15164" width="22.875" style="22" customWidth="1"/>
    <col min="15165" max="15165" width="8.75" style="22" customWidth="1"/>
    <col min="15166" max="15166" width="19.75" style="22" customWidth="1"/>
    <col min="15167" max="15167" width="9.375" style="22" customWidth="1"/>
    <col min="15168" max="15168" width="9" style="22"/>
    <col min="15169" max="15169" width="10.875" style="22" customWidth="1"/>
    <col min="15170" max="15170" width="9.875" style="22" customWidth="1"/>
    <col min="15171" max="15365" width="9" style="22"/>
    <col min="15366" max="15366" width="4" style="22" customWidth="1"/>
    <col min="15367" max="15367" width="5.875" style="22" customWidth="1"/>
    <col min="15368" max="15368" width="6.375" style="22" customWidth="1"/>
    <col min="15369" max="15369" width="20.25" style="22" customWidth="1"/>
    <col min="15370" max="15370" width="7.375" style="22" customWidth="1"/>
    <col min="15371" max="15371" width="12.75" style="22" customWidth="1"/>
    <col min="15372" max="15372" width="5.875" style="22" customWidth="1"/>
    <col min="15373" max="15373" width="8.75" style="22" customWidth="1"/>
    <col min="15374" max="15374" width="25.625" style="22" customWidth="1"/>
    <col min="15375" max="15375" width="6" style="22" customWidth="1"/>
    <col min="15376" max="15376" width="7.375" style="22" customWidth="1"/>
    <col min="15377" max="15377" width="7.125" style="22" customWidth="1"/>
    <col min="15378" max="15378" width="7" style="22" customWidth="1"/>
    <col min="15379" max="15379" width="6" style="22" customWidth="1"/>
    <col min="15380" max="15380" width="6.25" style="22" customWidth="1"/>
    <col min="15381" max="15381" width="6.375" style="22" customWidth="1"/>
    <col min="15382" max="15382" width="19.125" style="22" customWidth="1"/>
    <col min="15383" max="15383" width="8.125" style="22" customWidth="1"/>
    <col min="15384" max="15384" width="8.75" style="22" customWidth="1"/>
    <col min="15385" max="15385" width="11.25" style="22" customWidth="1"/>
    <col min="15386" max="15386" width="22.875" style="22" customWidth="1"/>
    <col min="15387" max="15387" width="9.375" style="22" customWidth="1"/>
    <col min="15388" max="15388" width="9.875" style="22" customWidth="1"/>
    <col min="15389" max="15390" width="15.875" style="22" customWidth="1"/>
    <col min="15391" max="15391" width="15" style="22" customWidth="1"/>
    <col min="15392" max="15392" width="23.25" style="22" customWidth="1"/>
    <col min="15393" max="15393" width="26.375" style="22" customWidth="1"/>
    <col min="15394" max="15394" width="11.25" style="22" customWidth="1"/>
    <col min="15395" max="15395" width="19.625" style="22" customWidth="1"/>
    <col min="15396" max="15396" width="14.375" style="22" customWidth="1"/>
    <col min="15397" max="15397" width="18.375" style="22" customWidth="1"/>
    <col min="15398" max="15398" width="10.25" style="22" customWidth="1"/>
    <col min="15399" max="15399" width="36.375" style="22" customWidth="1"/>
    <col min="15400" max="15400" width="20.625" style="22" customWidth="1"/>
    <col min="15401" max="15401" width="16.375" style="22" customWidth="1"/>
    <col min="15402" max="15402" width="14.625" style="22" customWidth="1"/>
    <col min="15403" max="15403" width="10" style="22" customWidth="1"/>
    <col min="15404" max="15404" width="8" style="22" customWidth="1"/>
    <col min="15405" max="15405" width="16" style="22" customWidth="1"/>
    <col min="15406" max="15406" width="16.375" style="22" customWidth="1"/>
    <col min="15407" max="15407" width="9" style="22"/>
    <col min="15408" max="15408" width="16.25" style="22" customWidth="1"/>
    <col min="15409" max="15418" width="9" style="22"/>
    <col min="15419" max="15419" width="12.625" style="22" customWidth="1"/>
    <col min="15420" max="15420" width="22.875" style="22" customWidth="1"/>
    <col min="15421" max="15421" width="8.75" style="22" customWidth="1"/>
    <col min="15422" max="15422" width="19.75" style="22" customWidth="1"/>
    <col min="15423" max="15423" width="9.375" style="22" customWidth="1"/>
    <col min="15424" max="15424" width="9" style="22"/>
    <col min="15425" max="15425" width="10.875" style="22" customWidth="1"/>
    <col min="15426" max="15426" width="9.875" style="22" customWidth="1"/>
    <col min="15427" max="15621" width="9" style="22"/>
    <col min="15622" max="15622" width="4" style="22" customWidth="1"/>
    <col min="15623" max="15623" width="5.875" style="22" customWidth="1"/>
    <col min="15624" max="15624" width="6.375" style="22" customWidth="1"/>
    <col min="15625" max="15625" width="20.25" style="22" customWidth="1"/>
    <col min="15626" max="15626" width="7.375" style="22" customWidth="1"/>
    <col min="15627" max="15627" width="12.75" style="22" customWidth="1"/>
    <col min="15628" max="15628" width="5.875" style="22" customWidth="1"/>
    <col min="15629" max="15629" width="8.75" style="22" customWidth="1"/>
    <col min="15630" max="15630" width="25.625" style="22" customWidth="1"/>
    <col min="15631" max="15631" width="6" style="22" customWidth="1"/>
    <col min="15632" max="15632" width="7.375" style="22" customWidth="1"/>
    <col min="15633" max="15633" width="7.125" style="22" customWidth="1"/>
    <col min="15634" max="15634" width="7" style="22" customWidth="1"/>
    <col min="15635" max="15635" width="6" style="22" customWidth="1"/>
    <col min="15636" max="15636" width="6.25" style="22" customWidth="1"/>
    <col min="15637" max="15637" width="6.375" style="22" customWidth="1"/>
    <col min="15638" max="15638" width="19.125" style="22" customWidth="1"/>
    <col min="15639" max="15639" width="8.125" style="22" customWidth="1"/>
    <col min="15640" max="15640" width="8.75" style="22" customWidth="1"/>
    <col min="15641" max="15641" width="11.25" style="22" customWidth="1"/>
    <col min="15642" max="15642" width="22.875" style="22" customWidth="1"/>
    <col min="15643" max="15643" width="9.375" style="22" customWidth="1"/>
    <col min="15644" max="15644" width="9.875" style="22" customWidth="1"/>
    <col min="15645" max="15646" width="15.875" style="22" customWidth="1"/>
    <col min="15647" max="15647" width="15" style="22" customWidth="1"/>
    <col min="15648" max="15648" width="23.25" style="22" customWidth="1"/>
    <col min="15649" max="15649" width="26.375" style="22" customWidth="1"/>
    <col min="15650" max="15650" width="11.25" style="22" customWidth="1"/>
    <col min="15651" max="15651" width="19.625" style="22" customWidth="1"/>
    <col min="15652" max="15652" width="14.375" style="22" customWidth="1"/>
    <col min="15653" max="15653" width="18.375" style="22" customWidth="1"/>
    <col min="15654" max="15654" width="10.25" style="22" customWidth="1"/>
    <col min="15655" max="15655" width="36.375" style="22" customWidth="1"/>
    <col min="15656" max="15656" width="20.625" style="22" customWidth="1"/>
    <col min="15657" max="15657" width="16.375" style="22" customWidth="1"/>
    <col min="15658" max="15658" width="14.625" style="22" customWidth="1"/>
    <col min="15659" max="15659" width="10" style="22" customWidth="1"/>
    <col min="15660" max="15660" width="8" style="22" customWidth="1"/>
    <col min="15661" max="15661" width="16" style="22" customWidth="1"/>
    <col min="15662" max="15662" width="16.375" style="22" customWidth="1"/>
    <col min="15663" max="15663" width="9" style="22"/>
    <col min="15664" max="15664" width="16.25" style="22" customWidth="1"/>
    <col min="15665" max="15674" width="9" style="22"/>
    <col min="15675" max="15675" width="12.625" style="22" customWidth="1"/>
    <col min="15676" max="15676" width="22.875" style="22" customWidth="1"/>
    <col min="15677" max="15677" width="8.75" style="22" customWidth="1"/>
    <col min="15678" max="15678" width="19.75" style="22" customWidth="1"/>
    <col min="15679" max="15679" width="9.375" style="22" customWidth="1"/>
    <col min="15680" max="15680" width="9" style="22"/>
    <col min="15681" max="15681" width="10.875" style="22" customWidth="1"/>
    <col min="15682" max="15682" width="9.875" style="22" customWidth="1"/>
    <col min="15683" max="15877" width="9" style="22"/>
    <col min="15878" max="15878" width="4" style="22" customWidth="1"/>
    <col min="15879" max="15879" width="5.875" style="22" customWidth="1"/>
    <col min="15880" max="15880" width="6.375" style="22" customWidth="1"/>
    <col min="15881" max="15881" width="20.25" style="22" customWidth="1"/>
    <col min="15882" max="15882" width="7.375" style="22" customWidth="1"/>
    <col min="15883" max="15883" width="12.75" style="22" customWidth="1"/>
    <col min="15884" max="15884" width="5.875" style="22" customWidth="1"/>
    <col min="15885" max="15885" width="8.75" style="22" customWidth="1"/>
    <col min="15886" max="15886" width="25.625" style="22" customWidth="1"/>
    <col min="15887" max="15887" width="6" style="22" customWidth="1"/>
    <col min="15888" max="15888" width="7.375" style="22" customWidth="1"/>
    <col min="15889" max="15889" width="7.125" style="22" customWidth="1"/>
    <col min="15890" max="15890" width="7" style="22" customWidth="1"/>
    <col min="15891" max="15891" width="6" style="22" customWidth="1"/>
    <col min="15892" max="15892" width="6.25" style="22" customWidth="1"/>
    <col min="15893" max="15893" width="6.375" style="22" customWidth="1"/>
    <col min="15894" max="15894" width="19.125" style="22" customWidth="1"/>
    <col min="15895" max="15895" width="8.125" style="22" customWidth="1"/>
    <col min="15896" max="15896" width="8.75" style="22" customWidth="1"/>
    <col min="15897" max="15897" width="11.25" style="22" customWidth="1"/>
    <col min="15898" max="15898" width="22.875" style="22" customWidth="1"/>
    <col min="15899" max="15899" width="9.375" style="22" customWidth="1"/>
    <col min="15900" max="15900" width="9.875" style="22" customWidth="1"/>
    <col min="15901" max="15902" width="15.875" style="22" customWidth="1"/>
    <col min="15903" max="15903" width="15" style="22" customWidth="1"/>
    <col min="15904" max="15904" width="23.25" style="22" customWidth="1"/>
    <col min="15905" max="15905" width="26.375" style="22" customWidth="1"/>
    <col min="15906" max="15906" width="11.25" style="22" customWidth="1"/>
    <col min="15907" max="15907" width="19.625" style="22" customWidth="1"/>
    <col min="15908" max="15908" width="14.375" style="22" customWidth="1"/>
    <col min="15909" max="15909" width="18.375" style="22" customWidth="1"/>
    <col min="15910" max="15910" width="10.25" style="22" customWidth="1"/>
    <col min="15911" max="15911" width="36.375" style="22" customWidth="1"/>
    <col min="15912" max="15912" width="20.625" style="22" customWidth="1"/>
    <col min="15913" max="15913" width="16.375" style="22" customWidth="1"/>
    <col min="15914" max="15914" width="14.625" style="22" customWidth="1"/>
    <col min="15915" max="15915" width="10" style="22" customWidth="1"/>
    <col min="15916" max="15916" width="8" style="22" customWidth="1"/>
    <col min="15917" max="15917" width="16" style="22" customWidth="1"/>
    <col min="15918" max="15918" width="16.375" style="22" customWidth="1"/>
    <col min="15919" max="15919" width="9" style="22"/>
    <col min="15920" max="15920" width="16.25" style="22" customWidth="1"/>
    <col min="15921" max="15930" width="9" style="22"/>
    <col min="15931" max="15931" width="12.625" style="22" customWidth="1"/>
    <col min="15932" max="15932" width="22.875" style="22" customWidth="1"/>
    <col min="15933" max="15933" width="8.75" style="22" customWidth="1"/>
    <col min="15934" max="15934" width="19.75" style="22" customWidth="1"/>
    <col min="15935" max="15935" width="9.375" style="22" customWidth="1"/>
    <col min="15936" max="15936" width="9" style="22"/>
    <col min="15937" max="15937" width="10.875" style="22" customWidth="1"/>
    <col min="15938" max="15938" width="9.875" style="22" customWidth="1"/>
    <col min="15939" max="16133" width="9" style="22"/>
    <col min="16134" max="16134" width="4" style="22" customWidth="1"/>
    <col min="16135" max="16135" width="5.875" style="22" customWidth="1"/>
    <col min="16136" max="16136" width="6.375" style="22" customWidth="1"/>
    <col min="16137" max="16137" width="20.25" style="22" customWidth="1"/>
    <col min="16138" max="16138" width="7.375" style="22" customWidth="1"/>
    <col min="16139" max="16139" width="12.75" style="22" customWidth="1"/>
    <col min="16140" max="16140" width="5.875" style="22" customWidth="1"/>
    <col min="16141" max="16141" width="8.75" style="22" customWidth="1"/>
    <col min="16142" max="16142" width="25.625" style="22" customWidth="1"/>
    <col min="16143" max="16143" width="6" style="22" customWidth="1"/>
    <col min="16144" max="16144" width="7.375" style="22" customWidth="1"/>
    <col min="16145" max="16145" width="7.125" style="22" customWidth="1"/>
    <col min="16146" max="16146" width="7" style="22" customWidth="1"/>
    <col min="16147" max="16147" width="6" style="22" customWidth="1"/>
    <col min="16148" max="16148" width="6.25" style="22" customWidth="1"/>
    <col min="16149" max="16149" width="6.375" style="22" customWidth="1"/>
    <col min="16150" max="16150" width="19.125" style="22" customWidth="1"/>
    <col min="16151" max="16151" width="8.125" style="22" customWidth="1"/>
    <col min="16152" max="16152" width="8.75" style="22" customWidth="1"/>
    <col min="16153" max="16153" width="11.25" style="22" customWidth="1"/>
    <col min="16154" max="16154" width="22.875" style="22" customWidth="1"/>
    <col min="16155" max="16155" width="9.375" style="22" customWidth="1"/>
    <col min="16156" max="16156" width="9.875" style="22" customWidth="1"/>
    <col min="16157" max="16158" width="15.875" style="22" customWidth="1"/>
    <col min="16159" max="16159" width="15" style="22" customWidth="1"/>
    <col min="16160" max="16160" width="23.25" style="22" customWidth="1"/>
    <col min="16161" max="16161" width="26.375" style="22" customWidth="1"/>
    <col min="16162" max="16162" width="11.25" style="22" customWidth="1"/>
    <col min="16163" max="16163" width="19.625" style="22" customWidth="1"/>
    <col min="16164" max="16164" width="14.375" style="22" customWidth="1"/>
    <col min="16165" max="16165" width="18.375" style="22" customWidth="1"/>
    <col min="16166" max="16166" width="10.25" style="22" customWidth="1"/>
    <col min="16167" max="16167" width="36.375" style="22" customWidth="1"/>
    <col min="16168" max="16168" width="20.625" style="22" customWidth="1"/>
    <col min="16169" max="16169" width="16.375" style="22" customWidth="1"/>
    <col min="16170" max="16170" width="14.625" style="22" customWidth="1"/>
    <col min="16171" max="16171" width="10" style="22" customWidth="1"/>
    <col min="16172" max="16172" width="8" style="22" customWidth="1"/>
    <col min="16173" max="16173" width="16" style="22" customWidth="1"/>
    <col min="16174" max="16174" width="16.375" style="22" customWidth="1"/>
    <col min="16175" max="16175" width="9" style="22"/>
    <col min="16176" max="16176" width="16.25" style="22" customWidth="1"/>
    <col min="16177" max="16186" width="9" style="22"/>
    <col min="16187" max="16187" width="12.625" style="22" customWidth="1"/>
    <col min="16188" max="16188" width="22.875" style="22" customWidth="1"/>
    <col min="16189" max="16189" width="8.75" style="22" customWidth="1"/>
    <col min="16190" max="16190" width="19.75" style="22" customWidth="1"/>
    <col min="16191" max="16191" width="9.375" style="22" customWidth="1"/>
    <col min="16192" max="16192" width="9" style="22"/>
    <col min="16193" max="16193" width="10.875" style="22" customWidth="1"/>
    <col min="16194" max="16194" width="9.875" style="22" customWidth="1"/>
    <col min="16195" max="16384" width="9" style="22"/>
  </cols>
  <sheetData>
    <row r="1" spans="1:67" s="39" customFormat="1" ht="66" customHeight="1" x14ac:dyDescent="0.25">
      <c r="A1" s="16"/>
      <c r="B1" s="45" t="s">
        <v>5</v>
      </c>
      <c r="C1" s="46" t="s">
        <v>112</v>
      </c>
      <c r="D1" s="49" t="s">
        <v>3899</v>
      </c>
      <c r="E1" s="46" t="s">
        <v>128</v>
      </c>
      <c r="F1" s="46" t="s">
        <v>119</v>
      </c>
      <c r="G1" s="46" t="s">
        <v>4438</v>
      </c>
      <c r="H1" s="46" t="s">
        <v>4437</v>
      </c>
      <c r="I1" s="46" t="s">
        <v>113</v>
      </c>
      <c r="J1" s="47" t="s">
        <v>114</v>
      </c>
      <c r="K1" s="46" t="s">
        <v>115</v>
      </c>
      <c r="L1" s="46" t="s">
        <v>116</v>
      </c>
      <c r="M1" s="46"/>
      <c r="N1" s="46" t="s">
        <v>117</v>
      </c>
      <c r="O1" s="49" t="s">
        <v>5023</v>
      </c>
      <c r="P1" s="49"/>
      <c r="Q1" s="48" t="s">
        <v>118</v>
      </c>
      <c r="R1" s="46" t="s">
        <v>120</v>
      </c>
      <c r="S1" s="49" t="s">
        <v>121</v>
      </c>
      <c r="T1" s="50" t="s">
        <v>122</v>
      </c>
      <c r="U1" s="49" t="s">
        <v>123</v>
      </c>
      <c r="V1" s="49" t="s">
        <v>124</v>
      </c>
      <c r="W1" s="49" t="s">
        <v>125</v>
      </c>
      <c r="X1" s="46" t="s">
        <v>115</v>
      </c>
      <c r="Y1" s="49" t="s">
        <v>126</v>
      </c>
      <c r="Z1" s="50" t="s">
        <v>127</v>
      </c>
      <c r="AA1" s="46" t="s">
        <v>15</v>
      </c>
      <c r="AB1" s="46" t="s">
        <v>129</v>
      </c>
      <c r="AC1" s="49" t="s">
        <v>130</v>
      </c>
      <c r="AD1" s="49" t="s">
        <v>131</v>
      </c>
      <c r="AE1" s="49" t="s">
        <v>132</v>
      </c>
      <c r="AF1" s="51" t="s">
        <v>133</v>
      </c>
      <c r="AG1" s="49" t="s">
        <v>134</v>
      </c>
      <c r="AH1" s="49" t="s">
        <v>135</v>
      </c>
      <c r="AI1" s="49" t="s">
        <v>136</v>
      </c>
      <c r="AJ1" s="49" t="s">
        <v>137</v>
      </c>
      <c r="AK1" s="49" t="s">
        <v>138</v>
      </c>
      <c r="AL1" s="49" t="s">
        <v>139</v>
      </c>
      <c r="AM1" s="49" t="s">
        <v>140</v>
      </c>
      <c r="AN1" s="49" t="s">
        <v>141</v>
      </c>
      <c r="AO1" s="49" t="s">
        <v>142</v>
      </c>
      <c r="AP1" s="49" t="s">
        <v>143</v>
      </c>
      <c r="AQ1" s="41" t="s">
        <v>144</v>
      </c>
      <c r="AR1" s="52"/>
      <c r="AS1" s="53"/>
      <c r="AT1" s="53"/>
      <c r="AU1" s="54" t="s">
        <v>3853</v>
      </c>
      <c r="AV1" s="41" t="s">
        <v>3854</v>
      </c>
      <c r="AW1" s="42" t="s">
        <v>3855</v>
      </c>
      <c r="AY1" s="40"/>
      <c r="AZ1" s="40"/>
      <c r="BA1" s="39" t="s">
        <v>3883</v>
      </c>
      <c r="BI1" s="46" t="s">
        <v>128</v>
      </c>
      <c r="BJ1" s="49" t="s">
        <v>3884</v>
      </c>
      <c r="BK1" s="50" t="s">
        <v>3885</v>
      </c>
      <c r="BN1" s="16"/>
      <c r="BO1" s="16"/>
    </row>
    <row r="2" spans="1:67" s="67" customFormat="1" ht="16.5" customHeight="1" x14ac:dyDescent="0.25">
      <c r="A2" s="16"/>
      <c r="B2" s="55"/>
      <c r="C2" s="49"/>
      <c r="D2" s="53"/>
      <c r="E2" s="53"/>
      <c r="F2" s="49"/>
      <c r="G2" s="49"/>
      <c r="H2" s="49"/>
      <c r="I2" s="56" t="s">
        <v>419</v>
      </c>
      <c r="J2" s="49"/>
      <c r="K2" s="103"/>
      <c r="L2" s="53"/>
      <c r="M2" s="53"/>
      <c r="N2" s="53"/>
      <c r="O2" s="58"/>
      <c r="P2" s="53"/>
      <c r="Q2" s="58"/>
      <c r="R2" s="53"/>
      <c r="S2" s="53"/>
      <c r="T2" s="53"/>
      <c r="U2" s="53"/>
      <c r="V2" s="53"/>
      <c r="W2" s="53"/>
      <c r="X2" s="57"/>
      <c r="Y2" s="53"/>
      <c r="Z2" s="53"/>
      <c r="AA2" s="58"/>
      <c r="AB2" s="59"/>
      <c r="AC2" s="58"/>
      <c r="AD2" s="58"/>
      <c r="AE2" s="58"/>
      <c r="AF2" s="60"/>
      <c r="AG2" s="58"/>
      <c r="AH2" s="53"/>
      <c r="AI2" s="58"/>
      <c r="AJ2" s="61"/>
      <c r="AK2" s="62"/>
      <c r="AL2" s="63"/>
      <c r="AM2" s="64"/>
      <c r="AN2" s="65"/>
      <c r="AO2" s="53"/>
      <c r="AP2" s="66"/>
      <c r="AR2" s="38"/>
      <c r="AT2" s="40"/>
      <c r="AU2" s="40"/>
      <c r="AV2" s="54">
        <v>7140201</v>
      </c>
      <c r="AW2" s="53">
        <v>40</v>
      </c>
      <c r="AY2" s="40"/>
      <c r="AZ2" s="40"/>
      <c r="BI2" s="36"/>
      <c r="BJ2" s="36"/>
      <c r="BK2" s="37"/>
      <c r="BN2" s="16"/>
      <c r="BO2" s="16"/>
    </row>
    <row r="3" spans="1:67" s="67" customFormat="1" ht="16.5" customHeight="1" x14ac:dyDescent="0.25">
      <c r="A3" s="16"/>
      <c r="B3" s="68">
        <f>SUBTOTAL(103,$K$2:K3)</f>
        <v>1</v>
      </c>
      <c r="C3" s="59" t="s">
        <v>146</v>
      </c>
      <c r="D3" s="53" t="s">
        <v>158</v>
      </c>
      <c r="E3" s="68" t="s">
        <v>19</v>
      </c>
      <c r="F3" s="53" t="s">
        <v>105</v>
      </c>
      <c r="G3" s="53" t="s">
        <v>4468</v>
      </c>
      <c r="H3" s="53" t="s">
        <v>4439</v>
      </c>
      <c r="I3" s="58" t="s">
        <v>420</v>
      </c>
      <c r="J3" s="58" t="s">
        <v>421</v>
      </c>
      <c r="K3" s="103" t="s">
        <v>3900</v>
      </c>
      <c r="L3" s="68" t="s">
        <v>170</v>
      </c>
      <c r="M3" s="68">
        <v>1</v>
      </c>
      <c r="N3" s="68" t="s">
        <v>150</v>
      </c>
      <c r="O3" s="70" t="s">
        <v>5022</v>
      </c>
      <c r="P3" s="68" t="s">
        <v>3891</v>
      </c>
      <c r="Q3" s="58" t="s">
        <v>23</v>
      </c>
      <c r="R3" s="53">
        <v>2022</v>
      </c>
      <c r="S3" s="59" t="s">
        <v>153</v>
      </c>
      <c r="T3" s="53">
        <v>7.74</v>
      </c>
      <c r="U3" s="53" t="s">
        <v>422</v>
      </c>
      <c r="V3" s="53" t="s">
        <v>423</v>
      </c>
      <c r="W3" s="59" t="s">
        <v>248</v>
      </c>
      <c r="X3" s="57" t="s">
        <v>3900</v>
      </c>
      <c r="Y3" s="59"/>
      <c r="Z3" s="53"/>
      <c r="AA3" s="58"/>
      <c r="AB3" s="59" t="s">
        <v>156</v>
      </c>
      <c r="AC3" s="53" t="s">
        <v>157</v>
      </c>
      <c r="AD3" s="53" t="s">
        <v>157</v>
      </c>
      <c r="AE3" s="58">
        <v>6</v>
      </c>
      <c r="AF3" s="69"/>
      <c r="AG3" s="58" t="s">
        <v>424</v>
      </c>
      <c r="AH3" s="53" t="s">
        <v>155</v>
      </c>
      <c r="AI3" s="58" t="s">
        <v>425</v>
      </c>
      <c r="AJ3" s="61" t="s">
        <v>426</v>
      </c>
      <c r="AK3" s="63" t="s">
        <v>156</v>
      </c>
      <c r="AL3" s="71" t="s">
        <v>413</v>
      </c>
      <c r="AM3" s="64" t="s">
        <v>427</v>
      </c>
      <c r="AN3" s="65" t="s">
        <v>428</v>
      </c>
      <c r="AO3" s="72" t="s">
        <v>164</v>
      </c>
      <c r="AP3" s="66"/>
      <c r="AQ3" s="67" t="s">
        <v>429</v>
      </c>
      <c r="AR3" s="38"/>
      <c r="AT3" s="40"/>
      <c r="AU3" s="40"/>
      <c r="AV3" s="54">
        <v>7140201</v>
      </c>
      <c r="AW3" s="53">
        <v>41</v>
      </c>
      <c r="AY3" s="40"/>
      <c r="AZ3" s="40"/>
      <c r="BI3" s="36"/>
      <c r="BJ3" s="36"/>
      <c r="BK3" s="37"/>
      <c r="BN3" s="16"/>
      <c r="BO3" s="16"/>
    </row>
    <row r="4" spans="1:67" s="67" customFormat="1" ht="16.5" customHeight="1" x14ac:dyDescent="0.25">
      <c r="A4" s="16"/>
      <c r="B4" s="68">
        <f>SUBTOTAL(103,$K$2:K4)</f>
        <v>2</v>
      </c>
      <c r="C4" s="59" t="s">
        <v>167</v>
      </c>
      <c r="D4" s="53" t="s">
        <v>158</v>
      </c>
      <c r="E4" s="68" t="s">
        <v>19</v>
      </c>
      <c r="F4" s="59" t="s">
        <v>105</v>
      </c>
      <c r="G4" s="53" t="s">
        <v>4468</v>
      </c>
      <c r="H4" s="53" t="s">
        <v>4440</v>
      </c>
      <c r="I4" s="73" t="s">
        <v>182</v>
      </c>
      <c r="J4" s="74" t="s">
        <v>430</v>
      </c>
      <c r="K4" s="75" t="s">
        <v>3901</v>
      </c>
      <c r="L4" s="59" t="s">
        <v>170</v>
      </c>
      <c r="M4" s="68">
        <v>1</v>
      </c>
      <c r="N4" s="59" t="s">
        <v>150</v>
      </c>
      <c r="O4" s="70" t="s">
        <v>5022</v>
      </c>
      <c r="P4" s="68" t="s">
        <v>3891</v>
      </c>
      <c r="Q4" s="73" t="s">
        <v>23</v>
      </c>
      <c r="R4" s="59" t="s">
        <v>431</v>
      </c>
      <c r="S4" s="59" t="s">
        <v>153</v>
      </c>
      <c r="T4" s="59" t="s">
        <v>432</v>
      </c>
      <c r="U4" s="59" t="s">
        <v>433</v>
      </c>
      <c r="V4" s="59" t="s">
        <v>434</v>
      </c>
      <c r="W4" s="59" t="s">
        <v>153</v>
      </c>
      <c r="X4" s="75" t="s">
        <v>3901</v>
      </c>
      <c r="Y4" s="59"/>
      <c r="Z4" s="59"/>
      <c r="AA4" s="58"/>
      <c r="AB4" s="59" t="s">
        <v>156</v>
      </c>
      <c r="AC4" s="59" t="s">
        <v>157</v>
      </c>
      <c r="AD4" s="59" t="s">
        <v>157</v>
      </c>
      <c r="AE4" s="59" t="s">
        <v>194</v>
      </c>
      <c r="AF4" s="76"/>
      <c r="AG4" s="73" t="s">
        <v>228</v>
      </c>
      <c r="AH4" s="59" t="s">
        <v>155</v>
      </c>
      <c r="AI4" s="59"/>
      <c r="AJ4" s="77" t="s">
        <v>435</v>
      </c>
      <c r="AK4" s="68" t="s">
        <v>156</v>
      </c>
      <c r="AL4" s="71" t="s">
        <v>436</v>
      </c>
      <c r="AM4" s="74" t="s">
        <v>437</v>
      </c>
      <c r="AN4" s="78" t="s">
        <v>438</v>
      </c>
      <c r="AO4" s="59" t="s">
        <v>164</v>
      </c>
      <c r="AP4" s="64"/>
      <c r="AQ4" s="58" t="s">
        <v>180</v>
      </c>
      <c r="AR4" s="38"/>
      <c r="AT4" s="40"/>
      <c r="AU4" s="40"/>
      <c r="AV4" s="54">
        <v>7140201</v>
      </c>
      <c r="AW4" s="53">
        <v>42</v>
      </c>
      <c r="AY4" s="40"/>
      <c r="AZ4" s="40"/>
      <c r="BI4" s="36"/>
      <c r="BJ4" s="36"/>
      <c r="BK4" s="37"/>
      <c r="BN4" s="16"/>
      <c r="BO4" s="16"/>
    </row>
    <row r="5" spans="1:67" s="67" customFormat="1" ht="16.5" customHeight="1" x14ac:dyDescent="0.25">
      <c r="A5" s="16"/>
      <c r="B5" s="68">
        <f>SUBTOTAL(103,$K$2:K5)</f>
        <v>3</v>
      </c>
      <c r="C5" s="59" t="s">
        <v>181</v>
      </c>
      <c r="D5" s="53" t="s">
        <v>158</v>
      </c>
      <c r="E5" s="53" t="s">
        <v>19</v>
      </c>
      <c r="F5" s="53" t="s">
        <v>105</v>
      </c>
      <c r="G5" s="53" t="s">
        <v>4468</v>
      </c>
      <c r="H5" s="53" t="s">
        <v>4441</v>
      </c>
      <c r="I5" s="58" t="s">
        <v>439</v>
      </c>
      <c r="J5" s="58" t="s">
        <v>440</v>
      </c>
      <c r="K5" s="103" t="s">
        <v>3902</v>
      </c>
      <c r="L5" s="53" t="s">
        <v>170</v>
      </c>
      <c r="M5" s="68">
        <v>1</v>
      </c>
      <c r="N5" s="53" t="s">
        <v>441</v>
      </c>
      <c r="O5" s="70" t="s">
        <v>5022</v>
      </c>
      <c r="P5" s="68" t="s">
        <v>3891</v>
      </c>
      <c r="Q5" s="58" t="s">
        <v>23</v>
      </c>
      <c r="R5" s="53">
        <v>2025</v>
      </c>
      <c r="S5" s="68" t="s">
        <v>236</v>
      </c>
      <c r="T5" s="53" t="s">
        <v>442</v>
      </c>
      <c r="U5" s="53" t="s">
        <v>443</v>
      </c>
      <c r="V5" s="53" t="s">
        <v>282</v>
      </c>
      <c r="W5" s="53" t="s">
        <v>153</v>
      </c>
      <c r="X5" s="57" t="s">
        <v>3902</v>
      </c>
      <c r="Y5" s="59"/>
      <c r="Z5" s="53"/>
      <c r="AA5" s="58"/>
      <c r="AB5" s="59" t="s">
        <v>156</v>
      </c>
      <c r="AC5" s="58" t="s">
        <v>157</v>
      </c>
      <c r="AD5" s="53" t="s">
        <v>157</v>
      </c>
      <c r="AE5" s="53"/>
      <c r="AF5" s="69"/>
      <c r="AG5" s="73" t="s">
        <v>444</v>
      </c>
      <c r="AH5" s="53" t="s">
        <v>155</v>
      </c>
      <c r="AI5" s="58"/>
      <c r="AJ5" s="61" t="s">
        <v>445</v>
      </c>
      <c r="AK5" s="68" t="s">
        <v>156</v>
      </c>
      <c r="AL5" s="58" t="s">
        <v>446</v>
      </c>
      <c r="AM5" s="64" t="s">
        <v>447</v>
      </c>
      <c r="AN5" s="65" t="s">
        <v>448</v>
      </c>
      <c r="AO5" s="53" t="s">
        <v>164</v>
      </c>
      <c r="AP5" s="64"/>
      <c r="AQ5" s="58" t="s">
        <v>449</v>
      </c>
      <c r="AR5" s="38"/>
      <c r="AT5" s="40"/>
      <c r="AU5" s="40"/>
      <c r="AV5" s="54">
        <v>7140201</v>
      </c>
      <c r="AW5" s="53">
        <v>43</v>
      </c>
      <c r="AY5" s="40"/>
      <c r="AZ5" s="40"/>
      <c r="BI5" s="36"/>
      <c r="BJ5" s="36"/>
      <c r="BK5" s="37"/>
      <c r="BN5" s="16"/>
      <c r="BO5" s="16"/>
    </row>
    <row r="6" spans="1:67" s="67" customFormat="1" ht="16.5" customHeight="1" x14ac:dyDescent="0.25">
      <c r="A6" s="16"/>
      <c r="B6" s="68">
        <f>SUBTOTAL(103,$K$2:K6)</f>
        <v>4</v>
      </c>
      <c r="C6" s="59" t="s">
        <v>194</v>
      </c>
      <c r="D6" s="53" t="s">
        <v>158</v>
      </c>
      <c r="E6" s="53" t="s">
        <v>19</v>
      </c>
      <c r="F6" s="53" t="s">
        <v>105</v>
      </c>
      <c r="G6" s="53" t="s">
        <v>4468</v>
      </c>
      <c r="H6" s="53" t="s">
        <v>4442</v>
      </c>
      <c r="I6" s="58" t="s">
        <v>314</v>
      </c>
      <c r="J6" s="74" t="s">
        <v>450</v>
      </c>
      <c r="K6" s="103" t="s">
        <v>3903</v>
      </c>
      <c r="L6" s="53" t="s">
        <v>170</v>
      </c>
      <c r="M6" s="68">
        <v>1</v>
      </c>
      <c r="N6" s="53" t="s">
        <v>150</v>
      </c>
      <c r="O6" s="70" t="s">
        <v>5022</v>
      </c>
      <c r="P6" s="68" t="s">
        <v>3891</v>
      </c>
      <c r="Q6" s="58" t="s">
        <v>23</v>
      </c>
      <c r="R6" s="53">
        <v>2025</v>
      </c>
      <c r="S6" s="53" t="s">
        <v>236</v>
      </c>
      <c r="T6" s="53" t="s">
        <v>451</v>
      </c>
      <c r="U6" s="53" t="s">
        <v>452</v>
      </c>
      <c r="V6" s="53" t="s">
        <v>453</v>
      </c>
      <c r="W6" s="53" t="s">
        <v>153</v>
      </c>
      <c r="X6" s="57" t="s">
        <v>3903</v>
      </c>
      <c r="Y6" s="59"/>
      <c r="Z6" s="53"/>
      <c r="AA6" s="58"/>
      <c r="AB6" s="59" t="s">
        <v>156</v>
      </c>
      <c r="AC6" s="58" t="s">
        <v>157</v>
      </c>
      <c r="AD6" s="58" t="s">
        <v>157</v>
      </c>
      <c r="AE6" s="58"/>
      <c r="AF6" s="69"/>
      <c r="AG6" s="73" t="s">
        <v>228</v>
      </c>
      <c r="AH6" s="53" t="s">
        <v>155</v>
      </c>
      <c r="AI6" s="58"/>
      <c r="AJ6" s="61" t="s">
        <v>454</v>
      </c>
      <c r="AK6" s="68" t="s">
        <v>156</v>
      </c>
      <c r="AL6" s="63" t="s">
        <v>366</v>
      </c>
      <c r="AM6" s="79" t="s">
        <v>455</v>
      </c>
      <c r="AN6" s="65" t="s">
        <v>456</v>
      </c>
      <c r="AO6" s="53" t="s">
        <v>164</v>
      </c>
      <c r="AP6" s="66" t="s">
        <v>457</v>
      </c>
      <c r="AQ6" s="80" t="s">
        <v>224</v>
      </c>
      <c r="AR6" s="38"/>
      <c r="AT6" s="40"/>
      <c r="AU6" s="40"/>
      <c r="AV6" s="54">
        <v>7140201</v>
      </c>
      <c r="AW6" s="53">
        <v>44</v>
      </c>
      <c r="AY6" s="40"/>
      <c r="AZ6" s="40"/>
      <c r="BI6" s="36"/>
      <c r="BJ6" s="36"/>
      <c r="BK6" s="37"/>
      <c r="BN6" s="16"/>
      <c r="BO6" s="16"/>
    </row>
    <row r="7" spans="1:67" s="67" customFormat="1" ht="16.5" customHeight="1" x14ac:dyDescent="0.25">
      <c r="A7" s="16"/>
      <c r="B7" s="68">
        <f>SUBTOTAL(103,$K$2:K7)</f>
        <v>5</v>
      </c>
      <c r="C7" s="59" t="s">
        <v>203</v>
      </c>
      <c r="D7" s="53" t="s">
        <v>158</v>
      </c>
      <c r="E7" s="68" t="s">
        <v>19</v>
      </c>
      <c r="F7" s="59" t="s">
        <v>105</v>
      </c>
      <c r="G7" s="53" t="s">
        <v>4468</v>
      </c>
      <c r="H7" s="53" t="s">
        <v>4443</v>
      </c>
      <c r="I7" s="58" t="s">
        <v>458</v>
      </c>
      <c r="J7" s="58" t="s">
        <v>459</v>
      </c>
      <c r="K7" s="234" t="s">
        <v>3904</v>
      </c>
      <c r="L7" s="53" t="s">
        <v>170</v>
      </c>
      <c r="M7" s="68">
        <v>1</v>
      </c>
      <c r="N7" s="59" t="s">
        <v>150</v>
      </c>
      <c r="O7" s="70" t="s">
        <v>5022</v>
      </c>
      <c r="P7" s="68" t="s">
        <v>3891</v>
      </c>
      <c r="Q7" s="82" t="s">
        <v>23</v>
      </c>
      <c r="R7" s="53">
        <v>2022</v>
      </c>
      <c r="S7" s="59" t="s">
        <v>236</v>
      </c>
      <c r="T7" s="68" t="s">
        <v>460</v>
      </c>
      <c r="U7" s="68" t="s">
        <v>461</v>
      </c>
      <c r="V7" s="53" t="s">
        <v>411</v>
      </c>
      <c r="W7" s="59" t="s">
        <v>153</v>
      </c>
      <c r="X7" s="81" t="s">
        <v>3904</v>
      </c>
      <c r="Y7" s="59"/>
      <c r="Z7" s="53"/>
      <c r="AA7" s="58"/>
      <c r="AB7" s="59" t="s">
        <v>156</v>
      </c>
      <c r="AC7" s="53" t="s">
        <v>157</v>
      </c>
      <c r="AD7" s="53" t="s">
        <v>157</v>
      </c>
      <c r="AE7" s="58"/>
      <c r="AF7" s="69"/>
      <c r="AG7" s="73" t="s">
        <v>228</v>
      </c>
      <c r="AH7" s="59" t="s">
        <v>155</v>
      </c>
      <c r="AI7" s="58"/>
      <c r="AJ7" s="61" t="s">
        <v>462</v>
      </c>
      <c r="AK7" s="68" t="s">
        <v>156</v>
      </c>
      <c r="AL7" s="71" t="s">
        <v>436</v>
      </c>
      <c r="AM7" s="83" t="s">
        <v>463</v>
      </c>
      <c r="AN7" s="65" t="s">
        <v>464</v>
      </c>
      <c r="AO7" s="53" t="s">
        <v>164</v>
      </c>
      <c r="AP7" s="66"/>
      <c r="AQ7" s="58" t="s">
        <v>180</v>
      </c>
      <c r="AR7" s="38"/>
      <c r="AT7" s="40"/>
      <c r="AU7" s="40"/>
      <c r="AV7" s="54">
        <v>7140201</v>
      </c>
      <c r="AW7" s="53">
        <v>45</v>
      </c>
      <c r="AY7" s="40"/>
      <c r="AZ7" s="40"/>
      <c r="BI7" s="36"/>
      <c r="BJ7" s="36"/>
      <c r="BK7" s="37"/>
      <c r="BN7" s="16"/>
      <c r="BO7" s="16"/>
    </row>
    <row r="8" spans="1:67" s="67" customFormat="1" ht="16.5" customHeight="1" x14ac:dyDescent="0.25">
      <c r="A8" s="16"/>
      <c r="B8" s="68">
        <f>SUBTOTAL(103,$K$2:K8)</f>
        <v>6</v>
      </c>
      <c r="C8" s="59" t="s">
        <v>212</v>
      </c>
      <c r="D8" s="53" t="s">
        <v>158</v>
      </c>
      <c r="E8" s="68" t="s">
        <v>19</v>
      </c>
      <c r="F8" s="53" t="s">
        <v>105</v>
      </c>
      <c r="G8" s="53" t="s">
        <v>4468</v>
      </c>
      <c r="H8" s="53" t="s">
        <v>4444</v>
      </c>
      <c r="I8" s="58" t="s">
        <v>465</v>
      </c>
      <c r="J8" s="58" t="s">
        <v>459</v>
      </c>
      <c r="K8" s="103" t="s">
        <v>3905</v>
      </c>
      <c r="L8" s="68" t="s">
        <v>170</v>
      </c>
      <c r="M8" s="68">
        <v>1</v>
      </c>
      <c r="N8" s="68" t="s">
        <v>441</v>
      </c>
      <c r="O8" s="70" t="s">
        <v>5022</v>
      </c>
      <c r="P8" s="68" t="s">
        <v>3891</v>
      </c>
      <c r="Q8" s="58" t="s">
        <v>23</v>
      </c>
      <c r="R8" s="53">
        <v>2020</v>
      </c>
      <c r="S8" s="53" t="s">
        <v>153</v>
      </c>
      <c r="T8" s="53"/>
      <c r="U8" s="53" t="s">
        <v>466</v>
      </c>
      <c r="V8" s="53" t="s">
        <v>411</v>
      </c>
      <c r="W8" s="59" t="s">
        <v>153</v>
      </c>
      <c r="X8" s="57" t="s">
        <v>3905</v>
      </c>
      <c r="Y8" s="59"/>
      <c r="Z8" s="53"/>
      <c r="AA8" s="58"/>
      <c r="AB8" s="59" t="s">
        <v>156</v>
      </c>
      <c r="AC8" s="53" t="s">
        <v>157</v>
      </c>
      <c r="AD8" s="53" t="s">
        <v>157</v>
      </c>
      <c r="AE8" s="58">
        <v>4</v>
      </c>
      <c r="AF8" s="69"/>
      <c r="AG8" s="73" t="s">
        <v>467</v>
      </c>
      <c r="AH8" s="53" t="s">
        <v>155</v>
      </c>
      <c r="AI8" s="58"/>
      <c r="AJ8" s="61" t="s">
        <v>468</v>
      </c>
      <c r="AK8" s="68" t="s">
        <v>156</v>
      </c>
      <c r="AL8" s="71" t="s">
        <v>297</v>
      </c>
      <c r="AM8" s="74" t="s">
        <v>469</v>
      </c>
      <c r="AN8" s="65" t="s">
        <v>470</v>
      </c>
      <c r="AO8" s="53" t="s">
        <v>164</v>
      </c>
      <c r="AP8" s="66"/>
      <c r="AQ8" s="58" t="s">
        <v>471</v>
      </c>
      <c r="AR8" s="38"/>
      <c r="AT8" s="40"/>
      <c r="AU8" s="40"/>
      <c r="AV8" s="54">
        <v>7140201</v>
      </c>
      <c r="AW8" s="53">
        <v>46</v>
      </c>
      <c r="AY8" s="40"/>
      <c r="AZ8" s="40"/>
      <c r="BI8" s="36"/>
      <c r="BJ8" s="36"/>
      <c r="BK8" s="37"/>
      <c r="BN8" s="16"/>
      <c r="BO8" s="16"/>
    </row>
    <row r="9" spans="1:67" s="67" customFormat="1" ht="16.5" customHeight="1" x14ac:dyDescent="0.25">
      <c r="A9" s="16"/>
      <c r="B9" s="68">
        <f>SUBTOTAL(103,$K$2:K9)</f>
        <v>7</v>
      </c>
      <c r="C9" s="59" t="s">
        <v>225</v>
      </c>
      <c r="D9" s="53" t="s">
        <v>158</v>
      </c>
      <c r="E9" s="68" t="s">
        <v>19</v>
      </c>
      <c r="F9" s="59" t="s">
        <v>105</v>
      </c>
      <c r="G9" s="53" t="s">
        <v>4468</v>
      </c>
      <c r="H9" s="53" t="s">
        <v>4445</v>
      </c>
      <c r="I9" s="73" t="s">
        <v>472</v>
      </c>
      <c r="J9" s="74" t="s">
        <v>473</v>
      </c>
      <c r="K9" s="75" t="s">
        <v>3906</v>
      </c>
      <c r="L9" s="59" t="s">
        <v>170</v>
      </c>
      <c r="M9" s="68">
        <v>1</v>
      </c>
      <c r="N9" s="59" t="s">
        <v>150</v>
      </c>
      <c r="O9" s="70" t="s">
        <v>5022</v>
      </c>
      <c r="P9" s="68" t="s">
        <v>3891</v>
      </c>
      <c r="Q9" s="73" t="s">
        <v>23</v>
      </c>
      <c r="R9" s="59" t="s">
        <v>371</v>
      </c>
      <c r="S9" s="59" t="s">
        <v>153</v>
      </c>
      <c r="T9" s="59" t="s">
        <v>474</v>
      </c>
      <c r="U9" s="59" t="s">
        <v>475</v>
      </c>
      <c r="V9" s="59" t="s">
        <v>411</v>
      </c>
      <c r="W9" s="59" t="s">
        <v>153</v>
      </c>
      <c r="X9" s="75" t="s">
        <v>3906</v>
      </c>
      <c r="Y9" s="59"/>
      <c r="Z9" s="59"/>
      <c r="AA9" s="58"/>
      <c r="AB9" s="59" t="s">
        <v>156</v>
      </c>
      <c r="AC9" s="59" t="s">
        <v>157</v>
      </c>
      <c r="AD9" s="59" t="s">
        <v>157</v>
      </c>
      <c r="AE9" s="59" t="s">
        <v>181</v>
      </c>
      <c r="AF9" s="76"/>
      <c r="AG9" s="73" t="s">
        <v>228</v>
      </c>
      <c r="AH9" s="59" t="s">
        <v>155</v>
      </c>
      <c r="AI9" s="59"/>
      <c r="AJ9" s="77" t="s">
        <v>476</v>
      </c>
      <c r="AK9" s="68" t="s">
        <v>156</v>
      </c>
      <c r="AL9" s="71" t="s">
        <v>413</v>
      </c>
      <c r="AM9" s="74" t="s">
        <v>477</v>
      </c>
      <c r="AN9" s="78" t="s">
        <v>478</v>
      </c>
      <c r="AO9" s="59" t="s">
        <v>164</v>
      </c>
      <c r="AP9" s="66"/>
      <c r="AQ9" s="58" t="s">
        <v>193</v>
      </c>
      <c r="AR9" s="38"/>
      <c r="AT9" s="40"/>
      <c r="AU9" s="40"/>
      <c r="AV9" s="54">
        <v>7140201</v>
      </c>
      <c r="AW9" s="53">
        <v>47</v>
      </c>
      <c r="AY9" s="40"/>
      <c r="AZ9" s="40"/>
      <c r="BI9" s="36"/>
      <c r="BJ9" s="36"/>
      <c r="BK9" s="37"/>
      <c r="BN9" s="16"/>
      <c r="BO9" s="16"/>
    </row>
    <row r="10" spans="1:67" s="67" customFormat="1" ht="16.5" customHeight="1" x14ac:dyDescent="0.25">
      <c r="A10" s="16"/>
      <c r="B10" s="68">
        <f>SUBTOTAL(103,$K$2:K10)</f>
        <v>8</v>
      </c>
      <c r="C10" s="59" t="s">
        <v>233</v>
      </c>
      <c r="D10" s="53" t="s">
        <v>158</v>
      </c>
      <c r="E10" s="68" t="s">
        <v>19</v>
      </c>
      <c r="F10" s="68" t="s">
        <v>105</v>
      </c>
      <c r="G10" s="53" t="s">
        <v>4468</v>
      </c>
      <c r="H10" s="53" t="s">
        <v>4446</v>
      </c>
      <c r="I10" s="58" t="s">
        <v>479</v>
      </c>
      <c r="J10" s="58" t="s">
        <v>342</v>
      </c>
      <c r="K10" s="234" t="s">
        <v>3907</v>
      </c>
      <c r="L10" s="68" t="s">
        <v>170</v>
      </c>
      <c r="M10" s="68">
        <v>1</v>
      </c>
      <c r="N10" s="59" t="s">
        <v>150</v>
      </c>
      <c r="O10" s="70" t="s">
        <v>5022</v>
      </c>
      <c r="P10" s="68" t="s">
        <v>3891</v>
      </c>
      <c r="Q10" s="82" t="s">
        <v>23</v>
      </c>
      <c r="R10" s="53">
        <v>2021</v>
      </c>
      <c r="S10" s="59" t="s">
        <v>153</v>
      </c>
      <c r="T10" s="68" t="s">
        <v>480</v>
      </c>
      <c r="U10" s="68" t="s">
        <v>481</v>
      </c>
      <c r="V10" s="53" t="s">
        <v>453</v>
      </c>
      <c r="W10" s="59" t="s">
        <v>153</v>
      </c>
      <c r="X10" s="81" t="s">
        <v>3907</v>
      </c>
      <c r="Y10" s="59"/>
      <c r="Z10" s="53"/>
      <c r="AA10" s="58"/>
      <c r="AB10" s="59" t="s">
        <v>156</v>
      </c>
      <c r="AC10" s="59" t="s">
        <v>157</v>
      </c>
      <c r="AD10" s="59" t="s">
        <v>157</v>
      </c>
      <c r="AE10" s="58">
        <v>3</v>
      </c>
      <c r="AF10" s="69"/>
      <c r="AG10" s="58" t="s">
        <v>228</v>
      </c>
      <c r="AH10" s="59" t="s">
        <v>155</v>
      </c>
      <c r="AI10" s="58"/>
      <c r="AJ10" s="61" t="s">
        <v>482</v>
      </c>
      <c r="AK10" s="68" t="s">
        <v>156</v>
      </c>
      <c r="AL10" s="59" t="s">
        <v>483</v>
      </c>
      <c r="AM10" s="74" t="s">
        <v>484</v>
      </c>
      <c r="AN10" s="65" t="s">
        <v>485</v>
      </c>
      <c r="AO10" s="72" t="s">
        <v>164</v>
      </c>
      <c r="AP10" s="66"/>
      <c r="AQ10" s="67" t="s">
        <v>180</v>
      </c>
      <c r="AR10" s="38"/>
      <c r="AT10" s="40"/>
      <c r="AU10" s="40"/>
      <c r="AV10" s="54">
        <v>7140201</v>
      </c>
      <c r="AW10" s="53">
        <v>48</v>
      </c>
      <c r="AY10" s="40"/>
      <c r="AZ10" s="40"/>
      <c r="BI10" s="36"/>
      <c r="BJ10" s="36"/>
      <c r="BK10" s="37"/>
      <c r="BN10" s="16"/>
      <c r="BO10" s="16"/>
    </row>
    <row r="11" spans="1:67" s="67" customFormat="1" ht="16.5" customHeight="1" x14ac:dyDescent="0.25">
      <c r="A11" s="16"/>
      <c r="B11" s="68">
        <f>SUBTOTAL(103,$K$2:K11)</f>
        <v>9</v>
      </c>
      <c r="C11" s="59" t="s">
        <v>244</v>
      </c>
      <c r="D11" s="53" t="s">
        <v>158</v>
      </c>
      <c r="E11" s="53" t="s">
        <v>19</v>
      </c>
      <c r="F11" s="53" t="s">
        <v>105</v>
      </c>
      <c r="G11" s="53" t="s">
        <v>4468</v>
      </c>
      <c r="H11" s="53" t="s">
        <v>4447</v>
      </c>
      <c r="I11" s="58" t="s">
        <v>182</v>
      </c>
      <c r="J11" s="58" t="s">
        <v>486</v>
      </c>
      <c r="K11" s="103" t="s">
        <v>3908</v>
      </c>
      <c r="L11" s="53" t="s">
        <v>170</v>
      </c>
      <c r="M11" s="68">
        <v>1</v>
      </c>
      <c r="N11" s="53" t="s">
        <v>150</v>
      </c>
      <c r="O11" s="70" t="s">
        <v>5022</v>
      </c>
      <c r="P11" s="68" t="s">
        <v>3891</v>
      </c>
      <c r="Q11" s="58" t="s">
        <v>23</v>
      </c>
      <c r="R11" s="53">
        <v>2017</v>
      </c>
      <c r="S11" s="68" t="s">
        <v>153</v>
      </c>
      <c r="T11" s="53" t="s">
        <v>487</v>
      </c>
      <c r="U11" s="53"/>
      <c r="V11" s="53" t="s">
        <v>453</v>
      </c>
      <c r="W11" s="53" t="s">
        <v>153</v>
      </c>
      <c r="X11" s="57" t="s">
        <v>3908</v>
      </c>
      <c r="Y11" s="59"/>
      <c r="Z11" s="53"/>
      <c r="AA11" s="58"/>
      <c r="AB11" s="59" t="s">
        <v>156</v>
      </c>
      <c r="AC11" s="58" t="s">
        <v>157</v>
      </c>
      <c r="AD11" s="58" t="s">
        <v>157</v>
      </c>
      <c r="AE11" s="58"/>
      <c r="AF11" s="69"/>
      <c r="AG11" s="58" t="s">
        <v>228</v>
      </c>
      <c r="AH11" s="53" t="s">
        <v>155</v>
      </c>
      <c r="AI11" s="58"/>
      <c r="AJ11" s="61" t="s">
        <v>488</v>
      </c>
      <c r="AK11" s="68" t="s">
        <v>156</v>
      </c>
      <c r="AL11" s="58" t="s">
        <v>229</v>
      </c>
      <c r="AM11" s="64" t="s">
        <v>489</v>
      </c>
      <c r="AN11" s="65" t="s">
        <v>490</v>
      </c>
      <c r="AO11" s="53" t="s">
        <v>164</v>
      </c>
      <c r="AP11" s="66" t="s">
        <v>491</v>
      </c>
      <c r="AQ11" s="84" t="s">
        <v>224</v>
      </c>
      <c r="AR11" s="38"/>
      <c r="AT11" s="40"/>
      <c r="AU11" s="40"/>
      <c r="AV11" s="54">
        <v>7140201</v>
      </c>
      <c r="AW11" s="53">
        <v>49</v>
      </c>
      <c r="AY11" s="40"/>
      <c r="AZ11" s="40"/>
      <c r="BI11" s="36"/>
      <c r="BJ11" s="36"/>
      <c r="BK11" s="37"/>
      <c r="BN11" s="16"/>
      <c r="BO11" s="16"/>
    </row>
    <row r="12" spans="1:67" s="67" customFormat="1" ht="16.5" customHeight="1" x14ac:dyDescent="0.25">
      <c r="A12" s="16"/>
      <c r="B12" s="68">
        <f>SUBTOTAL(103,$K$2:K12)</f>
        <v>10</v>
      </c>
      <c r="C12" s="59" t="s">
        <v>257</v>
      </c>
      <c r="D12" s="53" t="s">
        <v>158</v>
      </c>
      <c r="E12" s="68" t="s">
        <v>19</v>
      </c>
      <c r="F12" s="59" t="s">
        <v>105</v>
      </c>
      <c r="G12" s="53" t="s">
        <v>4468</v>
      </c>
      <c r="H12" s="53" t="s">
        <v>4448</v>
      </c>
      <c r="I12" s="58" t="s">
        <v>492</v>
      </c>
      <c r="J12" s="58" t="s">
        <v>304</v>
      </c>
      <c r="K12" s="103" t="s">
        <v>3909</v>
      </c>
      <c r="L12" s="68" t="s">
        <v>170</v>
      </c>
      <c r="M12" s="68">
        <v>1</v>
      </c>
      <c r="N12" s="68" t="s">
        <v>150</v>
      </c>
      <c r="O12" s="70" t="s">
        <v>5022</v>
      </c>
      <c r="P12" s="68" t="s">
        <v>3891</v>
      </c>
      <c r="Q12" s="58" t="s">
        <v>23</v>
      </c>
      <c r="R12" s="53">
        <v>2022</v>
      </c>
      <c r="S12" s="53" t="s">
        <v>153</v>
      </c>
      <c r="T12" s="53"/>
      <c r="U12" s="53" t="s">
        <v>345</v>
      </c>
      <c r="V12" s="53" t="s">
        <v>453</v>
      </c>
      <c r="W12" s="53" t="s">
        <v>153</v>
      </c>
      <c r="X12" s="57" t="s">
        <v>3909</v>
      </c>
      <c r="Y12" s="59"/>
      <c r="Z12" s="53"/>
      <c r="AA12" s="58"/>
      <c r="AB12" s="59" t="s">
        <v>156</v>
      </c>
      <c r="AC12" s="53" t="s">
        <v>157</v>
      </c>
      <c r="AD12" s="53" t="s">
        <v>157</v>
      </c>
      <c r="AE12" s="58">
        <v>3</v>
      </c>
      <c r="AF12" s="69"/>
      <c r="AG12" s="58" t="s">
        <v>493</v>
      </c>
      <c r="AH12" s="68" t="s">
        <v>155</v>
      </c>
      <c r="AI12" s="58"/>
      <c r="AJ12" s="61" t="s">
        <v>494</v>
      </c>
      <c r="AK12" s="58" t="s">
        <v>156</v>
      </c>
      <c r="AL12" s="63" t="s">
        <v>495</v>
      </c>
      <c r="AM12" s="83" t="s">
        <v>496</v>
      </c>
      <c r="AN12" s="65" t="s">
        <v>497</v>
      </c>
      <c r="AO12" s="72" t="s">
        <v>164</v>
      </c>
      <c r="AP12" s="66" t="s">
        <v>498</v>
      </c>
      <c r="AQ12" s="67" t="s">
        <v>429</v>
      </c>
      <c r="AR12" s="38"/>
      <c r="AT12" s="40"/>
      <c r="AU12" s="40"/>
      <c r="AV12" s="54">
        <v>7140201</v>
      </c>
      <c r="AW12" s="53">
        <v>50</v>
      </c>
      <c r="AY12" s="40"/>
      <c r="AZ12" s="40"/>
      <c r="BI12" s="36"/>
      <c r="BJ12" s="36"/>
      <c r="BK12" s="37"/>
      <c r="BN12" s="16"/>
      <c r="BO12" s="16"/>
    </row>
    <row r="13" spans="1:67" s="67" customFormat="1" ht="16.5" customHeight="1" x14ac:dyDescent="0.25">
      <c r="A13" s="16"/>
      <c r="B13" s="68">
        <f>SUBTOTAL(103,$K$2:K13)</f>
        <v>11</v>
      </c>
      <c r="C13" s="59" t="s">
        <v>268</v>
      </c>
      <c r="D13" s="53" t="s">
        <v>158</v>
      </c>
      <c r="E13" s="68" t="s">
        <v>19</v>
      </c>
      <c r="F13" s="68" t="s">
        <v>105</v>
      </c>
      <c r="G13" s="53" t="s">
        <v>4468</v>
      </c>
      <c r="H13" s="53" t="s">
        <v>4449</v>
      </c>
      <c r="I13" s="58" t="s">
        <v>499</v>
      </c>
      <c r="J13" s="58" t="s">
        <v>500</v>
      </c>
      <c r="K13" s="234" t="s">
        <v>3910</v>
      </c>
      <c r="L13" s="59" t="s">
        <v>170</v>
      </c>
      <c r="M13" s="68">
        <v>1</v>
      </c>
      <c r="N13" s="59" t="s">
        <v>150</v>
      </c>
      <c r="O13" s="70" t="s">
        <v>5022</v>
      </c>
      <c r="P13" s="68" t="s">
        <v>3891</v>
      </c>
      <c r="Q13" s="85" t="s">
        <v>23</v>
      </c>
      <c r="R13" s="68">
        <v>2018</v>
      </c>
      <c r="S13" s="59" t="s">
        <v>153</v>
      </c>
      <c r="T13" s="86" t="s">
        <v>501</v>
      </c>
      <c r="U13" s="86" t="s">
        <v>502</v>
      </c>
      <c r="V13" s="68" t="s">
        <v>173</v>
      </c>
      <c r="W13" s="59" t="s">
        <v>153</v>
      </c>
      <c r="X13" s="81" t="s">
        <v>3910</v>
      </c>
      <c r="Y13" s="59"/>
      <c r="Z13" s="68"/>
      <c r="AA13" s="58"/>
      <c r="AB13" s="59" t="s">
        <v>156</v>
      </c>
      <c r="AC13" s="59" t="s">
        <v>157</v>
      </c>
      <c r="AD13" s="59" t="s">
        <v>157</v>
      </c>
      <c r="AE13" s="53"/>
      <c r="AF13" s="69"/>
      <c r="AG13" s="58" t="s">
        <v>228</v>
      </c>
      <c r="AH13" s="59" t="s">
        <v>155</v>
      </c>
      <c r="AI13" s="58"/>
      <c r="AJ13" s="87" t="s">
        <v>503</v>
      </c>
      <c r="AK13" s="68" t="s">
        <v>156</v>
      </c>
      <c r="AL13" s="58" t="s">
        <v>161</v>
      </c>
      <c r="AM13" s="83" t="s">
        <v>504</v>
      </c>
      <c r="AN13" s="65" t="s">
        <v>505</v>
      </c>
      <c r="AO13" s="72" t="s">
        <v>164</v>
      </c>
      <c r="AP13" s="66" t="s">
        <v>506</v>
      </c>
      <c r="AQ13" s="67" t="s">
        <v>180</v>
      </c>
      <c r="AR13" s="38"/>
      <c r="AT13" s="40"/>
      <c r="AU13" s="40"/>
      <c r="AV13" s="54">
        <v>7140201</v>
      </c>
      <c r="AW13" s="53">
        <v>51</v>
      </c>
      <c r="AY13" s="40"/>
      <c r="AZ13" s="40"/>
      <c r="BI13" s="36"/>
      <c r="BJ13" s="36"/>
      <c r="BK13" s="37"/>
      <c r="BN13" s="16"/>
      <c r="BO13" s="16"/>
    </row>
    <row r="14" spans="1:67" s="67" customFormat="1" ht="16.5" customHeight="1" x14ac:dyDescent="0.25">
      <c r="A14" s="16"/>
      <c r="B14" s="68">
        <f>SUBTOTAL(103,$K$2:K14)</f>
        <v>12</v>
      </c>
      <c r="C14" s="59" t="s">
        <v>278</v>
      </c>
      <c r="D14" s="53" t="s">
        <v>158</v>
      </c>
      <c r="E14" s="68" t="s">
        <v>19</v>
      </c>
      <c r="F14" s="53" t="s">
        <v>105</v>
      </c>
      <c r="G14" s="53" t="s">
        <v>4468</v>
      </c>
      <c r="H14" s="53" t="s">
        <v>4450</v>
      </c>
      <c r="I14" s="58" t="s">
        <v>507</v>
      </c>
      <c r="J14" s="58" t="s">
        <v>508</v>
      </c>
      <c r="K14" s="103" t="s">
        <v>3911</v>
      </c>
      <c r="L14" s="53" t="s">
        <v>170</v>
      </c>
      <c r="M14" s="68">
        <v>1</v>
      </c>
      <c r="N14" s="53" t="s">
        <v>509</v>
      </c>
      <c r="O14" s="70" t="s">
        <v>5022</v>
      </c>
      <c r="P14" s="68" t="s">
        <v>3891</v>
      </c>
      <c r="Q14" s="58" t="s">
        <v>23</v>
      </c>
      <c r="R14" s="53">
        <v>2022</v>
      </c>
      <c r="S14" s="53" t="s">
        <v>153</v>
      </c>
      <c r="T14" s="53" t="s">
        <v>510</v>
      </c>
      <c r="U14" s="53"/>
      <c r="V14" s="53" t="s">
        <v>250</v>
      </c>
      <c r="W14" s="53" t="s">
        <v>248</v>
      </c>
      <c r="X14" s="57" t="s">
        <v>3911</v>
      </c>
      <c r="Y14" s="53"/>
      <c r="Z14" s="53"/>
      <c r="AA14" s="58"/>
      <c r="AB14" s="59" t="s">
        <v>156</v>
      </c>
      <c r="AC14" s="58" t="s">
        <v>157</v>
      </c>
      <c r="AD14" s="58" t="s">
        <v>157</v>
      </c>
      <c r="AE14" s="58">
        <v>4</v>
      </c>
      <c r="AF14" s="60"/>
      <c r="AG14" s="58" t="s">
        <v>424</v>
      </c>
      <c r="AH14" s="53" t="s">
        <v>155</v>
      </c>
      <c r="AI14" s="58" t="s">
        <v>511</v>
      </c>
      <c r="AJ14" s="61" t="s">
        <v>512</v>
      </c>
      <c r="AK14" s="68" t="s">
        <v>156</v>
      </c>
      <c r="AL14" s="59" t="s">
        <v>340</v>
      </c>
      <c r="AM14" s="83" t="s">
        <v>513</v>
      </c>
      <c r="AN14" s="65" t="s">
        <v>514</v>
      </c>
      <c r="AO14" s="53" t="s">
        <v>164</v>
      </c>
      <c r="AP14" s="66"/>
      <c r="AQ14" s="67" t="s">
        <v>515</v>
      </c>
      <c r="AR14" s="38"/>
      <c r="AT14" s="40"/>
      <c r="AU14" s="40"/>
      <c r="AV14" s="54">
        <v>7140201</v>
      </c>
      <c r="AW14" s="53">
        <v>52</v>
      </c>
      <c r="AY14" s="40"/>
      <c r="AZ14" s="40"/>
      <c r="BI14" s="36"/>
      <c r="BJ14" s="36"/>
      <c r="BK14" s="37"/>
      <c r="BN14" s="16"/>
      <c r="BO14" s="16"/>
    </row>
    <row r="15" spans="1:67" s="67" customFormat="1" ht="16.5" customHeight="1" x14ac:dyDescent="0.25">
      <c r="A15" s="16"/>
      <c r="B15" s="68">
        <f>SUBTOTAL(103,$K$2:K15)</f>
        <v>13</v>
      </c>
      <c r="C15" s="59" t="s">
        <v>390</v>
      </c>
      <c r="D15" s="53" t="s">
        <v>158</v>
      </c>
      <c r="E15" s="68" t="s">
        <v>19</v>
      </c>
      <c r="F15" s="59" t="s">
        <v>105</v>
      </c>
      <c r="G15" s="53" t="s">
        <v>4468</v>
      </c>
      <c r="H15" s="53" t="s">
        <v>4451</v>
      </c>
      <c r="I15" s="73" t="s">
        <v>182</v>
      </c>
      <c r="J15" s="74" t="s">
        <v>269</v>
      </c>
      <c r="K15" s="75" t="s">
        <v>3912</v>
      </c>
      <c r="L15" s="59" t="s">
        <v>170</v>
      </c>
      <c r="M15" s="68">
        <v>1</v>
      </c>
      <c r="N15" s="59" t="s">
        <v>150</v>
      </c>
      <c r="O15" s="70" t="s">
        <v>5022</v>
      </c>
      <c r="P15" s="68" t="s">
        <v>3891</v>
      </c>
      <c r="Q15" s="73" t="s">
        <v>23</v>
      </c>
      <c r="R15" s="59" t="s">
        <v>410</v>
      </c>
      <c r="S15" s="59" t="s">
        <v>153</v>
      </c>
      <c r="T15" s="59" t="s">
        <v>516</v>
      </c>
      <c r="U15" s="59" t="s">
        <v>517</v>
      </c>
      <c r="V15" s="59" t="s">
        <v>518</v>
      </c>
      <c r="W15" s="59" t="s">
        <v>153</v>
      </c>
      <c r="X15" s="75" t="s">
        <v>3912</v>
      </c>
      <c r="Y15" s="59"/>
      <c r="Z15" s="59"/>
      <c r="AA15" s="58"/>
      <c r="AB15" s="59" t="s">
        <v>156</v>
      </c>
      <c r="AC15" s="59" t="s">
        <v>157</v>
      </c>
      <c r="AD15" s="59" t="s">
        <v>157</v>
      </c>
      <c r="AE15" s="59" t="s">
        <v>194</v>
      </c>
      <c r="AF15" s="76"/>
      <c r="AG15" s="73" t="s">
        <v>519</v>
      </c>
      <c r="AH15" s="59" t="s">
        <v>155</v>
      </c>
      <c r="AI15" s="59"/>
      <c r="AJ15" s="77" t="s">
        <v>520</v>
      </c>
      <c r="AK15" s="68" t="s">
        <v>156</v>
      </c>
      <c r="AL15" s="59" t="s">
        <v>521</v>
      </c>
      <c r="AM15" s="79" t="s">
        <v>522</v>
      </c>
      <c r="AN15" s="78" t="s">
        <v>523</v>
      </c>
      <c r="AO15" s="59" t="s">
        <v>164</v>
      </c>
      <c r="AP15" s="66"/>
      <c r="AQ15" s="67" t="s">
        <v>193</v>
      </c>
      <c r="AR15" s="38"/>
      <c r="AT15" s="40"/>
      <c r="AU15" s="40"/>
      <c r="AV15" s="54">
        <v>7140201</v>
      </c>
      <c r="AW15" s="53">
        <v>53</v>
      </c>
      <c r="AY15" s="40"/>
      <c r="AZ15" s="40"/>
      <c r="BI15" s="36"/>
      <c r="BJ15" s="36"/>
      <c r="BK15" s="37"/>
      <c r="BN15" s="16"/>
      <c r="BO15" s="16"/>
    </row>
    <row r="16" spans="1:67" s="67" customFormat="1" ht="16.5" customHeight="1" x14ac:dyDescent="0.25">
      <c r="A16" s="16"/>
      <c r="B16" s="68">
        <f>SUBTOTAL(103,$K$2:K16)</f>
        <v>14</v>
      </c>
      <c r="C16" s="59" t="s">
        <v>398</v>
      </c>
      <c r="D16" s="53" t="s">
        <v>158</v>
      </c>
      <c r="E16" s="68" t="s">
        <v>19</v>
      </c>
      <c r="F16" s="59" t="s">
        <v>105</v>
      </c>
      <c r="G16" s="53" t="s">
        <v>4468</v>
      </c>
      <c r="H16" s="53" t="s">
        <v>4452</v>
      </c>
      <c r="I16" s="58" t="s">
        <v>524</v>
      </c>
      <c r="J16" s="58" t="s">
        <v>525</v>
      </c>
      <c r="K16" s="103" t="s">
        <v>3913</v>
      </c>
      <c r="L16" s="53" t="s">
        <v>170</v>
      </c>
      <c r="M16" s="68">
        <v>1</v>
      </c>
      <c r="N16" s="68" t="s">
        <v>441</v>
      </c>
      <c r="O16" s="70" t="s">
        <v>5022</v>
      </c>
      <c r="P16" s="68" t="s">
        <v>3891</v>
      </c>
      <c r="Q16" s="58" t="s">
        <v>23</v>
      </c>
      <c r="R16" s="53">
        <v>2022</v>
      </c>
      <c r="S16" s="68" t="s">
        <v>153</v>
      </c>
      <c r="T16" s="53" t="s">
        <v>526</v>
      </c>
      <c r="U16" s="53" t="s">
        <v>527</v>
      </c>
      <c r="V16" s="53" t="s">
        <v>239</v>
      </c>
      <c r="W16" s="53" t="s">
        <v>153</v>
      </c>
      <c r="X16" s="57" t="s">
        <v>3913</v>
      </c>
      <c r="Y16" s="59"/>
      <c r="Z16" s="53"/>
      <c r="AA16" s="58"/>
      <c r="AB16" s="59" t="s">
        <v>156</v>
      </c>
      <c r="AC16" s="53" t="s">
        <v>157</v>
      </c>
      <c r="AD16" s="53" t="s">
        <v>157</v>
      </c>
      <c r="AE16" s="58">
        <v>3</v>
      </c>
      <c r="AF16" s="69"/>
      <c r="AG16" s="58" t="s">
        <v>228</v>
      </c>
      <c r="AH16" s="53" t="s">
        <v>155</v>
      </c>
      <c r="AI16" s="58"/>
      <c r="AJ16" s="61" t="s">
        <v>528</v>
      </c>
      <c r="AK16" s="58" t="s">
        <v>156</v>
      </c>
      <c r="AL16" s="59" t="s">
        <v>446</v>
      </c>
      <c r="AM16" s="79" t="s">
        <v>529</v>
      </c>
      <c r="AN16" s="65" t="s">
        <v>530</v>
      </c>
      <c r="AO16" s="72" t="s">
        <v>164</v>
      </c>
      <c r="AP16" s="66"/>
      <c r="AQ16" s="67" t="s">
        <v>429</v>
      </c>
      <c r="AR16" s="38"/>
      <c r="AT16" s="40"/>
      <c r="AU16" s="40"/>
      <c r="AV16" s="54">
        <v>7140201</v>
      </c>
      <c r="AW16" s="53">
        <v>54</v>
      </c>
      <c r="AY16" s="40"/>
      <c r="AZ16" s="40"/>
      <c r="BI16" s="36"/>
      <c r="BJ16" s="36"/>
      <c r="BK16" s="37"/>
      <c r="BN16" s="16"/>
      <c r="BO16" s="16"/>
    </row>
    <row r="17" spans="1:67" s="67" customFormat="1" ht="16.5" customHeight="1" x14ac:dyDescent="0.25">
      <c r="A17" s="16"/>
      <c r="B17" s="68">
        <f>SUBTOTAL(103,$K$2:K17)</f>
        <v>15</v>
      </c>
      <c r="C17" s="59" t="s">
        <v>407</v>
      </c>
      <c r="D17" s="53" t="s">
        <v>158</v>
      </c>
      <c r="E17" s="53" t="s">
        <v>19</v>
      </c>
      <c r="F17" s="53" t="s">
        <v>105</v>
      </c>
      <c r="G17" s="53" t="s">
        <v>4468</v>
      </c>
      <c r="H17" s="53" t="s">
        <v>4453</v>
      </c>
      <c r="I17" s="58" t="s">
        <v>531</v>
      </c>
      <c r="J17" s="58" t="s">
        <v>532</v>
      </c>
      <c r="K17" s="103" t="s">
        <v>3914</v>
      </c>
      <c r="L17" s="53" t="s">
        <v>170</v>
      </c>
      <c r="M17" s="68">
        <v>1</v>
      </c>
      <c r="N17" s="53" t="s">
        <v>509</v>
      </c>
      <c r="O17" s="70" t="s">
        <v>5022</v>
      </c>
      <c r="P17" s="68" t="s">
        <v>3891</v>
      </c>
      <c r="Q17" s="58" t="s">
        <v>23</v>
      </c>
      <c r="R17" s="53">
        <v>2023</v>
      </c>
      <c r="S17" s="53" t="s">
        <v>236</v>
      </c>
      <c r="T17" s="53" t="s">
        <v>533</v>
      </c>
      <c r="U17" s="53"/>
      <c r="V17" s="53" t="s">
        <v>384</v>
      </c>
      <c r="W17" s="53" t="s">
        <v>153</v>
      </c>
      <c r="X17" s="57" t="s">
        <v>3914</v>
      </c>
      <c r="Y17" s="53"/>
      <c r="Z17" s="53"/>
      <c r="AA17" s="58"/>
      <c r="AB17" s="59" t="s">
        <v>156</v>
      </c>
      <c r="AC17" s="58" t="s">
        <v>157</v>
      </c>
      <c r="AD17" s="58" t="s">
        <v>157</v>
      </c>
      <c r="AE17" s="58"/>
      <c r="AF17" s="60"/>
      <c r="AG17" s="64" t="s">
        <v>228</v>
      </c>
      <c r="AH17" s="53" t="s">
        <v>155</v>
      </c>
      <c r="AI17" s="58"/>
      <c r="AJ17" s="61" t="s">
        <v>534</v>
      </c>
      <c r="AK17" s="68" t="s">
        <v>156</v>
      </c>
      <c r="AL17" s="63" t="s">
        <v>535</v>
      </c>
      <c r="AM17" s="64" t="s">
        <v>536</v>
      </c>
      <c r="AN17" s="65" t="s">
        <v>537</v>
      </c>
      <c r="AO17" s="53" t="s">
        <v>164</v>
      </c>
      <c r="AP17" s="66"/>
      <c r="AQ17" s="88"/>
      <c r="AU17" s="40"/>
      <c r="AV17" s="54">
        <v>7140201</v>
      </c>
      <c r="AW17" s="53">
        <v>55</v>
      </c>
      <c r="BJ17" s="40"/>
      <c r="BK17" s="40"/>
      <c r="BN17" s="16"/>
      <c r="BO17" s="16"/>
    </row>
    <row r="18" spans="1:67" s="67" customFormat="1" ht="16.5" customHeight="1" x14ac:dyDescent="0.25">
      <c r="A18" s="16"/>
      <c r="B18" s="68">
        <f>SUBTOTAL(103,$K$2:K18)</f>
        <v>16</v>
      </c>
      <c r="C18" s="59" t="s">
        <v>415</v>
      </c>
      <c r="D18" s="53" t="s">
        <v>158</v>
      </c>
      <c r="E18" s="68" t="s">
        <v>19</v>
      </c>
      <c r="F18" s="68" t="s">
        <v>105</v>
      </c>
      <c r="G18" s="53" t="s">
        <v>4468</v>
      </c>
      <c r="H18" s="53" t="s">
        <v>4454</v>
      </c>
      <c r="I18" s="58" t="s">
        <v>538</v>
      </c>
      <c r="J18" s="58" t="s">
        <v>370</v>
      </c>
      <c r="K18" s="234" t="s">
        <v>3915</v>
      </c>
      <c r="L18" s="68" t="s">
        <v>170</v>
      </c>
      <c r="M18" s="68">
        <v>1</v>
      </c>
      <c r="N18" s="59" t="s">
        <v>150</v>
      </c>
      <c r="O18" s="70" t="s">
        <v>5022</v>
      </c>
      <c r="P18" s="68" t="s">
        <v>3891</v>
      </c>
      <c r="Q18" s="82" t="s">
        <v>23</v>
      </c>
      <c r="R18" s="53">
        <v>2021</v>
      </c>
      <c r="S18" s="68" t="s">
        <v>153</v>
      </c>
      <c r="T18" s="68"/>
      <c r="U18" s="68"/>
      <c r="V18" s="53" t="s">
        <v>282</v>
      </c>
      <c r="W18" s="59" t="s">
        <v>153</v>
      </c>
      <c r="X18" s="81" t="s">
        <v>3915</v>
      </c>
      <c r="Y18" s="59"/>
      <c r="Z18" s="53"/>
      <c r="AA18" s="58"/>
      <c r="AB18" s="59" t="s">
        <v>156</v>
      </c>
      <c r="AC18" s="59" t="s">
        <v>157</v>
      </c>
      <c r="AD18" s="59" t="s">
        <v>157</v>
      </c>
      <c r="AE18" s="58">
        <v>3</v>
      </c>
      <c r="AF18" s="69"/>
      <c r="AG18" s="58" t="s">
        <v>228</v>
      </c>
      <c r="AH18" s="59"/>
      <c r="AI18" s="58"/>
      <c r="AJ18" s="61" t="s">
        <v>539</v>
      </c>
      <c r="AK18" s="68" t="s">
        <v>156</v>
      </c>
      <c r="AL18" s="71" t="s">
        <v>483</v>
      </c>
      <c r="AM18" s="74" t="s">
        <v>540</v>
      </c>
      <c r="AN18" s="65" t="s">
        <v>541</v>
      </c>
      <c r="AO18" s="72" t="s">
        <v>164</v>
      </c>
      <c r="AP18" s="66" t="s">
        <v>542</v>
      </c>
      <c r="AQ18" s="67" t="s">
        <v>180</v>
      </c>
      <c r="AR18" s="38"/>
      <c r="AT18" s="40"/>
      <c r="AU18" s="40"/>
      <c r="AV18" s="54">
        <v>7140201</v>
      </c>
      <c r="AW18" s="53">
        <v>56</v>
      </c>
      <c r="AY18" s="40"/>
      <c r="AZ18" s="40"/>
      <c r="BI18" s="36"/>
      <c r="BJ18" s="36"/>
      <c r="BK18" s="37"/>
      <c r="BN18" s="16"/>
      <c r="BO18" s="16"/>
    </row>
    <row r="19" spans="1:67" s="67" customFormat="1" ht="16.5" customHeight="1" x14ac:dyDescent="0.25">
      <c r="A19" s="16"/>
      <c r="B19" s="68">
        <f>SUBTOTAL(103,$K$2:K19)</f>
        <v>17</v>
      </c>
      <c r="C19" s="59" t="s">
        <v>543</v>
      </c>
      <c r="D19" s="53" t="s">
        <v>158</v>
      </c>
      <c r="E19" s="53" t="s">
        <v>19</v>
      </c>
      <c r="F19" s="59" t="s">
        <v>105</v>
      </c>
      <c r="G19" s="53" t="s">
        <v>4468</v>
      </c>
      <c r="H19" s="53" t="s">
        <v>4455</v>
      </c>
      <c r="I19" s="58" t="s">
        <v>544</v>
      </c>
      <c r="J19" s="58" t="s">
        <v>370</v>
      </c>
      <c r="K19" s="234" t="s">
        <v>3916</v>
      </c>
      <c r="L19" s="68" t="s">
        <v>170</v>
      </c>
      <c r="M19" s="68">
        <v>1</v>
      </c>
      <c r="N19" s="68" t="s">
        <v>150</v>
      </c>
      <c r="O19" s="70" t="s">
        <v>5022</v>
      </c>
      <c r="P19" s="68" t="s">
        <v>3891</v>
      </c>
      <c r="Q19" s="73" t="s">
        <v>545</v>
      </c>
      <c r="R19" s="59" t="s">
        <v>546</v>
      </c>
      <c r="S19" s="53" t="s">
        <v>153</v>
      </c>
      <c r="T19" s="86" t="s">
        <v>547</v>
      </c>
      <c r="U19" s="86"/>
      <c r="V19" s="68" t="s">
        <v>548</v>
      </c>
      <c r="W19" s="53" t="s">
        <v>153</v>
      </c>
      <c r="X19" s="81" t="s">
        <v>3916</v>
      </c>
      <c r="Y19" s="68"/>
      <c r="Z19" s="68"/>
      <c r="AA19" s="58"/>
      <c r="AB19" s="59" t="s">
        <v>156</v>
      </c>
      <c r="AC19" s="58" t="s">
        <v>157</v>
      </c>
      <c r="AD19" s="59" t="s">
        <v>157</v>
      </c>
      <c r="AE19" s="68">
        <v>3</v>
      </c>
      <c r="AF19" s="69"/>
      <c r="AG19" s="73" t="s">
        <v>228</v>
      </c>
      <c r="AH19" s="68" t="s">
        <v>155</v>
      </c>
      <c r="AI19" s="53"/>
      <c r="AJ19" s="87" t="s">
        <v>549</v>
      </c>
      <c r="AK19" s="68" t="s">
        <v>156</v>
      </c>
      <c r="AL19" s="58" t="s">
        <v>550</v>
      </c>
      <c r="AM19" s="89" t="s">
        <v>551</v>
      </c>
      <c r="AN19" s="90" t="s">
        <v>552</v>
      </c>
      <c r="AO19" s="59" t="s">
        <v>164</v>
      </c>
      <c r="AP19" s="66" t="s">
        <v>553</v>
      </c>
      <c r="AQ19" s="67" t="s">
        <v>554</v>
      </c>
      <c r="AR19" s="38"/>
      <c r="AT19" s="40"/>
      <c r="AU19" s="40"/>
      <c r="AV19" s="54">
        <v>7140201</v>
      </c>
      <c r="AW19" s="53">
        <v>57</v>
      </c>
      <c r="AY19" s="40"/>
      <c r="AZ19" s="40"/>
      <c r="BI19" s="36"/>
      <c r="BJ19" s="36"/>
      <c r="BK19" s="37"/>
      <c r="BN19" s="16"/>
      <c r="BO19" s="16"/>
    </row>
    <row r="20" spans="1:67" s="67" customFormat="1" ht="16.5" customHeight="1" x14ac:dyDescent="0.25">
      <c r="A20" s="16"/>
      <c r="B20" s="68">
        <f>SUBTOTAL(103,$K$2:K20)</f>
        <v>18</v>
      </c>
      <c r="C20" s="59" t="s">
        <v>555</v>
      </c>
      <c r="D20" s="53" t="s">
        <v>158</v>
      </c>
      <c r="E20" s="53" t="s">
        <v>19</v>
      </c>
      <c r="F20" s="53" t="s">
        <v>105</v>
      </c>
      <c r="G20" s="53" t="s">
        <v>4468</v>
      </c>
      <c r="H20" s="53" t="s">
        <v>4456</v>
      </c>
      <c r="I20" s="58" t="s">
        <v>472</v>
      </c>
      <c r="J20" s="58" t="s">
        <v>556</v>
      </c>
      <c r="K20" s="103" t="s">
        <v>3917</v>
      </c>
      <c r="L20" s="53" t="s">
        <v>170</v>
      </c>
      <c r="M20" s="68">
        <v>1</v>
      </c>
      <c r="N20" s="53" t="s">
        <v>150</v>
      </c>
      <c r="O20" s="70" t="s">
        <v>5022</v>
      </c>
      <c r="P20" s="68" t="s">
        <v>3891</v>
      </c>
      <c r="Q20" s="58" t="s">
        <v>23</v>
      </c>
      <c r="R20" s="53">
        <v>2025</v>
      </c>
      <c r="S20" s="68" t="s">
        <v>236</v>
      </c>
      <c r="T20" s="53" t="s">
        <v>557</v>
      </c>
      <c r="U20" s="53" t="s">
        <v>558</v>
      </c>
      <c r="V20" s="53" t="s">
        <v>453</v>
      </c>
      <c r="W20" s="53" t="s">
        <v>153</v>
      </c>
      <c r="X20" s="57" t="s">
        <v>3917</v>
      </c>
      <c r="Y20" s="59"/>
      <c r="Z20" s="53"/>
      <c r="AA20" s="58"/>
      <c r="AB20" s="59" t="s">
        <v>156</v>
      </c>
      <c r="AC20" s="58" t="s">
        <v>157</v>
      </c>
      <c r="AD20" s="53" t="s">
        <v>157</v>
      </c>
      <c r="AE20" s="53"/>
      <c r="AF20" s="69"/>
      <c r="AG20" s="73" t="s">
        <v>444</v>
      </c>
      <c r="AH20" s="53" t="s">
        <v>155</v>
      </c>
      <c r="AI20" s="58" t="s">
        <v>559</v>
      </c>
      <c r="AJ20" s="61" t="s">
        <v>560</v>
      </c>
      <c r="AK20" s="68" t="s">
        <v>156</v>
      </c>
      <c r="AL20" s="63" t="s">
        <v>413</v>
      </c>
      <c r="AM20" s="64" t="s">
        <v>561</v>
      </c>
      <c r="AN20" s="65" t="s">
        <v>562</v>
      </c>
      <c r="AO20" s="53" t="s">
        <v>164</v>
      </c>
      <c r="AP20" s="66"/>
      <c r="AQ20" s="67" t="s">
        <v>449</v>
      </c>
      <c r="AR20" s="38"/>
      <c r="AT20" s="40"/>
      <c r="AU20" s="40"/>
      <c r="AV20" s="54">
        <v>7140201</v>
      </c>
      <c r="AW20" s="53">
        <v>58</v>
      </c>
      <c r="AY20" s="40"/>
      <c r="AZ20" s="40"/>
      <c r="BI20" s="36"/>
      <c r="BJ20" s="36"/>
      <c r="BK20" s="37"/>
      <c r="BN20" s="16"/>
      <c r="BO20" s="16"/>
    </row>
    <row r="21" spans="1:67" s="67" customFormat="1" ht="16.5" customHeight="1" x14ac:dyDescent="0.25">
      <c r="A21" s="16"/>
      <c r="B21" s="68">
        <f>SUBTOTAL(103,$K$2:K21)</f>
        <v>19</v>
      </c>
      <c r="C21" s="59" t="s">
        <v>563</v>
      </c>
      <c r="D21" s="53" t="s">
        <v>158</v>
      </c>
      <c r="E21" s="53" t="s">
        <v>19</v>
      </c>
      <c r="F21" s="53" t="s">
        <v>106</v>
      </c>
      <c r="G21" s="53" t="s">
        <v>4468</v>
      </c>
      <c r="H21" s="53" t="s">
        <v>4457</v>
      </c>
      <c r="I21" s="58" t="s">
        <v>564</v>
      </c>
      <c r="J21" s="58" t="s">
        <v>565</v>
      </c>
      <c r="K21" s="103" t="s">
        <v>3918</v>
      </c>
      <c r="L21" s="53" t="s">
        <v>170</v>
      </c>
      <c r="M21" s="68">
        <v>1</v>
      </c>
      <c r="N21" s="53" t="s">
        <v>150</v>
      </c>
      <c r="O21" s="70" t="s">
        <v>5022</v>
      </c>
      <c r="P21" s="68" t="s">
        <v>3891</v>
      </c>
      <c r="Q21" s="58" t="s">
        <v>566</v>
      </c>
      <c r="R21" s="53">
        <v>2011</v>
      </c>
      <c r="S21" s="53" t="s">
        <v>153</v>
      </c>
      <c r="T21" s="53" t="s">
        <v>567</v>
      </c>
      <c r="U21" s="53"/>
      <c r="V21" s="53" t="s">
        <v>434</v>
      </c>
      <c r="W21" s="53" t="s">
        <v>153</v>
      </c>
      <c r="X21" s="57" t="s">
        <v>3918</v>
      </c>
      <c r="Y21" s="53"/>
      <c r="Z21" s="53"/>
      <c r="AA21" s="58"/>
      <c r="AB21" s="59" t="s">
        <v>156</v>
      </c>
      <c r="AC21" s="58" t="s">
        <v>157</v>
      </c>
      <c r="AD21" s="58" t="s">
        <v>157</v>
      </c>
      <c r="AE21" s="58">
        <v>3</v>
      </c>
      <c r="AF21" s="60"/>
      <c r="AG21" s="58" t="s">
        <v>568</v>
      </c>
      <c r="AH21" s="53" t="s">
        <v>155</v>
      </c>
      <c r="AI21" s="58"/>
      <c r="AJ21" s="91" t="s">
        <v>569</v>
      </c>
      <c r="AK21" s="92" t="s">
        <v>156</v>
      </c>
      <c r="AL21" s="93" t="s">
        <v>570</v>
      </c>
      <c r="AM21" s="94" t="s">
        <v>571</v>
      </c>
      <c r="AN21" s="95" t="s">
        <v>266</v>
      </c>
      <c r="AO21" s="96" t="s">
        <v>164</v>
      </c>
      <c r="AP21" s="66"/>
      <c r="AQ21" s="67" t="s">
        <v>267</v>
      </c>
      <c r="AR21" s="38"/>
      <c r="AT21" s="40"/>
      <c r="AU21" s="40"/>
      <c r="AV21" s="54">
        <v>7140201</v>
      </c>
      <c r="AW21" s="53">
        <v>59</v>
      </c>
      <c r="AY21" s="40"/>
      <c r="AZ21" s="40"/>
      <c r="BI21" s="36"/>
      <c r="BJ21" s="36"/>
      <c r="BK21" s="37"/>
      <c r="BN21" s="16"/>
      <c r="BO21" s="16"/>
    </row>
    <row r="22" spans="1:67" s="67" customFormat="1" ht="16.5" customHeight="1" x14ac:dyDescent="0.25">
      <c r="A22" s="16"/>
      <c r="B22" s="68">
        <f>SUBTOTAL(103,$K$2:K22)</f>
        <v>20</v>
      </c>
      <c r="C22" s="59" t="s">
        <v>572</v>
      </c>
      <c r="D22" s="53" t="s">
        <v>158</v>
      </c>
      <c r="E22" s="53" t="s">
        <v>19</v>
      </c>
      <c r="F22" s="59" t="s">
        <v>104</v>
      </c>
      <c r="G22" s="53" t="s">
        <v>4468</v>
      </c>
      <c r="H22" s="59" t="s">
        <v>4458</v>
      </c>
      <c r="I22" s="58" t="s">
        <v>472</v>
      </c>
      <c r="J22" s="58" t="s">
        <v>573</v>
      </c>
      <c r="K22" s="103" t="s">
        <v>3919</v>
      </c>
      <c r="L22" s="68" t="s">
        <v>170</v>
      </c>
      <c r="M22" s="68">
        <v>1</v>
      </c>
      <c r="N22" s="68" t="s">
        <v>574</v>
      </c>
      <c r="O22" s="70" t="s">
        <v>5022</v>
      </c>
      <c r="P22" s="68" t="s">
        <v>3891</v>
      </c>
      <c r="Q22" s="73" t="s">
        <v>575</v>
      </c>
      <c r="R22" s="53">
        <v>2017</v>
      </c>
      <c r="S22" s="53" t="s">
        <v>153</v>
      </c>
      <c r="T22" s="53"/>
      <c r="U22" s="53"/>
      <c r="V22" s="53"/>
      <c r="W22" s="53"/>
      <c r="X22" s="57" t="s">
        <v>3919</v>
      </c>
      <c r="Y22" s="59"/>
      <c r="Z22" s="53"/>
      <c r="AA22" s="58"/>
      <c r="AB22" s="59" t="s">
        <v>156</v>
      </c>
      <c r="AC22" s="58" t="s">
        <v>157</v>
      </c>
      <c r="AD22" s="68"/>
      <c r="AE22" s="68"/>
      <c r="AF22" s="60"/>
      <c r="AG22" s="58" t="s">
        <v>576</v>
      </c>
      <c r="AH22" s="68"/>
      <c r="AI22" s="58"/>
      <c r="AJ22" s="61" t="s">
        <v>577</v>
      </c>
      <c r="AK22" s="68" t="s">
        <v>156</v>
      </c>
      <c r="AL22" s="63" t="s">
        <v>189</v>
      </c>
      <c r="AM22" s="64" t="s">
        <v>578</v>
      </c>
      <c r="AN22" s="65" t="s">
        <v>579</v>
      </c>
      <c r="AO22" s="72" t="s">
        <v>164</v>
      </c>
      <c r="AP22" s="66" t="s">
        <v>580</v>
      </c>
      <c r="AQ22" s="67" t="s">
        <v>554</v>
      </c>
      <c r="AR22" s="38"/>
      <c r="AT22" s="40"/>
      <c r="AU22" s="40"/>
      <c r="AV22" s="54">
        <v>7140201</v>
      </c>
      <c r="AW22" s="53">
        <v>60</v>
      </c>
      <c r="AY22" s="40"/>
      <c r="AZ22" s="40"/>
      <c r="BI22" s="36"/>
      <c r="BJ22" s="36"/>
      <c r="BK22" s="37"/>
      <c r="BN22" s="16"/>
      <c r="BO22" s="16"/>
    </row>
    <row r="23" spans="1:67" s="67" customFormat="1" ht="16.5" customHeight="1" x14ac:dyDescent="0.25">
      <c r="A23" s="16"/>
      <c r="B23" s="68">
        <f>SUBTOTAL(103,$K$2:K23)</f>
        <v>21</v>
      </c>
      <c r="C23" s="59" t="s">
        <v>581</v>
      </c>
      <c r="D23" s="53" t="s">
        <v>158</v>
      </c>
      <c r="E23" s="53" t="s">
        <v>19</v>
      </c>
      <c r="F23" s="53" t="s">
        <v>104</v>
      </c>
      <c r="G23" s="53" t="s">
        <v>4468</v>
      </c>
      <c r="H23" s="59" t="s">
        <v>4459</v>
      </c>
      <c r="I23" s="58" t="s">
        <v>472</v>
      </c>
      <c r="J23" s="58" t="s">
        <v>582</v>
      </c>
      <c r="K23" s="103" t="s">
        <v>3920</v>
      </c>
      <c r="L23" s="53" t="s">
        <v>170</v>
      </c>
      <c r="M23" s="68">
        <v>1</v>
      </c>
      <c r="N23" s="53" t="s">
        <v>150</v>
      </c>
      <c r="O23" s="70" t="s">
        <v>5022</v>
      </c>
      <c r="P23" s="68" t="s">
        <v>3891</v>
      </c>
      <c r="Q23" s="58" t="s">
        <v>575</v>
      </c>
      <c r="R23" s="53">
        <v>2017</v>
      </c>
      <c r="S23" s="53" t="s">
        <v>337</v>
      </c>
      <c r="T23" s="53" t="s">
        <v>583</v>
      </c>
      <c r="U23" s="53"/>
      <c r="V23" s="53" t="s">
        <v>411</v>
      </c>
      <c r="W23" s="53" t="s">
        <v>153</v>
      </c>
      <c r="X23" s="57" t="s">
        <v>3920</v>
      </c>
      <c r="Y23" s="53"/>
      <c r="Z23" s="53"/>
      <c r="AA23" s="58"/>
      <c r="AB23" s="59" t="s">
        <v>156</v>
      </c>
      <c r="AC23" s="58" t="s">
        <v>157</v>
      </c>
      <c r="AD23" s="58" t="s">
        <v>157</v>
      </c>
      <c r="AE23" s="58"/>
      <c r="AF23" s="60"/>
      <c r="AG23" s="64" t="s">
        <v>467</v>
      </c>
      <c r="AH23" s="53" t="s">
        <v>155</v>
      </c>
      <c r="AI23" s="58"/>
      <c r="AJ23" s="61" t="s">
        <v>584</v>
      </c>
      <c r="AK23" s="68" t="s">
        <v>156</v>
      </c>
      <c r="AL23" s="63" t="s">
        <v>436</v>
      </c>
      <c r="AM23" s="79" t="s">
        <v>585</v>
      </c>
      <c r="AN23" s="65" t="s">
        <v>586</v>
      </c>
      <c r="AO23" s="53" t="s">
        <v>164</v>
      </c>
      <c r="AP23" s="66" t="s">
        <v>457</v>
      </c>
      <c r="AQ23" s="88" t="s">
        <v>587</v>
      </c>
      <c r="AU23" s="40"/>
      <c r="AV23" s="54">
        <v>7140201</v>
      </c>
      <c r="AW23" s="53">
        <v>61</v>
      </c>
      <c r="BJ23" s="40"/>
      <c r="BK23" s="40"/>
      <c r="BN23" s="16"/>
      <c r="BO23" s="16"/>
    </row>
    <row r="24" spans="1:67" s="67" customFormat="1" ht="16.5" customHeight="1" x14ac:dyDescent="0.25">
      <c r="A24" s="16"/>
      <c r="B24" s="68">
        <f>SUBTOTAL(103,$K$2:K24)</f>
        <v>22</v>
      </c>
      <c r="C24" s="59" t="s">
        <v>588</v>
      </c>
      <c r="D24" s="53" t="s">
        <v>158</v>
      </c>
      <c r="E24" s="68" t="s">
        <v>19</v>
      </c>
      <c r="F24" s="53" t="s">
        <v>104</v>
      </c>
      <c r="G24" s="53" t="s">
        <v>4468</v>
      </c>
      <c r="H24" s="59" t="s">
        <v>4460</v>
      </c>
      <c r="I24" s="58" t="s">
        <v>472</v>
      </c>
      <c r="J24" s="58" t="s">
        <v>589</v>
      </c>
      <c r="K24" s="103" t="s">
        <v>3921</v>
      </c>
      <c r="L24" s="53" t="s">
        <v>170</v>
      </c>
      <c r="M24" s="68">
        <v>1</v>
      </c>
      <c r="N24" s="68" t="s">
        <v>150</v>
      </c>
      <c r="O24" s="70" t="s">
        <v>5022</v>
      </c>
      <c r="P24" s="68" t="s">
        <v>3891</v>
      </c>
      <c r="Q24" s="58" t="s">
        <v>575</v>
      </c>
      <c r="R24" s="53">
        <v>2016</v>
      </c>
      <c r="S24" s="68" t="s">
        <v>153</v>
      </c>
      <c r="T24" s="53" t="s">
        <v>583</v>
      </c>
      <c r="U24" s="53"/>
      <c r="V24" s="53" t="s">
        <v>186</v>
      </c>
      <c r="W24" s="53" t="s">
        <v>153</v>
      </c>
      <c r="X24" s="57" t="s">
        <v>3921</v>
      </c>
      <c r="Y24" s="59"/>
      <c r="Z24" s="53"/>
      <c r="AA24" s="58"/>
      <c r="AB24" s="59" t="s">
        <v>156</v>
      </c>
      <c r="AC24" s="58" t="s">
        <v>157</v>
      </c>
      <c r="AD24" s="58" t="s">
        <v>157</v>
      </c>
      <c r="AE24" s="58">
        <v>6</v>
      </c>
      <c r="AF24" s="69"/>
      <c r="AG24" s="58" t="s">
        <v>590</v>
      </c>
      <c r="AH24" s="53" t="s">
        <v>19</v>
      </c>
      <c r="AI24" s="58"/>
      <c r="AJ24" s="61" t="s">
        <v>591</v>
      </c>
      <c r="AK24" s="68" t="s">
        <v>156</v>
      </c>
      <c r="AL24" s="71" t="s">
        <v>483</v>
      </c>
      <c r="AM24" s="74" t="s">
        <v>592</v>
      </c>
      <c r="AN24" s="65" t="s">
        <v>593</v>
      </c>
      <c r="AO24" s="59" t="s">
        <v>164</v>
      </c>
      <c r="AP24" s="66"/>
      <c r="AQ24" s="67" t="s">
        <v>515</v>
      </c>
      <c r="AR24" s="38"/>
      <c r="AT24" s="40"/>
      <c r="AU24" s="40"/>
      <c r="AV24" s="54">
        <v>7140201</v>
      </c>
      <c r="AW24" s="53">
        <v>62</v>
      </c>
      <c r="AY24" s="40"/>
      <c r="AZ24" s="40"/>
      <c r="BI24" s="36"/>
      <c r="BJ24" s="36"/>
      <c r="BK24" s="37"/>
      <c r="BN24" s="16"/>
      <c r="BO24" s="16"/>
    </row>
    <row r="25" spans="1:67" s="67" customFormat="1" ht="16.5" customHeight="1" x14ac:dyDescent="0.25">
      <c r="A25" s="16"/>
      <c r="B25" s="68">
        <f>SUBTOTAL(103,$K$2:K25)</f>
        <v>23</v>
      </c>
      <c r="C25" s="59" t="s">
        <v>594</v>
      </c>
      <c r="D25" s="53" t="s">
        <v>158</v>
      </c>
      <c r="E25" s="53" t="s">
        <v>19</v>
      </c>
      <c r="F25" s="53" t="s">
        <v>104</v>
      </c>
      <c r="G25" s="53" t="s">
        <v>4468</v>
      </c>
      <c r="H25" s="59" t="s">
        <v>4461</v>
      </c>
      <c r="I25" s="58" t="s">
        <v>595</v>
      </c>
      <c r="J25" s="58" t="s">
        <v>473</v>
      </c>
      <c r="K25" s="103" t="s">
        <v>3922</v>
      </c>
      <c r="L25" s="53" t="s">
        <v>170</v>
      </c>
      <c r="M25" s="68">
        <v>1</v>
      </c>
      <c r="N25" s="53" t="s">
        <v>150</v>
      </c>
      <c r="O25" s="70" t="s">
        <v>5022</v>
      </c>
      <c r="P25" s="68" t="s">
        <v>3891</v>
      </c>
      <c r="Q25" s="58" t="s">
        <v>575</v>
      </c>
      <c r="R25" s="53">
        <v>2018</v>
      </c>
      <c r="S25" s="68" t="s">
        <v>153</v>
      </c>
      <c r="T25" s="53" t="s">
        <v>548</v>
      </c>
      <c r="U25" s="53"/>
      <c r="V25" s="53" t="s">
        <v>173</v>
      </c>
      <c r="W25" s="53" t="s">
        <v>153</v>
      </c>
      <c r="X25" s="57" t="s">
        <v>3922</v>
      </c>
      <c r="Y25" s="59"/>
      <c r="Z25" s="53"/>
      <c r="AA25" s="58"/>
      <c r="AB25" s="59" t="s">
        <v>156</v>
      </c>
      <c r="AC25" s="58" t="s">
        <v>157</v>
      </c>
      <c r="AD25" s="58" t="s">
        <v>157</v>
      </c>
      <c r="AE25" s="58"/>
      <c r="AF25" s="69"/>
      <c r="AG25" s="73" t="s">
        <v>228</v>
      </c>
      <c r="AH25" s="53" t="s">
        <v>155</v>
      </c>
      <c r="AI25" s="58"/>
      <c r="AJ25" s="61" t="s">
        <v>596</v>
      </c>
      <c r="AK25" s="68" t="s">
        <v>156</v>
      </c>
      <c r="AL25" s="58" t="s">
        <v>264</v>
      </c>
      <c r="AM25" s="64" t="s">
        <v>597</v>
      </c>
      <c r="AN25" s="65" t="s">
        <v>598</v>
      </c>
      <c r="AO25" s="53" t="s">
        <v>164</v>
      </c>
      <c r="AP25" s="66"/>
      <c r="AQ25" s="84" t="s">
        <v>368</v>
      </c>
      <c r="AR25" s="38"/>
      <c r="AT25" s="40"/>
      <c r="AU25" s="40"/>
      <c r="AV25" s="54">
        <v>7140201</v>
      </c>
      <c r="AW25" s="53">
        <v>63</v>
      </c>
      <c r="AY25" s="40"/>
      <c r="AZ25" s="40"/>
      <c r="BI25" s="36"/>
      <c r="BJ25" s="36"/>
      <c r="BK25" s="37"/>
      <c r="BN25" s="16"/>
      <c r="BO25" s="16"/>
    </row>
    <row r="26" spans="1:67" s="67" customFormat="1" ht="16.5" customHeight="1" x14ac:dyDescent="0.25">
      <c r="A26" s="16"/>
      <c r="B26" s="68">
        <f>SUBTOTAL(103,$K$2:K26)</f>
        <v>24</v>
      </c>
      <c r="C26" s="59" t="s">
        <v>599</v>
      </c>
      <c r="D26" s="53" t="s">
        <v>158</v>
      </c>
      <c r="E26" s="68" t="s">
        <v>19</v>
      </c>
      <c r="F26" s="59" t="s">
        <v>104</v>
      </c>
      <c r="G26" s="53" t="s">
        <v>4468</v>
      </c>
      <c r="H26" s="59" t="s">
        <v>4462</v>
      </c>
      <c r="I26" s="58" t="s">
        <v>600</v>
      </c>
      <c r="J26" s="58" t="s">
        <v>342</v>
      </c>
      <c r="K26" s="234" t="s">
        <v>3923</v>
      </c>
      <c r="L26" s="59" t="s">
        <v>170</v>
      </c>
      <c r="M26" s="68">
        <v>1</v>
      </c>
      <c r="N26" s="59" t="s">
        <v>150</v>
      </c>
      <c r="O26" s="70" t="s">
        <v>5022</v>
      </c>
      <c r="P26" s="68" t="s">
        <v>3891</v>
      </c>
      <c r="Q26" s="85" t="s">
        <v>23</v>
      </c>
      <c r="R26" s="68">
        <v>2015</v>
      </c>
      <c r="S26" s="53" t="s">
        <v>337</v>
      </c>
      <c r="T26" s="86" t="s">
        <v>411</v>
      </c>
      <c r="U26" s="86"/>
      <c r="V26" s="68" t="s">
        <v>250</v>
      </c>
      <c r="W26" s="59" t="s">
        <v>153</v>
      </c>
      <c r="X26" s="81" t="s">
        <v>3923</v>
      </c>
      <c r="Y26" s="59"/>
      <c r="Z26" s="53"/>
      <c r="AA26" s="58"/>
      <c r="AB26" s="59" t="s">
        <v>156</v>
      </c>
      <c r="AC26" s="59" t="s">
        <v>157</v>
      </c>
      <c r="AD26" s="59" t="s">
        <v>157</v>
      </c>
      <c r="AE26" s="53"/>
      <c r="AF26" s="69"/>
      <c r="AG26" s="58" t="s">
        <v>601</v>
      </c>
      <c r="AH26" s="59" t="s">
        <v>155</v>
      </c>
      <c r="AI26" s="58"/>
      <c r="AJ26" s="87" t="s">
        <v>602</v>
      </c>
      <c r="AK26" s="68" t="s">
        <v>156</v>
      </c>
      <c r="AL26" s="71" t="s">
        <v>220</v>
      </c>
      <c r="AM26" s="74" t="s">
        <v>603</v>
      </c>
      <c r="AN26" s="90" t="s">
        <v>604</v>
      </c>
      <c r="AO26" s="72" t="s">
        <v>164</v>
      </c>
      <c r="AP26" s="66"/>
      <c r="AQ26" s="67" t="s">
        <v>180</v>
      </c>
      <c r="AR26" s="38"/>
      <c r="AT26" s="40"/>
      <c r="AU26" s="40"/>
      <c r="AV26" s="54">
        <v>7140201</v>
      </c>
      <c r="AW26" s="53">
        <v>64</v>
      </c>
      <c r="AY26" s="40"/>
      <c r="AZ26" s="40"/>
      <c r="BI26" s="36"/>
      <c r="BJ26" s="36"/>
      <c r="BK26" s="37"/>
      <c r="BN26" s="16"/>
      <c r="BO26" s="16"/>
    </row>
    <row r="27" spans="1:67" s="67" customFormat="1" ht="16.5" customHeight="1" x14ac:dyDescent="0.25">
      <c r="A27" s="16"/>
      <c r="B27" s="68">
        <f>SUBTOTAL(103,$K$2:K27)</f>
        <v>25</v>
      </c>
      <c r="C27" s="59" t="s">
        <v>605</v>
      </c>
      <c r="D27" s="53" t="s">
        <v>158</v>
      </c>
      <c r="E27" s="68" t="s">
        <v>19</v>
      </c>
      <c r="F27" s="53" t="s">
        <v>104</v>
      </c>
      <c r="G27" s="53" t="s">
        <v>4468</v>
      </c>
      <c r="H27" s="59" t="s">
        <v>4463</v>
      </c>
      <c r="I27" s="58" t="s">
        <v>182</v>
      </c>
      <c r="J27" s="58" t="s">
        <v>606</v>
      </c>
      <c r="K27" s="103" t="s">
        <v>3924</v>
      </c>
      <c r="L27" s="68" t="s">
        <v>170</v>
      </c>
      <c r="M27" s="68">
        <v>1</v>
      </c>
      <c r="N27" s="68" t="s">
        <v>150</v>
      </c>
      <c r="O27" s="70" t="s">
        <v>5022</v>
      </c>
      <c r="P27" s="68" t="s">
        <v>3891</v>
      </c>
      <c r="Q27" s="58" t="s">
        <v>575</v>
      </c>
      <c r="R27" s="53">
        <v>2019</v>
      </c>
      <c r="S27" s="68" t="s">
        <v>236</v>
      </c>
      <c r="T27" s="53" t="s">
        <v>607</v>
      </c>
      <c r="U27" s="53"/>
      <c r="V27" s="53" t="s">
        <v>401</v>
      </c>
      <c r="W27" s="59" t="s">
        <v>248</v>
      </c>
      <c r="X27" s="57" t="s">
        <v>3924</v>
      </c>
      <c r="Y27" s="59"/>
      <c r="Z27" s="53"/>
      <c r="AA27" s="58"/>
      <c r="AB27" s="59" t="s">
        <v>156</v>
      </c>
      <c r="AC27" s="53" t="s">
        <v>157</v>
      </c>
      <c r="AD27" s="53" t="s">
        <v>157</v>
      </c>
      <c r="AE27" s="58"/>
      <c r="AF27" s="69"/>
      <c r="AG27" s="73" t="s">
        <v>576</v>
      </c>
      <c r="AH27" s="53" t="s">
        <v>155</v>
      </c>
      <c r="AI27" s="58" t="s">
        <v>608</v>
      </c>
      <c r="AJ27" s="61" t="s">
        <v>609</v>
      </c>
      <c r="AK27" s="68" t="s">
        <v>156</v>
      </c>
      <c r="AL27" s="63" t="s">
        <v>241</v>
      </c>
      <c r="AM27" s="64" t="s">
        <v>610</v>
      </c>
      <c r="AN27" s="65" t="s">
        <v>611</v>
      </c>
      <c r="AO27" s="72" t="s">
        <v>164</v>
      </c>
      <c r="AP27" s="66" t="s">
        <v>612</v>
      </c>
      <c r="AQ27" s="67" t="s">
        <v>613</v>
      </c>
      <c r="AR27" s="38"/>
      <c r="AT27" s="40"/>
      <c r="AU27" s="40"/>
      <c r="AV27" s="54">
        <v>7140201</v>
      </c>
      <c r="AW27" s="53">
        <v>65</v>
      </c>
      <c r="AY27" s="40"/>
      <c r="AZ27" s="40"/>
      <c r="BI27" s="36"/>
      <c r="BJ27" s="36"/>
      <c r="BK27" s="37"/>
      <c r="BN27" s="16"/>
      <c r="BO27" s="16"/>
    </row>
    <row r="28" spans="1:67" s="67" customFormat="1" ht="16.5" customHeight="1" x14ac:dyDescent="0.25">
      <c r="A28" s="16"/>
      <c r="B28" s="68">
        <f>SUBTOTAL(103,$K$2:K28)</f>
        <v>26</v>
      </c>
      <c r="C28" s="59" t="s">
        <v>614</v>
      </c>
      <c r="D28" s="53" t="s">
        <v>158</v>
      </c>
      <c r="E28" s="53" t="s">
        <v>19</v>
      </c>
      <c r="F28" s="53" t="s">
        <v>104</v>
      </c>
      <c r="G28" s="53" t="s">
        <v>4468</v>
      </c>
      <c r="H28" s="59" t="s">
        <v>4464</v>
      </c>
      <c r="I28" s="58" t="s">
        <v>182</v>
      </c>
      <c r="J28" s="58" t="s">
        <v>269</v>
      </c>
      <c r="K28" s="103" t="s">
        <v>3925</v>
      </c>
      <c r="L28" s="53" t="s">
        <v>170</v>
      </c>
      <c r="M28" s="68">
        <v>1</v>
      </c>
      <c r="N28" s="53" t="s">
        <v>150</v>
      </c>
      <c r="O28" s="70" t="s">
        <v>5022</v>
      </c>
      <c r="P28" s="68" t="s">
        <v>3891</v>
      </c>
      <c r="Q28" s="58" t="s">
        <v>575</v>
      </c>
      <c r="R28" s="53">
        <v>2016</v>
      </c>
      <c r="S28" s="53" t="s">
        <v>153</v>
      </c>
      <c r="T28" s="53" t="s">
        <v>186</v>
      </c>
      <c r="U28" s="53"/>
      <c r="V28" s="53" t="s">
        <v>250</v>
      </c>
      <c r="W28" s="53" t="s">
        <v>153</v>
      </c>
      <c r="X28" s="57" t="s">
        <v>3925</v>
      </c>
      <c r="Y28" s="59"/>
      <c r="Z28" s="53"/>
      <c r="AA28" s="58"/>
      <c r="AB28" s="59" t="s">
        <v>156</v>
      </c>
      <c r="AC28" s="58" t="s">
        <v>157</v>
      </c>
      <c r="AD28" s="58" t="s">
        <v>157</v>
      </c>
      <c r="AE28" s="58">
        <v>7</v>
      </c>
      <c r="AF28" s="69"/>
      <c r="AG28" s="58" t="s">
        <v>228</v>
      </c>
      <c r="AH28" s="53" t="s">
        <v>155</v>
      </c>
      <c r="AI28" s="58"/>
      <c r="AJ28" s="61" t="s">
        <v>615</v>
      </c>
      <c r="AK28" s="68" t="s">
        <v>156</v>
      </c>
      <c r="AL28" s="63" t="s">
        <v>340</v>
      </c>
      <c r="AM28" s="79" t="s">
        <v>616</v>
      </c>
      <c r="AN28" s="65" t="s">
        <v>617</v>
      </c>
      <c r="AO28" s="53" t="s">
        <v>164</v>
      </c>
      <c r="AP28" s="66"/>
      <c r="AQ28" s="67" t="s">
        <v>224</v>
      </c>
      <c r="AR28" s="38"/>
      <c r="AT28" s="40"/>
      <c r="AU28" s="40"/>
      <c r="AV28" s="54">
        <v>7140201</v>
      </c>
      <c r="AW28" s="53">
        <v>66</v>
      </c>
      <c r="AY28" s="40"/>
      <c r="AZ28" s="40"/>
      <c r="BI28" s="36"/>
      <c r="BJ28" s="36"/>
      <c r="BK28" s="37"/>
      <c r="BN28" s="16"/>
      <c r="BO28" s="16"/>
    </row>
    <row r="29" spans="1:67" s="67" customFormat="1" ht="16.5" customHeight="1" x14ac:dyDescent="0.25">
      <c r="A29" s="16"/>
      <c r="B29" s="68">
        <f>SUBTOTAL(103,$K$2:K29)</f>
        <v>27</v>
      </c>
      <c r="C29" s="59" t="s">
        <v>618</v>
      </c>
      <c r="D29" s="53" t="s">
        <v>158</v>
      </c>
      <c r="E29" s="53" t="s">
        <v>19</v>
      </c>
      <c r="F29" s="53" t="s">
        <v>104</v>
      </c>
      <c r="G29" s="53" t="s">
        <v>4468</v>
      </c>
      <c r="H29" s="59" t="s">
        <v>4465</v>
      </c>
      <c r="I29" s="58" t="s">
        <v>168</v>
      </c>
      <c r="J29" s="58" t="s">
        <v>619</v>
      </c>
      <c r="K29" s="103" t="s">
        <v>3926</v>
      </c>
      <c r="L29" s="53" t="s">
        <v>170</v>
      </c>
      <c r="M29" s="68">
        <v>1</v>
      </c>
      <c r="N29" s="68" t="s">
        <v>150</v>
      </c>
      <c r="O29" s="70" t="s">
        <v>5022</v>
      </c>
      <c r="P29" s="68" t="s">
        <v>3891</v>
      </c>
      <c r="Q29" s="58" t="s">
        <v>575</v>
      </c>
      <c r="R29" s="53">
        <v>2015</v>
      </c>
      <c r="S29" s="53" t="s">
        <v>153</v>
      </c>
      <c r="T29" s="53" t="s">
        <v>239</v>
      </c>
      <c r="U29" s="53"/>
      <c r="V29" s="53" t="s">
        <v>620</v>
      </c>
      <c r="W29" s="53" t="s">
        <v>248</v>
      </c>
      <c r="X29" s="57" t="s">
        <v>3926</v>
      </c>
      <c r="Y29" s="59"/>
      <c r="Z29" s="53"/>
      <c r="AA29" s="58"/>
      <c r="AB29" s="59" t="s">
        <v>156</v>
      </c>
      <c r="AC29" s="58" t="s">
        <v>157</v>
      </c>
      <c r="AD29" s="53" t="s">
        <v>157</v>
      </c>
      <c r="AE29" s="53"/>
      <c r="AF29" s="69"/>
      <c r="AG29" s="58" t="s">
        <v>621</v>
      </c>
      <c r="AH29" s="53" t="s">
        <v>155</v>
      </c>
      <c r="AI29" s="58"/>
      <c r="AJ29" s="61" t="s">
        <v>622</v>
      </c>
      <c r="AK29" s="68" t="s">
        <v>156</v>
      </c>
      <c r="AL29" s="71" t="s">
        <v>495</v>
      </c>
      <c r="AM29" s="83" t="s">
        <v>623</v>
      </c>
      <c r="AN29" s="65" t="s">
        <v>624</v>
      </c>
      <c r="AO29" s="53" t="s">
        <v>164</v>
      </c>
      <c r="AP29" s="66"/>
      <c r="AQ29" s="67" t="s">
        <v>334</v>
      </c>
      <c r="AR29" s="38"/>
      <c r="AT29" s="40"/>
      <c r="AU29" s="40"/>
      <c r="AV29" s="54">
        <v>7140201</v>
      </c>
      <c r="AW29" s="53">
        <v>67</v>
      </c>
      <c r="AY29" s="40"/>
      <c r="AZ29" s="40"/>
      <c r="BI29" s="36"/>
      <c r="BJ29" s="36"/>
      <c r="BK29" s="37"/>
      <c r="BN29" s="16"/>
      <c r="BO29" s="16"/>
    </row>
    <row r="30" spans="1:67" s="67" customFormat="1" ht="16.5" customHeight="1" x14ac:dyDescent="0.25">
      <c r="A30" s="16"/>
      <c r="B30" s="68">
        <f>SUBTOTAL(103,$K$2:K30)</f>
        <v>28</v>
      </c>
      <c r="C30" s="59" t="s">
        <v>625</v>
      </c>
      <c r="D30" s="53" t="s">
        <v>158</v>
      </c>
      <c r="E30" s="53" t="s">
        <v>19</v>
      </c>
      <c r="F30" s="53" t="s">
        <v>104</v>
      </c>
      <c r="G30" s="53" t="s">
        <v>4468</v>
      </c>
      <c r="H30" s="59" t="s">
        <v>4466</v>
      </c>
      <c r="I30" s="58" t="s">
        <v>626</v>
      </c>
      <c r="J30" s="58" t="s">
        <v>627</v>
      </c>
      <c r="K30" s="103" t="s">
        <v>3927</v>
      </c>
      <c r="L30" s="53" t="s">
        <v>170</v>
      </c>
      <c r="M30" s="68">
        <v>1</v>
      </c>
      <c r="N30" s="68" t="s">
        <v>150</v>
      </c>
      <c r="O30" s="70" t="s">
        <v>5022</v>
      </c>
      <c r="P30" s="68" t="s">
        <v>3891</v>
      </c>
      <c r="Q30" s="58" t="s">
        <v>575</v>
      </c>
      <c r="R30" s="53">
        <v>2017</v>
      </c>
      <c r="S30" s="68" t="s">
        <v>153</v>
      </c>
      <c r="T30" s="53" t="s">
        <v>173</v>
      </c>
      <c r="U30" s="53"/>
      <c r="V30" s="53" t="s">
        <v>583</v>
      </c>
      <c r="W30" s="53" t="s">
        <v>153</v>
      </c>
      <c r="X30" s="57" t="s">
        <v>3927</v>
      </c>
      <c r="Y30" s="59"/>
      <c r="Z30" s="53"/>
      <c r="AA30" s="58"/>
      <c r="AB30" s="59" t="s">
        <v>156</v>
      </c>
      <c r="AC30" s="58" t="s">
        <v>157</v>
      </c>
      <c r="AD30" s="53" t="s">
        <v>157</v>
      </c>
      <c r="AE30" s="53">
        <v>3</v>
      </c>
      <c r="AF30" s="69"/>
      <c r="AG30" s="73" t="s">
        <v>628</v>
      </c>
      <c r="AH30" s="53" t="s">
        <v>155</v>
      </c>
      <c r="AI30" s="58"/>
      <c r="AJ30" s="61" t="s">
        <v>629</v>
      </c>
      <c r="AK30" s="68" t="s">
        <v>156</v>
      </c>
      <c r="AL30" s="71" t="s">
        <v>483</v>
      </c>
      <c r="AM30" s="74" t="s">
        <v>630</v>
      </c>
      <c r="AN30" s="65" t="s">
        <v>631</v>
      </c>
      <c r="AO30" s="53" t="s">
        <v>632</v>
      </c>
      <c r="AP30" s="66"/>
      <c r="AQ30" s="67" t="s">
        <v>334</v>
      </c>
      <c r="AR30" s="38"/>
      <c r="AT30" s="40"/>
      <c r="AU30" s="40"/>
      <c r="AV30" s="54">
        <v>7140201</v>
      </c>
      <c r="AW30" s="53">
        <v>68</v>
      </c>
      <c r="AY30" s="40"/>
      <c r="AZ30" s="40"/>
      <c r="BI30" s="36"/>
      <c r="BJ30" s="36"/>
      <c r="BK30" s="37"/>
      <c r="BN30" s="16"/>
      <c r="BO30" s="16"/>
    </row>
    <row r="31" spans="1:67" s="67" customFormat="1" ht="16.5" customHeight="1" x14ac:dyDescent="0.25">
      <c r="A31" s="16"/>
      <c r="B31" s="68">
        <f>SUBTOTAL(103,$K$2:K31)</f>
        <v>29</v>
      </c>
      <c r="C31" s="59" t="s">
        <v>633</v>
      </c>
      <c r="D31" s="53" t="s">
        <v>158</v>
      </c>
      <c r="E31" s="68" t="s">
        <v>19</v>
      </c>
      <c r="F31" s="53" t="s">
        <v>104</v>
      </c>
      <c r="G31" s="53" t="s">
        <v>4468</v>
      </c>
      <c r="H31" s="59" t="s">
        <v>4467</v>
      </c>
      <c r="I31" s="58" t="s">
        <v>634</v>
      </c>
      <c r="J31" s="58" t="s">
        <v>370</v>
      </c>
      <c r="K31" s="103" t="s">
        <v>3928</v>
      </c>
      <c r="L31" s="53" t="s">
        <v>170</v>
      </c>
      <c r="M31" s="68">
        <v>1</v>
      </c>
      <c r="N31" s="68" t="s">
        <v>509</v>
      </c>
      <c r="O31" s="70" t="s">
        <v>5022</v>
      </c>
      <c r="P31" s="68" t="s">
        <v>3891</v>
      </c>
      <c r="Q31" s="58" t="s">
        <v>575</v>
      </c>
      <c r="R31" s="53">
        <v>2015</v>
      </c>
      <c r="S31" s="68" t="s">
        <v>153</v>
      </c>
      <c r="T31" s="53" t="s">
        <v>186</v>
      </c>
      <c r="U31" s="53"/>
      <c r="V31" s="53" t="s">
        <v>518</v>
      </c>
      <c r="W31" s="53" t="s">
        <v>153</v>
      </c>
      <c r="X31" s="57" t="s">
        <v>3928</v>
      </c>
      <c r="Y31" s="59"/>
      <c r="Z31" s="53"/>
      <c r="AA31" s="58"/>
      <c r="AB31" s="59" t="s">
        <v>156</v>
      </c>
      <c r="AC31" s="58" t="s">
        <v>157</v>
      </c>
      <c r="AD31" s="58" t="s">
        <v>157</v>
      </c>
      <c r="AE31" s="58"/>
      <c r="AF31" s="69"/>
      <c r="AG31" s="58" t="s">
        <v>576</v>
      </c>
      <c r="AH31" s="53" t="s">
        <v>155</v>
      </c>
      <c r="AI31" s="58"/>
      <c r="AJ31" s="61" t="s">
        <v>635</v>
      </c>
      <c r="AK31" s="68" t="s">
        <v>156</v>
      </c>
      <c r="AL31" s="71" t="s">
        <v>483</v>
      </c>
      <c r="AM31" s="83" t="s">
        <v>636</v>
      </c>
      <c r="AN31" s="65" t="s">
        <v>637</v>
      </c>
      <c r="AO31" s="59" t="s">
        <v>164</v>
      </c>
      <c r="AP31" s="97"/>
      <c r="AQ31" s="67" t="s">
        <v>515</v>
      </c>
      <c r="AR31" s="38"/>
      <c r="AT31" s="40"/>
      <c r="AU31" s="40"/>
      <c r="AV31" s="54">
        <v>7140201</v>
      </c>
      <c r="AW31" s="53">
        <v>69</v>
      </c>
      <c r="AY31" s="40"/>
      <c r="AZ31" s="40"/>
      <c r="BI31" s="36"/>
      <c r="BJ31" s="36"/>
      <c r="BK31" s="37"/>
      <c r="BN31" s="16"/>
      <c r="BO31" s="16"/>
    </row>
    <row r="32" spans="1:67" s="67" customFormat="1" ht="16.5" customHeight="1" x14ac:dyDescent="0.25">
      <c r="A32" s="16"/>
      <c r="B32" s="53"/>
      <c r="C32" s="41"/>
      <c r="D32" s="53"/>
      <c r="E32" s="53"/>
      <c r="F32" s="49"/>
      <c r="G32" s="49"/>
      <c r="H32" s="49"/>
      <c r="I32" s="56" t="s">
        <v>2113</v>
      </c>
      <c r="J32" s="49"/>
      <c r="K32" s="103"/>
      <c r="L32" s="53"/>
      <c r="M32" s="53"/>
      <c r="N32" s="53"/>
      <c r="O32" s="68"/>
      <c r="P32" s="68"/>
      <c r="Q32" s="58"/>
      <c r="R32" s="53"/>
      <c r="S32" s="53"/>
      <c r="T32" s="53"/>
      <c r="U32" s="53"/>
      <c r="V32" s="53"/>
      <c r="W32" s="53"/>
      <c r="X32" s="57"/>
      <c r="Y32" s="59"/>
      <c r="Z32" s="53"/>
      <c r="AA32" s="58"/>
      <c r="AB32" s="59"/>
      <c r="AC32" s="68"/>
      <c r="AD32" s="58"/>
      <c r="AE32" s="58"/>
      <c r="AF32" s="98"/>
      <c r="AG32" s="58"/>
      <c r="AH32" s="68"/>
      <c r="AI32" s="58"/>
      <c r="AJ32" s="61"/>
      <c r="AK32" s="68"/>
      <c r="AL32" s="63"/>
      <c r="AM32" s="79"/>
      <c r="AN32" s="65"/>
      <c r="AO32" s="53"/>
      <c r="AP32" s="66"/>
      <c r="AS32" s="40"/>
      <c r="AT32" s="40"/>
      <c r="AU32" s="40"/>
      <c r="AV32" s="54">
        <v>7140201</v>
      </c>
      <c r="AW32" s="53">
        <v>311</v>
      </c>
      <c r="BJ32" s="40"/>
      <c r="BK32" s="40"/>
      <c r="BN32" s="16"/>
      <c r="BO32" s="16"/>
    </row>
    <row r="33" spans="1:67" s="67" customFormat="1" ht="16.5" customHeight="1" x14ac:dyDescent="0.25">
      <c r="A33" s="16"/>
      <c r="B33" s="68">
        <f>SUBTOTAL(103,$K$2:K33)</f>
        <v>30</v>
      </c>
      <c r="C33" s="53">
        <v>1</v>
      </c>
      <c r="D33" s="53" t="s">
        <v>2118</v>
      </c>
      <c r="E33" s="99" t="s">
        <v>19</v>
      </c>
      <c r="F33" s="53" t="s">
        <v>105</v>
      </c>
      <c r="G33" s="53" t="s">
        <v>4518</v>
      </c>
      <c r="H33" s="53" t="s">
        <v>4469</v>
      </c>
      <c r="I33" s="58" t="s">
        <v>2114</v>
      </c>
      <c r="J33" s="58" t="s">
        <v>2115</v>
      </c>
      <c r="K33" s="103" t="s">
        <v>3929</v>
      </c>
      <c r="L33" s="53" t="s">
        <v>149</v>
      </c>
      <c r="M33" s="53">
        <v>0</v>
      </c>
      <c r="N33" s="53" t="s">
        <v>2116</v>
      </c>
      <c r="O33" s="70" t="s">
        <v>5024</v>
      </c>
      <c r="P33" s="99" t="s">
        <v>3891</v>
      </c>
      <c r="Q33" s="58" t="s">
        <v>753</v>
      </c>
      <c r="R33" s="53">
        <v>2018</v>
      </c>
      <c r="S33" s="99" t="s">
        <v>197</v>
      </c>
      <c r="T33" s="53">
        <v>6.68</v>
      </c>
      <c r="U33" s="53"/>
      <c r="V33" s="53"/>
      <c r="W33" s="53"/>
      <c r="X33" s="57" t="s">
        <v>3929</v>
      </c>
      <c r="Y33" s="53"/>
      <c r="Z33" s="68"/>
      <c r="AA33" s="58"/>
      <c r="AB33" s="58" t="s">
        <v>2117</v>
      </c>
      <c r="AC33" s="58"/>
      <c r="AD33" s="58"/>
      <c r="AE33" s="58" t="s">
        <v>157</v>
      </c>
      <c r="AF33" s="98"/>
      <c r="AG33" s="58" t="s">
        <v>2119</v>
      </c>
      <c r="AH33" s="53" t="s">
        <v>155</v>
      </c>
      <c r="AI33" s="58"/>
      <c r="AJ33" s="101" t="s">
        <v>2120</v>
      </c>
      <c r="AK33" s="64" t="s">
        <v>2117</v>
      </c>
      <c r="AL33" s="102" t="s">
        <v>2121</v>
      </c>
      <c r="AM33" s="58" t="s">
        <v>2122</v>
      </c>
      <c r="AN33" s="103" t="s">
        <v>2123</v>
      </c>
      <c r="AO33" s="58" t="s">
        <v>2124</v>
      </c>
      <c r="AR33" s="66"/>
      <c r="AV33" s="54">
        <v>7140201</v>
      </c>
      <c r="AW33" s="53">
        <v>312</v>
      </c>
      <c r="BJ33" s="40"/>
      <c r="BK33" s="40"/>
      <c r="BN33" s="16"/>
      <c r="BO33" s="16"/>
    </row>
    <row r="34" spans="1:67" s="67" customFormat="1" ht="16.5" customHeight="1" x14ac:dyDescent="0.25">
      <c r="A34" s="16"/>
      <c r="B34" s="68">
        <f>SUBTOTAL(103,$K$2:K34)</f>
        <v>31</v>
      </c>
      <c r="C34" s="53">
        <v>2</v>
      </c>
      <c r="D34" s="53" t="s">
        <v>2118</v>
      </c>
      <c r="E34" s="99" t="s">
        <v>19</v>
      </c>
      <c r="F34" s="53" t="s">
        <v>105</v>
      </c>
      <c r="G34" s="53" t="s">
        <v>4518</v>
      </c>
      <c r="H34" s="53" t="s">
        <v>4470</v>
      </c>
      <c r="I34" s="58" t="s">
        <v>2125</v>
      </c>
      <c r="J34" s="64" t="s">
        <v>652</v>
      </c>
      <c r="K34" s="103" t="s">
        <v>3930</v>
      </c>
      <c r="L34" s="53" t="s">
        <v>170</v>
      </c>
      <c r="M34" s="68">
        <v>1</v>
      </c>
      <c r="N34" s="53" t="s">
        <v>441</v>
      </c>
      <c r="O34" s="70" t="s">
        <v>5024</v>
      </c>
      <c r="P34" s="99" t="s">
        <v>3891</v>
      </c>
      <c r="Q34" s="100" t="s">
        <v>3339</v>
      </c>
      <c r="R34" s="53">
        <v>2024</v>
      </c>
      <c r="S34" s="53" t="s">
        <v>153</v>
      </c>
      <c r="T34" s="53">
        <v>7.43</v>
      </c>
      <c r="U34" s="53"/>
      <c r="V34" s="53"/>
      <c r="W34" s="53"/>
      <c r="X34" s="57" t="s">
        <v>3930</v>
      </c>
      <c r="Y34" s="53"/>
      <c r="Z34" s="68"/>
      <c r="AA34" s="58"/>
      <c r="AB34" s="58" t="s">
        <v>156</v>
      </c>
      <c r="AC34" s="104"/>
      <c r="AD34" s="58"/>
      <c r="AE34" s="104"/>
      <c r="AF34" s="105" t="s">
        <v>257</v>
      </c>
      <c r="AG34" s="58" t="s">
        <v>762</v>
      </c>
      <c r="AH34" s="53" t="s">
        <v>19</v>
      </c>
      <c r="AI34" s="58" t="s">
        <v>2126</v>
      </c>
      <c r="AJ34" s="101" t="s">
        <v>2127</v>
      </c>
      <c r="AK34" s="58" t="s">
        <v>156</v>
      </c>
      <c r="AL34" s="63" t="s">
        <v>297</v>
      </c>
      <c r="AM34" s="106" t="s">
        <v>2128</v>
      </c>
      <c r="AN34" s="103" t="s">
        <v>2129</v>
      </c>
      <c r="AO34" s="58" t="s">
        <v>2130</v>
      </c>
      <c r="AR34" s="66"/>
      <c r="AV34" s="54">
        <v>7140201</v>
      </c>
      <c r="AW34" s="53">
        <v>313</v>
      </c>
      <c r="BJ34" s="40"/>
      <c r="BK34" s="40"/>
      <c r="BN34" s="16"/>
      <c r="BO34" s="16"/>
    </row>
    <row r="35" spans="1:67" s="67" customFormat="1" ht="16.5" customHeight="1" x14ac:dyDescent="0.25">
      <c r="A35" s="16"/>
      <c r="B35" s="68">
        <f>SUBTOTAL(103,$K$2:K35)</f>
        <v>32</v>
      </c>
      <c r="C35" s="53">
        <v>3</v>
      </c>
      <c r="D35" s="53" t="s">
        <v>2118</v>
      </c>
      <c r="E35" s="99" t="s">
        <v>19</v>
      </c>
      <c r="F35" s="53" t="s">
        <v>105</v>
      </c>
      <c r="G35" s="53" t="s">
        <v>4518</v>
      </c>
      <c r="H35" s="53" t="s">
        <v>4471</v>
      </c>
      <c r="I35" s="58" t="s">
        <v>2131</v>
      </c>
      <c r="J35" s="58" t="s">
        <v>565</v>
      </c>
      <c r="K35" s="103" t="s">
        <v>3931</v>
      </c>
      <c r="L35" s="53" t="s">
        <v>170</v>
      </c>
      <c r="M35" s="68">
        <v>1</v>
      </c>
      <c r="N35" s="53" t="s">
        <v>509</v>
      </c>
      <c r="O35" s="70" t="s">
        <v>5024</v>
      </c>
      <c r="P35" s="99" t="s">
        <v>3891</v>
      </c>
      <c r="Q35" s="58" t="s">
        <v>26</v>
      </c>
      <c r="R35" s="53">
        <v>2016</v>
      </c>
      <c r="S35" s="99" t="s">
        <v>197</v>
      </c>
      <c r="T35" s="53">
        <v>6.84</v>
      </c>
      <c r="U35" s="53"/>
      <c r="V35" s="53"/>
      <c r="W35" s="53"/>
      <c r="X35" s="57" t="s">
        <v>3931</v>
      </c>
      <c r="Y35" s="53"/>
      <c r="Z35" s="68"/>
      <c r="AA35" s="58"/>
      <c r="AB35" s="58" t="s">
        <v>2132</v>
      </c>
      <c r="AC35" s="58"/>
      <c r="AD35" s="58"/>
      <c r="AE35" s="58" t="s">
        <v>157</v>
      </c>
      <c r="AF35" s="98">
        <v>3</v>
      </c>
      <c r="AG35" s="58" t="s">
        <v>2133</v>
      </c>
      <c r="AH35" s="53" t="s">
        <v>155</v>
      </c>
      <c r="AI35" s="58"/>
      <c r="AJ35" s="101" t="s">
        <v>2134</v>
      </c>
      <c r="AK35" s="64" t="s">
        <v>2132</v>
      </c>
      <c r="AL35" s="102" t="s">
        <v>2135</v>
      </c>
      <c r="AM35" s="58" t="s">
        <v>2136</v>
      </c>
      <c r="AN35" s="103" t="s">
        <v>2137</v>
      </c>
      <c r="AO35" s="58"/>
      <c r="AP35" s="58"/>
      <c r="AV35" s="54">
        <v>7140201</v>
      </c>
      <c r="AW35" s="53">
        <v>314</v>
      </c>
      <c r="BJ35" s="40"/>
      <c r="BK35" s="40"/>
      <c r="BN35" s="16"/>
      <c r="BO35" s="16"/>
    </row>
    <row r="36" spans="1:67" s="67" customFormat="1" ht="16.5" customHeight="1" x14ac:dyDescent="0.25">
      <c r="A36" s="16"/>
      <c r="B36" s="68">
        <f>SUBTOTAL(103,$K$2:K36)</f>
        <v>33</v>
      </c>
      <c r="C36" s="53">
        <v>4</v>
      </c>
      <c r="D36" s="53" t="s">
        <v>2118</v>
      </c>
      <c r="E36" s="99" t="s">
        <v>19</v>
      </c>
      <c r="F36" s="53" t="s">
        <v>105</v>
      </c>
      <c r="G36" s="53" t="s">
        <v>4518</v>
      </c>
      <c r="H36" s="53" t="s">
        <v>4472</v>
      </c>
      <c r="I36" s="58" t="s">
        <v>2138</v>
      </c>
      <c r="J36" s="64" t="s">
        <v>1316</v>
      </c>
      <c r="K36" s="103" t="s">
        <v>3932</v>
      </c>
      <c r="L36" s="53" t="s">
        <v>170</v>
      </c>
      <c r="M36" s="68">
        <v>1</v>
      </c>
      <c r="N36" s="53" t="s">
        <v>150</v>
      </c>
      <c r="O36" s="70" t="s">
        <v>5024</v>
      </c>
      <c r="P36" s="99" t="s">
        <v>3891</v>
      </c>
      <c r="Q36" s="58" t="s">
        <v>23</v>
      </c>
      <c r="R36" s="53">
        <v>2024</v>
      </c>
      <c r="S36" s="53" t="s">
        <v>236</v>
      </c>
      <c r="T36" s="53">
        <v>8.18</v>
      </c>
      <c r="U36" s="107"/>
      <c r="V36" s="107"/>
      <c r="W36" s="53"/>
      <c r="X36" s="57" t="s">
        <v>3932</v>
      </c>
      <c r="Y36" s="53"/>
      <c r="Z36" s="68"/>
      <c r="AA36" s="58"/>
      <c r="AB36" s="58" t="s">
        <v>156</v>
      </c>
      <c r="AC36" s="58"/>
      <c r="AD36" s="58"/>
      <c r="AE36" s="58" t="s">
        <v>157</v>
      </c>
      <c r="AF36" s="98"/>
      <c r="AG36" s="58" t="s">
        <v>2139</v>
      </c>
      <c r="AH36" s="53" t="s">
        <v>155</v>
      </c>
      <c r="AI36" s="58"/>
      <c r="AJ36" s="101" t="s">
        <v>2140</v>
      </c>
      <c r="AK36" s="64" t="s">
        <v>156</v>
      </c>
      <c r="AL36" s="102" t="s">
        <v>264</v>
      </c>
      <c r="AM36" s="58" t="s">
        <v>2141</v>
      </c>
      <c r="AN36" s="103" t="s">
        <v>2142</v>
      </c>
      <c r="AO36" s="58"/>
      <c r="AP36" s="58"/>
      <c r="AR36" s="66"/>
      <c r="AV36" s="54">
        <v>7140201</v>
      </c>
      <c r="AW36" s="53">
        <v>315</v>
      </c>
      <c r="BJ36" s="40"/>
      <c r="BK36" s="40"/>
      <c r="BN36" s="16"/>
      <c r="BO36" s="16"/>
    </row>
    <row r="37" spans="1:67" s="67" customFormat="1" ht="16.5" customHeight="1" x14ac:dyDescent="0.25">
      <c r="A37" s="16"/>
      <c r="B37" s="68">
        <f>SUBTOTAL(103,$K$2:K37)</f>
        <v>34</v>
      </c>
      <c r="C37" s="53">
        <v>5</v>
      </c>
      <c r="D37" s="53" t="s">
        <v>2118</v>
      </c>
      <c r="E37" s="110" t="s">
        <v>19</v>
      </c>
      <c r="F37" s="110" t="s">
        <v>105</v>
      </c>
      <c r="G37" s="53" t="s">
        <v>4518</v>
      </c>
      <c r="H37" s="53" t="s">
        <v>4473</v>
      </c>
      <c r="I37" s="108" t="s">
        <v>182</v>
      </c>
      <c r="J37" s="108" t="s">
        <v>2143</v>
      </c>
      <c r="K37" s="144" t="s">
        <v>3933</v>
      </c>
      <c r="L37" s="110" t="s">
        <v>170</v>
      </c>
      <c r="M37" s="68">
        <v>1</v>
      </c>
      <c r="N37" s="110" t="s">
        <v>150</v>
      </c>
      <c r="O37" s="70" t="s">
        <v>5024</v>
      </c>
      <c r="P37" s="99" t="s">
        <v>3891</v>
      </c>
      <c r="Q37" s="58" t="s">
        <v>23</v>
      </c>
      <c r="R37" s="110">
        <v>2025</v>
      </c>
      <c r="S37" s="110" t="s">
        <v>236</v>
      </c>
      <c r="T37" s="110" t="s">
        <v>2144</v>
      </c>
      <c r="U37" s="110"/>
      <c r="V37" s="110"/>
      <c r="W37" s="110"/>
      <c r="X37" s="109" t="s">
        <v>3933</v>
      </c>
      <c r="Y37" s="110"/>
      <c r="Z37" s="110"/>
      <c r="AA37" s="58"/>
      <c r="AB37" s="108" t="s">
        <v>988</v>
      </c>
      <c r="AC37" s="108"/>
      <c r="AD37" s="108"/>
      <c r="AE37" s="108"/>
      <c r="AF37" s="42" t="s">
        <v>253</v>
      </c>
      <c r="AG37" s="108" t="s">
        <v>2139</v>
      </c>
      <c r="AH37" s="110" t="s">
        <v>155</v>
      </c>
      <c r="AI37" s="108"/>
      <c r="AJ37" s="111" t="s">
        <v>2145</v>
      </c>
      <c r="AK37" s="108" t="s">
        <v>988</v>
      </c>
      <c r="AL37" s="112" t="s">
        <v>2146</v>
      </c>
      <c r="AM37" s="108" t="s">
        <v>2147</v>
      </c>
      <c r="AN37" s="113" t="s">
        <v>2148</v>
      </c>
      <c r="AO37" s="108" t="s">
        <v>232</v>
      </c>
      <c r="AP37" s="108"/>
      <c r="AQ37" s="114" t="s">
        <v>2149</v>
      </c>
      <c r="AR37" s="40"/>
      <c r="AS37" s="40"/>
      <c r="AT37" s="40"/>
      <c r="AV37" s="54">
        <v>7140201</v>
      </c>
      <c r="AW37" s="53">
        <v>316</v>
      </c>
      <c r="BJ37" s="40"/>
      <c r="BK37" s="40"/>
      <c r="BN37" s="16"/>
      <c r="BO37" s="16"/>
    </row>
    <row r="38" spans="1:67" s="67" customFormat="1" ht="16.5" customHeight="1" x14ac:dyDescent="0.25">
      <c r="A38" s="16"/>
      <c r="B38" s="68">
        <f>SUBTOTAL(103,$K$2:K38)</f>
        <v>35</v>
      </c>
      <c r="C38" s="53">
        <v>6</v>
      </c>
      <c r="D38" s="53" t="s">
        <v>2118</v>
      </c>
      <c r="E38" s="110" t="s">
        <v>19</v>
      </c>
      <c r="F38" s="110" t="s">
        <v>105</v>
      </c>
      <c r="G38" s="53" t="s">
        <v>4518</v>
      </c>
      <c r="H38" s="53" t="s">
        <v>4474</v>
      </c>
      <c r="I38" s="108" t="s">
        <v>933</v>
      </c>
      <c r="J38" s="108" t="s">
        <v>589</v>
      </c>
      <c r="K38" s="144" t="s">
        <v>3934</v>
      </c>
      <c r="L38" s="110" t="s">
        <v>170</v>
      </c>
      <c r="M38" s="68">
        <v>1</v>
      </c>
      <c r="N38" s="110" t="s">
        <v>150</v>
      </c>
      <c r="O38" s="70" t="s">
        <v>5024</v>
      </c>
      <c r="P38" s="99" t="s">
        <v>3891</v>
      </c>
      <c r="Q38" s="58" t="s">
        <v>23</v>
      </c>
      <c r="R38" s="110">
        <v>2023</v>
      </c>
      <c r="S38" s="110" t="s">
        <v>236</v>
      </c>
      <c r="T38" s="110" t="s">
        <v>1540</v>
      </c>
      <c r="U38" s="110" t="s">
        <v>443</v>
      </c>
      <c r="V38" s="110"/>
      <c r="W38" s="110"/>
      <c r="X38" s="109" t="s">
        <v>3934</v>
      </c>
      <c r="Y38" s="110"/>
      <c r="Z38" s="110"/>
      <c r="AA38" s="58"/>
      <c r="AB38" s="108" t="s">
        <v>2150</v>
      </c>
      <c r="AC38" s="108" t="s">
        <v>157</v>
      </c>
      <c r="AD38" s="108"/>
      <c r="AE38" s="108"/>
      <c r="AF38" s="42" t="s">
        <v>253</v>
      </c>
      <c r="AG38" s="108" t="s">
        <v>2151</v>
      </c>
      <c r="AH38" s="110" t="s">
        <v>155</v>
      </c>
      <c r="AI38" s="108"/>
      <c r="AJ38" s="115" t="s">
        <v>2152</v>
      </c>
      <c r="AK38" s="108" t="s">
        <v>2150</v>
      </c>
      <c r="AL38" s="112" t="s">
        <v>2153</v>
      </c>
      <c r="AM38" s="116" t="s">
        <v>2154</v>
      </c>
      <c r="AN38" s="113" t="s">
        <v>2155</v>
      </c>
      <c r="AO38" s="108" t="s">
        <v>232</v>
      </c>
      <c r="AP38" s="108"/>
      <c r="AQ38" s="114" t="s">
        <v>2156</v>
      </c>
      <c r="AR38" s="40"/>
      <c r="AS38" s="40"/>
      <c r="AT38" s="40"/>
      <c r="AV38" s="54">
        <v>7140201</v>
      </c>
      <c r="AW38" s="53">
        <v>317</v>
      </c>
      <c r="BJ38" s="40"/>
      <c r="BK38" s="40"/>
      <c r="BN38" s="16"/>
      <c r="BO38" s="16"/>
    </row>
    <row r="39" spans="1:67" s="67" customFormat="1" ht="16.5" customHeight="1" x14ac:dyDescent="0.25">
      <c r="A39" s="16"/>
      <c r="B39" s="68">
        <f>SUBTOTAL(103,$K$2:K39)</f>
        <v>36</v>
      </c>
      <c r="C39" s="53">
        <v>7</v>
      </c>
      <c r="D39" s="53" t="s">
        <v>2118</v>
      </c>
      <c r="E39" s="53" t="s">
        <v>19</v>
      </c>
      <c r="F39" s="53" t="s">
        <v>105</v>
      </c>
      <c r="G39" s="53" t="s">
        <v>4518</v>
      </c>
      <c r="H39" s="53" t="s">
        <v>4475</v>
      </c>
      <c r="I39" s="58" t="s">
        <v>314</v>
      </c>
      <c r="J39" s="64" t="s">
        <v>2157</v>
      </c>
      <c r="K39" s="103" t="s">
        <v>3935</v>
      </c>
      <c r="L39" s="53" t="s">
        <v>170</v>
      </c>
      <c r="M39" s="68">
        <v>1</v>
      </c>
      <c r="N39" s="53" t="s">
        <v>150</v>
      </c>
      <c r="O39" s="70" t="s">
        <v>5024</v>
      </c>
      <c r="P39" s="99" t="s">
        <v>3891</v>
      </c>
      <c r="Q39" s="58" t="s">
        <v>23</v>
      </c>
      <c r="R39" s="53">
        <v>2024</v>
      </c>
      <c r="S39" s="53" t="s">
        <v>153</v>
      </c>
      <c r="T39" s="53">
        <v>7.97</v>
      </c>
      <c r="U39" s="53">
        <v>3.18</v>
      </c>
      <c r="V39" s="53"/>
      <c r="W39" s="53"/>
      <c r="X39" s="57" t="s">
        <v>3935</v>
      </c>
      <c r="Y39" s="53"/>
      <c r="Z39" s="68"/>
      <c r="AA39" s="58"/>
      <c r="AB39" s="58" t="s">
        <v>156</v>
      </c>
      <c r="AC39" s="58"/>
      <c r="AD39" s="58"/>
      <c r="AE39" s="58" t="s">
        <v>157</v>
      </c>
      <c r="AF39" s="98"/>
      <c r="AG39" s="58" t="s">
        <v>2139</v>
      </c>
      <c r="AH39" s="53" t="s">
        <v>155</v>
      </c>
      <c r="AI39" s="58" t="s">
        <v>2158</v>
      </c>
      <c r="AJ39" s="101" t="s">
        <v>2159</v>
      </c>
      <c r="AK39" s="104" t="s">
        <v>156</v>
      </c>
      <c r="AL39" s="117" t="s">
        <v>387</v>
      </c>
      <c r="AM39" s="118" t="s">
        <v>2160</v>
      </c>
      <c r="AN39" s="99"/>
      <c r="AO39" s="100" t="s">
        <v>2161</v>
      </c>
      <c r="AP39" s="58"/>
      <c r="AQ39" s="58"/>
      <c r="AR39" s="66"/>
      <c r="AV39" s="54">
        <v>7140201</v>
      </c>
      <c r="AW39" s="53">
        <v>318</v>
      </c>
      <c r="BJ39" s="40"/>
      <c r="BK39" s="40"/>
      <c r="BN39" s="16"/>
      <c r="BO39" s="16"/>
    </row>
    <row r="40" spans="1:67" s="67" customFormat="1" ht="16.5" customHeight="1" x14ac:dyDescent="0.25">
      <c r="A40" s="16"/>
      <c r="B40" s="68">
        <f>SUBTOTAL(103,$K$2:K40)</f>
        <v>37</v>
      </c>
      <c r="C40" s="53">
        <v>8</v>
      </c>
      <c r="D40" s="53" t="s">
        <v>2118</v>
      </c>
      <c r="E40" s="53" t="s">
        <v>19</v>
      </c>
      <c r="F40" s="53" t="s">
        <v>105</v>
      </c>
      <c r="G40" s="53" t="s">
        <v>4518</v>
      </c>
      <c r="H40" s="53" t="s">
        <v>4476</v>
      </c>
      <c r="I40" s="58" t="s">
        <v>2162</v>
      </c>
      <c r="J40" s="58" t="s">
        <v>291</v>
      </c>
      <c r="K40" s="103" t="s">
        <v>3936</v>
      </c>
      <c r="L40" s="53" t="s">
        <v>170</v>
      </c>
      <c r="M40" s="68">
        <v>1</v>
      </c>
      <c r="N40" s="53" t="s">
        <v>150</v>
      </c>
      <c r="O40" s="70" t="s">
        <v>5024</v>
      </c>
      <c r="P40" s="99" t="s">
        <v>3891</v>
      </c>
      <c r="Q40" s="58" t="s">
        <v>23</v>
      </c>
      <c r="R40" s="53">
        <v>2018</v>
      </c>
      <c r="S40" s="53" t="s">
        <v>236</v>
      </c>
      <c r="T40" s="53">
        <v>8.3800000000000008</v>
      </c>
      <c r="U40" s="53">
        <v>3.35</v>
      </c>
      <c r="V40" s="53"/>
      <c r="W40" s="53"/>
      <c r="X40" s="119" t="s">
        <v>3936</v>
      </c>
      <c r="Y40" s="53"/>
      <c r="Z40" s="53"/>
      <c r="AA40" s="58"/>
      <c r="AB40" s="58" t="s">
        <v>2163</v>
      </c>
      <c r="AC40" s="58" t="s">
        <v>157</v>
      </c>
      <c r="AD40" s="58"/>
      <c r="AE40" s="58"/>
      <c r="AF40" s="60"/>
      <c r="AG40" s="58" t="s">
        <v>2139</v>
      </c>
      <c r="AH40" s="53" t="s">
        <v>155</v>
      </c>
      <c r="AI40" s="58"/>
      <c r="AJ40" s="120" t="s">
        <v>2164</v>
      </c>
      <c r="AK40" s="58" t="s">
        <v>2163</v>
      </c>
      <c r="AL40" s="63" t="s">
        <v>2165</v>
      </c>
      <c r="AM40" s="58" t="s">
        <v>2166</v>
      </c>
      <c r="AN40" s="57" t="s">
        <v>2167</v>
      </c>
      <c r="AO40" s="63" t="s">
        <v>2168</v>
      </c>
      <c r="AP40" s="102"/>
      <c r="AQ40" s="63"/>
      <c r="AT40" s="40"/>
      <c r="AU40" s="40"/>
      <c r="AV40" s="54">
        <v>7140201</v>
      </c>
      <c r="AW40" s="53">
        <v>319</v>
      </c>
      <c r="BJ40" s="40"/>
      <c r="BK40" s="40"/>
      <c r="BN40" s="16"/>
      <c r="BO40" s="16"/>
    </row>
    <row r="41" spans="1:67" s="67" customFormat="1" ht="16.5" customHeight="1" x14ac:dyDescent="0.25">
      <c r="A41" s="16"/>
      <c r="B41" s="68">
        <f>SUBTOTAL(103,$K$2:K41)</f>
        <v>38</v>
      </c>
      <c r="C41" s="53">
        <v>9</v>
      </c>
      <c r="D41" s="53" t="s">
        <v>2118</v>
      </c>
      <c r="E41" s="53" t="s">
        <v>19</v>
      </c>
      <c r="F41" s="53" t="s">
        <v>105</v>
      </c>
      <c r="G41" s="53" t="s">
        <v>4518</v>
      </c>
      <c r="H41" s="53" t="s">
        <v>4477</v>
      </c>
      <c r="I41" s="58" t="s">
        <v>2125</v>
      </c>
      <c r="J41" s="58" t="s">
        <v>2169</v>
      </c>
      <c r="K41" s="103" t="s">
        <v>3937</v>
      </c>
      <c r="L41" s="53" t="s">
        <v>170</v>
      </c>
      <c r="M41" s="68">
        <v>1</v>
      </c>
      <c r="N41" s="53" t="s">
        <v>441</v>
      </c>
      <c r="O41" s="70" t="s">
        <v>5024</v>
      </c>
      <c r="P41" s="99" t="s">
        <v>3891</v>
      </c>
      <c r="Q41" s="58" t="s">
        <v>23</v>
      </c>
      <c r="R41" s="53">
        <v>2014</v>
      </c>
      <c r="S41" s="53" t="s">
        <v>153</v>
      </c>
      <c r="T41" s="53">
        <v>7.66</v>
      </c>
      <c r="U41" s="53"/>
      <c r="V41" s="53"/>
      <c r="W41" s="53"/>
      <c r="X41" s="119" t="s">
        <v>3937</v>
      </c>
      <c r="Y41" s="53"/>
      <c r="Z41" s="53"/>
      <c r="AA41" s="58"/>
      <c r="AB41" s="58" t="s">
        <v>2170</v>
      </c>
      <c r="AC41" s="58"/>
      <c r="AD41" s="58"/>
      <c r="AE41" s="58"/>
      <c r="AF41" s="60"/>
      <c r="AG41" s="58" t="s">
        <v>2171</v>
      </c>
      <c r="AH41" s="53" t="s">
        <v>19</v>
      </c>
      <c r="AI41" s="58" t="s">
        <v>2172</v>
      </c>
      <c r="AJ41" s="120" t="s">
        <v>2173</v>
      </c>
      <c r="AK41" s="58" t="s">
        <v>2170</v>
      </c>
      <c r="AL41" s="63" t="s">
        <v>2174</v>
      </c>
      <c r="AM41" s="58" t="s">
        <v>2175</v>
      </c>
      <c r="AN41" s="57" t="s">
        <v>2176</v>
      </c>
      <c r="AO41" s="58" t="s">
        <v>2177</v>
      </c>
      <c r="AP41" s="64"/>
      <c r="AQ41" s="58"/>
      <c r="AT41" s="40"/>
      <c r="AU41" s="40"/>
      <c r="AV41" s="54">
        <v>7140201</v>
      </c>
      <c r="AW41" s="53">
        <v>320</v>
      </c>
      <c r="BJ41" s="40"/>
      <c r="BK41" s="40"/>
      <c r="BN41" s="16"/>
      <c r="BO41" s="16"/>
    </row>
    <row r="42" spans="1:67" s="67" customFormat="1" ht="16.5" customHeight="1" x14ac:dyDescent="0.25">
      <c r="A42" s="16"/>
      <c r="B42" s="68">
        <f>SUBTOTAL(103,$K$2:K42)</f>
        <v>39</v>
      </c>
      <c r="C42" s="53">
        <v>10</v>
      </c>
      <c r="D42" s="53" t="s">
        <v>2118</v>
      </c>
      <c r="E42" s="99" t="s">
        <v>19</v>
      </c>
      <c r="F42" s="53" t="s">
        <v>105</v>
      </c>
      <c r="G42" s="53" t="s">
        <v>4518</v>
      </c>
      <c r="H42" s="53" t="s">
        <v>4478</v>
      </c>
      <c r="I42" s="58" t="s">
        <v>314</v>
      </c>
      <c r="J42" s="64" t="s">
        <v>459</v>
      </c>
      <c r="K42" s="103" t="s">
        <v>3938</v>
      </c>
      <c r="L42" s="53" t="s">
        <v>170</v>
      </c>
      <c r="M42" s="68">
        <v>1</v>
      </c>
      <c r="N42" s="53" t="s">
        <v>150</v>
      </c>
      <c r="O42" s="70" t="s">
        <v>5024</v>
      </c>
      <c r="P42" s="99" t="s">
        <v>3891</v>
      </c>
      <c r="Q42" s="58" t="s">
        <v>23</v>
      </c>
      <c r="R42" s="53">
        <v>2022</v>
      </c>
      <c r="S42" s="53" t="s">
        <v>153</v>
      </c>
      <c r="T42" s="53">
        <v>7.85</v>
      </c>
      <c r="U42" s="53">
        <v>3.1</v>
      </c>
      <c r="V42" s="53"/>
      <c r="W42" s="53"/>
      <c r="X42" s="57" t="s">
        <v>3938</v>
      </c>
      <c r="Y42" s="53"/>
      <c r="Z42" s="68"/>
      <c r="AA42" s="58"/>
      <c r="AB42" s="58" t="s">
        <v>156</v>
      </c>
      <c r="AC42" s="58"/>
      <c r="AD42" s="58"/>
      <c r="AE42" s="58" t="s">
        <v>157</v>
      </c>
      <c r="AF42" s="98">
        <v>8</v>
      </c>
      <c r="AG42" s="58" t="s">
        <v>2179</v>
      </c>
      <c r="AH42" s="53" t="s">
        <v>155</v>
      </c>
      <c r="AI42" s="58"/>
      <c r="AJ42" s="121" t="s">
        <v>2180</v>
      </c>
      <c r="AK42" s="64" t="s">
        <v>156</v>
      </c>
      <c r="AL42" s="102" t="s">
        <v>264</v>
      </c>
      <c r="AM42" s="122" t="s">
        <v>2101</v>
      </c>
      <c r="AN42" s="57" t="s">
        <v>2181</v>
      </c>
      <c r="AO42" s="58"/>
      <c r="AP42" s="58"/>
      <c r="AQ42" s="58"/>
      <c r="AR42" s="66"/>
      <c r="AV42" s="54">
        <v>7140201</v>
      </c>
      <c r="AW42" s="53">
        <v>322</v>
      </c>
      <c r="BJ42" s="40"/>
      <c r="BK42" s="40"/>
      <c r="BN42" s="16"/>
      <c r="BO42" s="16"/>
    </row>
    <row r="43" spans="1:67" s="67" customFormat="1" ht="16.5" customHeight="1" x14ac:dyDescent="0.25">
      <c r="A43" s="16"/>
      <c r="B43" s="68">
        <f>SUBTOTAL(103,$K$2:K43)</f>
        <v>40</v>
      </c>
      <c r="C43" s="53">
        <v>11</v>
      </c>
      <c r="D43" s="53" t="s">
        <v>2118</v>
      </c>
      <c r="E43" s="99" t="s">
        <v>19</v>
      </c>
      <c r="F43" s="53" t="s">
        <v>105</v>
      </c>
      <c r="G43" s="53" t="s">
        <v>4518</v>
      </c>
      <c r="H43" s="53" t="s">
        <v>4479</v>
      </c>
      <c r="I43" s="58" t="s">
        <v>843</v>
      </c>
      <c r="J43" s="58" t="s">
        <v>473</v>
      </c>
      <c r="K43" s="103" t="s">
        <v>3939</v>
      </c>
      <c r="L43" s="53" t="s">
        <v>170</v>
      </c>
      <c r="M43" s="68">
        <v>1</v>
      </c>
      <c r="N43" s="53" t="s">
        <v>150</v>
      </c>
      <c r="O43" s="70" t="s">
        <v>5024</v>
      </c>
      <c r="P43" s="99" t="s">
        <v>3891</v>
      </c>
      <c r="Q43" s="58" t="s">
        <v>23</v>
      </c>
      <c r="R43" s="53">
        <v>2017</v>
      </c>
      <c r="S43" s="99" t="s">
        <v>153</v>
      </c>
      <c r="T43" s="53">
        <v>7.41</v>
      </c>
      <c r="U43" s="53">
        <v>3.04</v>
      </c>
      <c r="V43" s="53"/>
      <c r="W43" s="53"/>
      <c r="X43" s="57" t="s">
        <v>3939</v>
      </c>
      <c r="Y43" s="53"/>
      <c r="Z43" s="68"/>
      <c r="AA43" s="58"/>
      <c r="AB43" s="58" t="s">
        <v>156</v>
      </c>
      <c r="AC43" s="58"/>
      <c r="AD43" s="58"/>
      <c r="AE43" s="58" t="s">
        <v>157</v>
      </c>
      <c r="AF43" s="98">
        <v>4</v>
      </c>
      <c r="AG43" s="58" t="s">
        <v>762</v>
      </c>
      <c r="AH43" s="53" t="s">
        <v>155</v>
      </c>
      <c r="AI43" s="58"/>
      <c r="AJ43" s="101" t="s">
        <v>2182</v>
      </c>
      <c r="AK43" s="64" t="s">
        <v>156</v>
      </c>
      <c r="AL43" s="102" t="s">
        <v>220</v>
      </c>
      <c r="AM43" s="58" t="s">
        <v>2183</v>
      </c>
      <c r="AN43" s="103" t="s">
        <v>2184</v>
      </c>
      <c r="AO43" s="58"/>
      <c r="AP43" s="58"/>
      <c r="AQ43" s="58"/>
      <c r="AV43" s="54">
        <v>7140201</v>
      </c>
      <c r="AW43" s="53">
        <v>323</v>
      </c>
      <c r="BJ43" s="40"/>
      <c r="BK43" s="40"/>
      <c r="BN43" s="16"/>
      <c r="BO43" s="16"/>
    </row>
    <row r="44" spans="1:67" s="67" customFormat="1" ht="16.5" customHeight="1" x14ac:dyDescent="0.25">
      <c r="A44" s="16"/>
      <c r="B44" s="68">
        <f>SUBTOTAL(103,$K$2:K44)</f>
        <v>41</v>
      </c>
      <c r="C44" s="53">
        <v>12</v>
      </c>
      <c r="D44" s="53" t="s">
        <v>2118</v>
      </c>
      <c r="E44" s="53" t="s">
        <v>19</v>
      </c>
      <c r="F44" s="53" t="s">
        <v>105</v>
      </c>
      <c r="G44" s="53" t="s">
        <v>4518</v>
      </c>
      <c r="H44" s="53" t="s">
        <v>4480</v>
      </c>
      <c r="I44" s="58" t="s">
        <v>641</v>
      </c>
      <c r="J44" s="58" t="s">
        <v>2185</v>
      </c>
      <c r="K44" s="103" t="s">
        <v>3940</v>
      </c>
      <c r="L44" s="53" t="s">
        <v>170</v>
      </c>
      <c r="M44" s="68">
        <v>1</v>
      </c>
      <c r="N44" s="53" t="s">
        <v>150</v>
      </c>
      <c r="O44" s="70" t="s">
        <v>5024</v>
      </c>
      <c r="P44" s="99" t="s">
        <v>3891</v>
      </c>
      <c r="Q44" s="58" t="s">
        <v>26</v>
      </c>
      <c r="R44" s="53">
        <v>2013</v>
      </c>
      <c r="S44" s="53" t="s">
        <v>153</v>
      </c>
      <c r="T44" s="53">
        <v>7.87</v>
      </c>
      <c r="U44" s="53"/>
      <c r="V44" s="53"/>
      <c r="W44" s="53"/>
      <c r="X44" s="119" t="s">
        <v>3940</v>
      </c>
      <c r="Y44" s="53"/>
      <c r="Z44" s="53"/>
      <c r="AA44" s="58"/>
      <c r="AB44" s="58" t="s">
        <v>2186</v>
      </c>
      <c r="AC44" s="58" t="s">
        <v>157</v>
      </c>
      <c r="AD44" s="58"/>
      <c r="AE44" s="58">
        <v>3</v>
      </c>
      <c r="AF44" s="60"/>
      <c r="AG44" s="58" t="s">
        <v>2187</v>
      </c>
      <c r="AH44" s="53" t="s">
        <v>19</v>
      </c>
      <c r="AI44" s="58"/>
      <c r="AJ44" s="120" t="s">
        <v>2188</v>
      </c>
      <c r="AK44" s="58" t="s">
        <v>2186</v>
      </c>
      <c r="AL44" s="63" t="s">
        <v>2189</v>
      </c>
      <c r="AM44" s="58" t="s">
        <v>2190</v>
      </c>
      <c r="AN44" s="57" t="s">
        <v>2191</v>
      </c>
      <c r="AO44" s="58"/>
      <c r="AP44" s="64"/>
      <c r="AQ44" s="58"/>
      <c r="AT44" s="40"/>
      <c r="AU44" s="40"/>
      <c r="AV44" s="54">
        <v>7140201</v>
      </c>
      <c r="AW44" s="53">
        <v>324</v>
      </c>
      <c r="BJ44" s="40"/>
      <c r="BK44" s="40"/>
      <c r="BN44" s="16"/>
      <c r="BO44" s="16"/>
    </row>
    <row r="45" spans="1:67" s="67" customFormat="1" ht="16.5" customHeight="1" x14ac:dyDescent="0.25">
      <c r="A45" s="16"/>
      <c r="B45" s="68">
        <f>SUBTOTAL(103,$K$2:K45)</f>
        <v>42</v>
      </c>
      <c r="C45" s="53">
        <v>13</v>
      </c>
      <c r="D45" s="53" t="s">
        <v>2118</v>
      </c>
      <c r="E45" s="53" t="s">
        <v>19</v>
      </c>
      <c r="F45" s="53" t="s">
        <v>105</v>
      </c>
      <c r="G45" s="53" t="s">
        <v>4518</v>
      </c>
      <c r="H45" s="53" t="s">
        <v>4481</v>
      </c>
      <c r="I45" s="58" t="s">
        <v>2192</v>
      </c>
      <c r="J45" s="58" t="s">
        <v>1625</v>
      </c>
      <c r="K45" s="103" t="s">
        <v>3941</v>
      </c>
      <c r="L45" s="53" t="s">
        <v>170</v>
      </c>
      <c r="M45" s="68">
        <v>1</v>
      </c>
      <c r="N45" s="53" t="s">
        <v>150</v>
      </c>
      <c r="O45" s="70" t="s">
        <v>5024</v>
      </c>
      <c r="P45" s="99" t="s">
        <v>3891</v>
      </c>
      <c r="Q45" s="58" t="s">
        <v>23</v>
      </c>
      <c r="R45" s="53">
        <v>2025</v>
      </c>
      <c r="S45" s="53" t="s">
        <v>236</v>
      </c>
      <c r="T45" s="53">
        <v>7.9</v>
      </c>
      <c r="U45" s="53">
        <v>3.31</v>
      </c>
      <c r="V45" s="53"/>
      <c r="W45" s="53"/>
      <c r="X45" s="119" t="s">
        <v>3941</v>
      </c>
      <c r="Y45" s="53"/>
      <c r="Z45" s="53"/>
      <c r="AA45" s="58"/>
      <c r="AB45" s="58" t="s">
        <v>156</v>
      </c>
      <c r="AC45" s="58"/>
      <c r="AD45" s="58"/>
      <c r="AE45" s="58"/>
      <c r="AF45" s="60"/>
      <c r="AG45" s="58" t="s">
        <v>2139</v>
      </c>
      <c r="AH45" s="53" t="s">
        <v>155</v>
      </c>
      <c r="AI45" s="58"/>
      <c r="AJ45" s="120" t="s">
        <v>2193</v>
      </c>
      <c r="AK45" s="58" t="s">
        <v>2194</v>
      </c>
      <c r="AL45" s="63" t="s">
        <v>2195</v>
      </c>
      <c r="AM45" s="58" t="s">
        <v>2196</v>
      </c>
      <c r="AN45" s="57" t="s">
        <v>2197</v>
      </c>
      <c r="AO45" s="58" t="s">
        <v>232</v>
      </c>
      <c r="AP45" s="64"/>
      <c r="AQ45" s="58"/>
      <c r="AT45" s="40"/>
      <c r="AU45" s="40"/>
      <c r="AV45" s="54">
        <v>7140201</v>
      </c>
      <c r="AW45" s="53">
        <v>325</v>
      </c>
      <c r="BJ45" s="40"/>
      <c r="BK45" s="40"/>
      <c r="BN45" s="16"/>
      <c r="BO45" s="16"/>
    </row>
    <row r="46" spans="1:67" s="67" customFormat="1" ht="16.5" customHeight="1" x14ac:dyDescent="0.25">
      <c r="A46" s="16"/>
      <c r="B46" s="68">
        <f>SUBTOTAL(103,$K$2:K46)</f>
        <v>43</v>
      </c>
      <c r="C46" s="53">
        <v>14</v>
      </c>
      <c r="D46" s="53" t="s">
        <v>2118</v>
      </c>
      <c r="E46" s="53" t="s">
        <v>19</v>
      </c>
      <c r="F46" s="53" t="s">
        <v>105</v>
      </c>
      <c r="G46" s="53" t="s">
        <v>4518</v>
      </c>
      <c r="H46" s="53" t="s">
        <v>4482</v>
      </c>
      <c r="I46" s="58" t="s">
        <v>2125</v>
      </c>
      <c r="J46" s="64" t="s">
        <v>304</v>
      </c>
      <c r="K46" s="103" t="s">
        <v>3942</v>
      </c>
      <c r="L46" s="53" t="s">
        <v>170</v>
      </c>
      <c r="M46" s="68">
        <v>1</v>
      </c>
      <c r="N46" s="53" t="s">
        <v>150</v>
      </c>
      <c r="O46" s="70" t="s">
        <v>5024</v>
      </c>
      <c r="P46" s="99" t="s">
        <v>3891</v>
      </c>
      <c r="Q46" s="58" t="s">
        <v>23</v>
      </c>
      <c r="R46" s="53">
        <v>2015</v>
      </c>
      <c r="S46" s="53" t="s">
        <v>153</v>
      </c>
      <c r="T46" s="123">
        <v>7.34</v>
      </c>
      <c r="U46" s="99"/>
      <c r="V46" s="53"/>
      <c r="W46" s="53"/>
      <c r="X46" s="103" t="s">
        <v>3942</v>
      </c>
      <c r="Y46" s="53"/>
      <c r="Z46" s="68"/>
      <c r="AA46" s="58"/>
      <c r="AB46" s="64" t="s">
        <v>322</v>
      </c>
      <c r="AC46" s="64"/>
      <c r="AD46" s="58"/>
      <c r="AE46" s="64" t="s">
        <v>157</v>
      </c>
      <c r="AF46" s="98"/>
      <c r="AG46" s="58" t="s">
        <v>2198</v>
      </c>
      <c r="AH46" s="53" t="s">
        <v>19</v>
      </c>
      <c r="AI46" s="58"/>
      <c r="AJ46" s="101" t="s">
        <v>2199</v>
      </c>
      <c r="AK46" s="58" t="s">
        <v>2200</v>
      </c>
      <c r="AL46" s="63" t="s">
        <v>2153</v>
      </c>
      <c r="AM46" s="122" t="s">
        <v>2201</v>
      </c>
      <c r="AN46" s="103" t="s">
        <v>2202</v>
      </c>
      <c r="AO46" s="58" t="s">
        <v>2203</v>
      </c>
      <c r="AP46" s="58"/>
      <c r="AQ46" s="100"/>
      <c r="AV46" s="54">
        <v>7140201</v>
      </c>
      <c r="AW46" s="53">
        <v>326</v>
      </c>
      <c r="BJ46" s="40"/>
      <c r="BK46" s="40"/>
      <c r="BN46" s="16"/>
      <c r="BO46" s="16"/>
    </row>
    <row r="47" spans="1:67" s="67" customFormat="1" ht="16.5" customHeight="1" x14ac:dyDescent="0.25">
      <c r="A47" s="16"/>
      <c r="B47" s="68">
        <f>SUBTOTAL(103,$K$2:K47)</f>
        <v>44</v>
      </c>
      <c r="C47" s="53">
        <v>15</v>
      </c>
      <c r="D47" s="53" t="s">
        <v>2118</v>
      </c>
      <c r="E47" s="53" t="s">
        <v>19</v>
      </c>
      <c r="F47" s="53" t="s">
        <v>105</v>
      </c>
      <c r="G47" s="53" t="s">
        <v>4518</v>
      </c>
      <c r="H47" s="53" t="s">
        <v>4483</v>
      </c>
      <c r="I47" s="58" t="s">
        <v>1075</v>
      </c>
      <c r="J47" s="58" t="s">
        <v>169</v>
      </c>
      <c r="K47" s="103" t="s">
        <v>3943</v>
      </c>
      <c r="L47" s="53" t="s">
        <v>170</v>
      </c>
      <c r="M47" s="68">
        <v>1</v>
      </c>
      <c r="N47" s="53" t="s">
        <v>150</v>
      </c>
      <c r="O47" s="70" t="s">
        <v>5024</v>
      </c>
      <c r="P47" s="99" t="s">
        <v>3891</v>
      </c>
      <c r="Q47" s="58" t="s">
        <v>23</v>
      </c>
      <c r="R47" s="53">
        <v>2019</v>
      </c>
      <c r="S47" s="53" t="s">
        <v>236</v>
      </c>
      <c r="T47" s="53">
        <v>8.07</v>
      </c>
      <c r="U47" s="53">
        <v>3.23</v>
      </c>
      <c r="V47" s="53"/>
      <c r="W47" s="53"/>
      <c r="X47" s="119" t="s">
        <v>3943</v>
      </c>
      <c r="Y47" s="53"/>
      <c r="Z47" s="53"/>
      <c r="AA47" s="58"/>
      <c r="AB47" s="58" t="s">
        <v>2204</v>
      </c>
      <c r="AC47" s="58" t="s">
        <v>157</v>
      </c>
      <c r="AD47" s="58"/>
      <c r="AE47" s="58"/>
      <c r="AF47" s="60"/>
      <c r="AG47" s="58" t="s">
        <v>2179</v>
      </c>
      <c r="AH47" s="53" t="s">
        <v>155</v>
      </c>
      <c r="AI47" s="58"/>
      <c r="AJ47" s="120" t="s">
        <v>2205</v>
      </c>
      <c r="AK47" s="58" t="s">
        <v>2206</v>
      </c>
      <c r="AL47" s="63" t="s">
        <v>2207</v>
      </c>
      <c r="AM47" s="122" t="s">
        <v>2208</v>
      </c>
      <c r="AN47" s="57" t="s">
        <v>2209</v>
      </c>
      <c r="AO47" s="58"/>
      <c r="AP47" s="64"/>
      <c r="AQ47" s="58"/>
      <c r="AT47" s="40"/>
      <c r="AU47" s="40"/>
      <c r="AV47" s="54">
        <v>7140201</v>
      </c>
      <c r="AW47" s="53">
        <v>327</v>
      </c>
      <c r="BJ47" s="40"/>
      <c r="BK47" s="40"/>
      <c r="BN47" s="16"/>
      <c r="BO47" s="16"/>
    </row>
    <row r="48" spans="1:67" s="67" customFormat="1" ht="16.5" customHeight="1" x14ac:dyDescent="0.25">
      <c r="A48" s="16"/>
      <c r="B48" s="68">
        <f>SUBTOTAL(103,$K$2:K48)</f>
        <v>45</v>
      </c>
      <c r="C48" s="53">
        <v>16</v>
      </c>
      <c r="D48" s="53" t="s">
        <v>2118</v>
      </c>
      <c r="E48" s="99" t="s">
        <v>19</v>
      </c>
      <c r="F48" s="53" t="s">
        <v>105</v>
      </c>
      <c r="G48" s="53" t="s">
        <v>4518</v>
      </c>
      <c r="H48" s="53" t="s">
        <v>4484</v>
      </c>
      <c r="I48" s="58" t="s">
        <v>2210</v>
      </c>
      <c r="J48" s="64" t="s">
        <v>500</v>
      </c>
      <c r="K48" s="103" t="s">
        <v>3944</v>
      </c>
      <c r="L48" s="53" t="s">
        <v>170</v>
      </c>
      <c r="M48" s="68">
        <v>1</v>
      </c>
      <c r="N48" s="53" t="s">
        <v>150</v>
      </c>
      <c r="O48" s="70" t="s">
        <v>5024</v>
      </c>
      <c r="P48" s="99" t="s">
        <v>3891</v>
      </c>
      <c r="Q48" s="58" t="s">
        <v>23</v>
      </c>
      <c r="R48" s="53">
        <v>2025</v>
      </c>
      <c r="S48" s="99" t="s">
        <v>236</v>
      </c>
      <c r="T48" s="53">
        <v>7.8</v>
      </c>
      <c r="U48" s="53">
        <v>3.29</v>
      </c>
      <c r="V48" s="53"/>
      <c r="W48" s="53"/>
      <c r="X48" s="57" t="s">
        <v>3944</v>
      </c>
      <c r="Y48" s="53"/>
      <c r="Z48" s="68"/>
      <c r="AA48" s="58"/>
      <c r="AB48" s="58" t="s">
        <v>2211</v>
      </c>
      <c r="AC48" s="58"/>
      <c r="AD48" s="58"/>
      <c r="AE48" s="58" t="s">
        <v>157</v>
      </c>
      <c r="AF48" s="98"/>
      <c r="AG48" s="58" t="s">
        <v>2139</v>
      </c>
      <c r="AH48" s="53" t="s">
        <v>155</v>
      </c>
      <c r="AI48" s="58"/>
      <c r="AJ48" s="101" t="s">
        <v>2212</v>
      </c>
      <c r="AK48" s="64" t="s">
        <v>2211</v>
      </c>
      <c r="AL48" s="102" t="s">
        <v>2213</v>
      </c>
      <c r="AM48" s="122" t="s">
        <v>2214</v>
      </c>
      <c r="AN48" s="103" t="s">
        <v>2215</v>
      </c>
      <c r="AO48" s="63"/>
      <c r="AP48" s="58"/>
      <c r="AQ48" s="58"/>
      <c r="AR48" s="66"/>
      <c r="AV48" s="54">
        <v>7140201</v>
      </c>
      <c r="AW48" s="53">
        <v>328</v>
      </c>
      <c r="BJ48" s="40"/>
      <c r="BK48" s="40"/>
      <c r="BN48" s="16"/>
      <c r="BO48" s="16"/>
    </row>
    <row r="49" spans="1:67" s="67" customFormat="1" ht="16.5" customHeight="1" x14ac:dyDescent="0.25">
      <c r="A49" s="16"/>
      <c r="B49" s="68">
        <f>SUBTOTAL(103,$K$2:K49)</f>
        <v>46</v>
      </c>
      <c r="C49" s="53">
        <v>17</v>
      </c>
      <c r="D49" s="53" t="s">
        <v>2118</v>
      </c>
      <c r="E49" s="99" t="s">
        <v>19</v>
      </c>
      <c r="F49" s="53" t="s">
        <v>105</v>
      </c>
      <c r="G49" s="53" t="s">
        <v>4518</v>
      </c>
      <c r="H49" s="53" t="s">
        <v>4485</v>
      </c>
      <c r="I49" s="100" t="s">
        <v>2125</v>
      </c>
      <c r="J49" s="104" t="s">
        <v>2216</v>
      </c>
      <c r="K49" s="103" t="s">
        <v>3945</v>
      </c>
      <c r="L49" s="53" t="s">
        <v>170</v>
      </c>
      <c r="M49" s="68">
        <v>1</v>
      </c>
      <c r="N49" s="53" t="s">
        <v>441</v>
      </c>
      <c r="O49" s="70" t="s">
        <v>5024</v>
      </c>
      <c r="P49" s="99" t="s">
        <v>3891</v>
      </c>
      <c r="Q49" s="58" t="s">
        <v>26</v>
      </c>
      <c r="R49" s="99" t="s">
        <v>1739</v>
      </c>
      <c r="S49" s="99" t="s">
        <v>197</v>
      </c>
      <c r="T49" s="99" t="s">
        <v>1931</v>
      </c>
      <c r="U49" s="99"/>
      <c r="V49" s="99"/>
      <c r="W49" s="99"/>
      <c r="X49" s="103" t="s">
        <v>3945</v>
      </c>
      <c r="Y49" s="99"/>
      <c r="Z49" s="124"/>
      <c r="AA49" s="58"/>
      <c r="AB49" s="100" t="s">
        <v>2170</v>
      </c>
      <c r="AC49" s="104"/>
      <c r="AD49" s="58"/>
      <c r="AE49" s="104" t="s">
        <v>157</v>
      </c>
      <c r="AF49" s="105" t="s">
        <v>181</v>
      </c>
      <c r="AG49" s="100" t="s">
        <v>2217</v>
      </c>
      <c r="AH49" s="99" t="s">
        <v>155</v>
      </c>
      <c r="AI49" s="100"/>
      <c r="AJ49" s="101" t="s">
        <v>2218</v>
      </c>
      <c r="AK49" s="104" t="s">
        <v>2170</v>
      </c>
      <c r="AL49" s="117" t="s">
        <v>2219</v>
      </c>
      <c r="AM49" s="100" t="s">
        <v>2220</v>
      </c>
      <c r="AN49" s="103" t="s">
        <v>2221</v>
      </c>
      <c r="AO49" s="125" t="s">
        <v>2222</v>
      </c>
      <c r="AP49" s="125"/>
      <c r="AQ49" s="100"/>
      <c r="AR49" s="126"/>
      <c r="AS49" s="127"/>
      <c r="AV49" s="54">
        <v>7140201</v>
      </c>
      <c r="AW49" s="53">
        <v>329</v>
      </c>
      <c r="BJ49" s="40"/>
      <c r="BK49" s="40"/>
      <c r="BN49" s="16"/>
      <c r="BO49" s="16"/>
    </row>
    <row r="50" spans="1:67" s="67" customFormat="1" ht="16.5" customHeight="1" x14ac:dyDescent="0.25">
      <c r="A50" s="16"/>
      <c r="B50" s="68">
        <f>SUBTOTAL(103,$K$2:K50)</f>
        <v>47</v>
      </c>
      <c r="C50" s="53">
        <v>18</v>
      </c>
      <c r="D50" s="53" t="s">
        <v>2118</v>
      </c>
      <c r="E50" s="110" t="s">
        <v>19</v>
      </c>
      <c r="F50" s="110" t="s">
        <v>105</v>
      </c>
      <c r="G50" s="53" t="s">
        <v>4518</v>
      </c>
      <c r="H50" s="53" t="s">
        <v>4486</v>
      </c>
      <c r="I50" s="108" t="s">
        <v>2223</v>
      </c>
      <c r="J50" s="108" t="s">
        <v>722</v>
      </c>
      <c r="K50" s="144" t="s">
        <v>3946</v>
      </c>
      <c r="L50" s="110" t="s">
        <v>170</v>
      </c>
      <c r="M50" s="68">
        <v>1</v>
      </c>
      <c r="N50" s="110" t="s">
        <v>150</v>
      </c>
      <c r="O50" s="70" t="s">
        <v>5024</v>
      </c>
      <c r="P50" s="99" t="s">
        <v>3891</v>
      </c>
      <c r="Q50" s="58" t="s">
        <v>23</v>
      </c>
      <c r="R50" s="110">
        <v>2021</v>
      </c>
      <c r="S50" s="110" t="s">
        <v>153</v>
      </c>
      <c r="T50" s="110" t="s">
        <v>777</v>
      </c>
      <c r="U50" s="110" t="s">
        <v>2224</v>
      </c>
      <c r="V50" s="110" t="s">
        <v>186</v>
      </c>
      <c r="W50" s="110" t="s">
        <v>153</v>
      </c>
      <c r="X50" s="109" t="s">
        <v>3946</v>
      </c>
      <c r="Y50" s="110"/>
      <c r="Z50" s="110"/>
      <c r="AA50" s="58"/>
      <c r="AB50" s="108" t="s">
        <v>156</v>
      </c>
      <c r="AC50" s="108" t="s">
        <v>157</v>
      </c>
      <c r="AD50" s="108" t="s">
        <v>157</v>
      </c>
      <c r="AE50" s="108">
        <v>3</v>
      </c>
      <c r="AF50" s="42" t="s">
        <v>253</v>
      </c>
      <c r="AG50" s="108" t="s">
        <v>762</v>
      </c>
      <c r="AH50" s="110" t="s">
        <v>155</v>
      </c>
      <c r="AI50" s="108"/>
      <c r="AJ50" s="128" t="s">
        <v>2225</v>
      </c>
      <c r="AK50" s="112" t="s">
        <v>156</v>
      </c>
      <c r="AL50" s="112" t="s">
        <v>264</v>
      </c>
      <c r="AM50" s="116" t="s">
        <v>2226</v>
      </c>
      <c r="AN50" s="129" t="s">
        <v>2227</v>
      </c>
      <c r="AO50" s="112"/>
      <c r="AP50" s="112"/>
      <c r="AQ50" s="108" t="s">
        <v>2228</v>
      </c>
      <c r="AR50" s="40"/>
      <c r="AS50" s="40"/>
      <c r="AT50" s="40"/>
      <c r="AV50" s="54">
        <v>7140201</v>
      </c>
      <c r="AW50" s="53">
        <v>330</v>
      </c>
      <c r="BJ50" s="40"/>
      <c r="BK50" s="40"/>
      <c r="BN50" s="16"/>
      <c r="BO50" s="16"/>
    </row>
    <row r="51" spans="1:67" s="67" customFormat="1" ht="16.5" customHeight="1" x14ac:dyDescent="0.25">
      <c r="A51" s="16"/>
      <c r="B51" s="68">
        <f>SUBTOTAL(103,$K$2:K51)</f>
        <v>48</v>
      </c>
      <c r="C51" s="53">
        <v>19</v>
      </c>
      <c r="D51" s="53" t="s">
        <v>2118</v>
      </c>
      <c r="E51" s="110" t="s">
        <v>19</v>
      </c>
      <c r="F51" s="110" t="s">
        <v>105</v>
      </c>
      <c r="G51" s="53" t="s">
        <v>4518</v>
      </c>
      <c r="H51" s="53" t="s">
        <v>4487</v>
      </c>
      <c r="I51" s="108" t="s">
        <v>933</v>
      </c>
      <c r="J51" s="108" t="s">
        <v>1066</v>
      </c>
      <c r="K51" s="144" t="s">
        <v>3947</v>
      </c>
      <c r="L51" s="110" t="s">
        <v>170</v>
      </c>
      <c r="M51" s="68">
        <v>1</v>
      </c>
      <c r="N51" s="110" t="s">
        <v>150</v>
      </c>
      <c r="O51" s="70" t="s">
        <v>5024</v>
      </c>
      <c r="P51" s="99" t="s">
        <v>3891</v>
      </c>
      <c r="Q51" s="58" t="s">
        <v>23</v>
      </c>
      <c r="R51" s="110">
        <v>2020</v>
      </c>
      <c r="S51" s="110" t="s">
        <v>236</v>
      </c>
      <c r="T51" s="110" t="s">
        <v>693</v>
      </c>
      <c r="U51" s="110"/>
      <c r="V51" s="110" t="s">
        <v>453</v>
      </c>
      <c r="W51" s="110" t="s">
        <v>153</v>
      </c>
      <c r="X51" s="109" t="s">
        <v>3947</v>
      </c>
      <c r="Y51" s="110"/>
      <c r="Z51" s="110"/>
      <c r="AA51" s="58"/>
      <c r="AB51" s="108" t="s">
        <v>2150</v>
      </c>
      <c r="AC51" s="108" t="s">
        <v>157</v>
      </c>
      <c r="AD51" s="108" t="s">
        <v>157</v>
      </c>
      <c r="AE51" s="108"/>
      <c r="AF51" s="42" t="s">
        <v>253</v>
      </c>
      <c r="AG51" s="108" t="s">
        <v>2151</v>
      </c>
      <c r="AH51" s="110" t="s">
        <v>155</v>
      </c>
      <c r="AI51" s="108"/>
      <c r="AJ51" s="130" t="s">
        <v>2229</v>
      </c>
      <c r="AK51" s="112" t="s">
        <v>2150</v>
      </c>
      <c r="AL51" s="112" t="s">
        <v>2230</v>
      </c>
      <c r="AM51" s="116" t="s">
        <v>2231</v>
      </c>
      <c r="AN51" s="129" t="s">
        <v>2232</v>
      </c>
      <c r="AO51" s="112"/>
      <c r="AP51" s="112"/>
      <c r="AQ51" s="108" t="s">
        <v>2156</v>
      </c>
      <c r="AR51" s="40"/>
      <c r="AS51" s="40"/>
      <c r="AT51" s="40"/>
      <c r="AV51" s="54">
        <v>7140201</v>
      </c>
      <c r="AW51" s="53">
        <v>331</v>
      </c>
      <c r="BJ51" s="40"/>
      <c r="BK51" s="40"/>
      <c r="BN51" s="16"/>
      <c r="BO51" s="16"/>
    </row>
    <row r="52" spans="1:67" s="67" customFormat="1" ht="16.5" customHeight="1" x14ac:dyDescent="0.25">
      <c r="A52" s="16"/>
      <c r="B52" s="68">
        <f>SUBTOTAL(103,$K$2:K52)</f>
        <v>49</v>
      </c>
      <c r="C52" s="53">
        <v>20</v>
      </c>
      <c r="D52" s="53" t="s">
        <v>2118</v>
      </c>
      <c r="E52" s="99" t="s">
        <v>19</v>
      </c>
      <c r="F52" s="53" t="s">
        <v>105</v>
      </c>
      <c r="G52" s="53" t="s">
        <v>4518</v>
      </c>
      <c r="H52" s="53" t="s">
        <v>4488</v>
      </c>
      <c r="I52" s="58" t="s">
        <v>314</v>
      </c>
      <c r="J52" s="58" t="s">
        <v>1426</v>
      </c>
      <c r="K52" s="103" t="s">
        <v>3948</v>
      </c>
      <c r="L52" s="53" t="s">
        <v>170</v>
      </c>
      <c r="M52" s="68">
        <v>1</v>
      </c>
      <c r="N52" s="53" t="s">
        <v>150</v>
      </c>
      <c r="O52" s="70" t="s">
        <v>5024</v>
      </c>
      <c r="P52" s="99" t="s">
        <v>3891</v>
      </c>
      <c r="Q52" s="58" t="s">
        <v>3886</v>
      </c>
      <c r="R52" s="53">
        <v>2012</v>
      </c>
      <c r="S52" s="99" t="s">
        <v>153</v>
      </c>
      <c r="T52" s="53">
        <v>7</v>
      </c>
      <c r="U52" s="53"/>
      <c r="V52" s="53"/>
      <c r="W52" s="53"/>
      <c r="X52" s="103" t="s">
        <v>3948</v>
      </c>
      <c r="Y52" s="53"/>
      <c r="Z52" s="68"/>
      <c r="AA52" s="58"/>
      <c r="AB52" s="58" t="s">
        <v>2233</v>
      </c>
      <c r="AC52" s="58"/>
      <c r="AD52" s="58"/>
      <c r="AE52" s="58" t="s">
        <v>157</v>
      </c>
      <c r="AF52" s="98"/>
      <c r="AG52" s="100" t="s">
        <v>2234</v>
      </c>
      <c r="AH52" s="99" t="s">
        <v>155</v>
      </c>
      <c r="AI52" s="58"/>
      <c r="AJ52" s="101" t="s">
        <v>2235</v>
      </c>
      <c r="AK52" s="64" t="s">
        <v>2194</v>
      </c>
      <c r="AL52" s="102" t="s">
        <v>2236</v>
      </c>
      <c r="AM52" s="122" t="s">
        <v>2237</v>
      </c>
      <c r="AN52" s="103" t="s">
        <v>2238</v>
      </c>
      <c r="AO52" s="58" t="s">
        <v>2239</v>
      </c>
      <c r="AP52" s="58"/>
      <c r="AQ52" s="58"/>
      <c r="AR52" s="66"/>
      <c r="AV52" s="54">
        <v>7140201</v>
      </c>
      <c r="AW52" s="53">
        <v>332</v>
      </c>
      <c r="BJ52" s="40"/>
      <c r="BK52" s="40"/>
      <c r="BN52" s="16"/>
      <c r="BO52" s="16"/>
    </row>
    <row r="53" spans="1:67" s="67" customFormat="1" ht="16.5" customHeight="1" x14ac:dyDescent="0.25">
      <c r="A53" s="16"/>
      <c r="B53" s="68">
        <f>SUBTOTAL(103,$K$2:K53)</f>
        <v>50</v>
      </c>
      <c r="C53" s="53">
        <v>21</v>
      </c>
      <c r="D53" s="53" t="s">
        <v>2118</v>
      </c>
      <c r="E53" s="99" t="s">
        <v>19</v>
      </c>
      <c r="F53" s="53" t="s">
        <v>105</v>
      </c>
      <c r="G53" s="53" t="s">
        <v>4518</v>
      </c>
      <c r="H53" s="53" t="s">
        <v>4489</v>
      </c>
      <c r="I53" s="58" t="s">
        <v>314</v>
      </c>
      <c r="J53" s="64" t="s">
        <v>2240</v>
      </c>
      <c r="K53" s="103" t="s">
        <v>3949</v>
      </c>
      <c r="L53" s="53" t="s">
        <v>170</v>
      </c>
      <c r="M53" s="68">
        <v>1</v>
      </c>
      <c r="N53" s="53" t="s">
        <v>150</v>
      </c>
      <c r="O53" s="70" t="s">
        <v>5024</v>
      </c>
      <c r="P53" s="99" t="s">
        <v>3891</v>
      </c>
      <c r="Q53" s="58" t="s">
        <v>26</v>
      </c>
      <c r="R53" s="53">
        <v>2017</v>
      </c>
      <c r="S53" s="99" t="s">
        <v>153</v>
      </c>
      <c r="T53" s="53">
        <v>7.98</v>
      </c>
      <c r="U53" s="53">
        <v>3.19</v>
      </c>
      <c r="V53" s="53"/>
      <c r="W53" s="53"/>
      <c r="X53" s="57" t="s">
        <v>3949</v>
      </c>
      <c r="Y53" s="53"/>
      <c r="Z53" s="68"/>
      <c r="AA53" s="58"/>
      <c r="AB53" s="58" t="s">
        <v>253</v>
      </c>
      <c r="AC53" s="58"/>
      <c r="AD53" s="58"/>
      <c r="AE53" s="58" t="s">
        <v>157</v>
      </c>
      <c r="AF53" s="98"/>
      <c r="AG53" s="58" t="s">
        <v>2179</v>
      </c>
      <c r="AH53" s="53" t="s">
        <v>155</v>
      </c>
      <c r="AI53" s="58"/>
      <c r="AJ53" s="101" t="s">
        <v>2241</v>
      </c>
      <c r="AK53" s="64" t="s">
        <v>253</v>
      </c>
      <c r="AL53" s="102" t="s">
        <v>2242</v>
      </c>
      <c r="AM53" s="58" t="s">
        <v>2243</v>
      </c>
      <c r="AN53" s="103" t="s">
        <v>2244</v>
      </c>
      <c r="AO53" s="125" t="s">
        <v>2245</v>
      </c>
      <c r="AP53" s="63"/>
      <c r="AQ53" s="58"/>
      <c r="AR53" s="66"/>
      <c r="AV53" s="54">
        <v>7140201</v>
      </c>
      <c r="AW53" s="53">
        <v>333</v>
      </c>
      <c r="BJ53" s="40"/>
      <c r="BK53" s="40"/>
      <c r="BN53" s="16"/>
      <c r="BO53" s="16"/>
    </row>
    <row r="54" spans="1:67" s="67" customFormat="1" ht="16.5" customHeight="1" x14ac:dyDescent="0.25">
      <c r="A54" s="16"/>
      <c r="B54" s="68">
        <f>SUBTOTAL(103,$K$2:K54)</f>
        <v>51</v>
      </c>
      <c r="C54" s="53">
        <v>22</v>
      </c>
      <c r="D54" s="53" t="s">
        <v>2118</v>
      </c>
      <c r="E54" s="99" t="s">
        <v>19</v>
      </c>
      <c r="F54" s="53" t="s">
        <v>105</v>
      </c>
      <c r="G54" s="53" t="s">
        <v>4518</v>
      </c>
      <c r="H54" s="53" t="s">
        <v>4490</v>
      </c>
      <c r="I54" s="58" t="s">
        <v>2246</v>
      </c>
      <c r="J54" s="64" t="s">
        <v>183</v>
      </c>
      <c r="K54" s="103" t="s">
        <v>3950</v>
      </c>
      <c r="L54" s="53" t="s">
        <v>170</v>
      </c>
      <c r="M54" s="68">
        <v>1</v>
      </c>
      <c r="N54" s="53" t="s">
        <v>150</v>
      </c>
      <c r="O54" s="70" t="s">
        <v>5024</v>
      </c>
      <c r="P54" s="99" t="s">
        <v>3891</v>
      </c>
      <c r="Q54" s="58" t="s">
        <v>23</v>
      </c>
      <c r="R54" s="53">
        <v>2024</v>
      </c>
      <c r="S54" s="99" t="s">
        <v>236</v>
      </c>
      <c r="T54" s="53">
        <v>8.52</v>
      </c>
      <c r="U54" s="53">
        <v>3.41</v>
      </c>
      <c r="V54" s="53"/>
      <c r="W54" s="53"/>
      <c r="X54" s="57" t="s">
        <v>3950</v>
      </c>
      <c r="Y54" s="53"/>
      <c r="Z54" s="68"/>
      <c r="AA54" s="58"/>
      <c r="AB54" s="58" t="s">
        <v>2170</v>
      </c>
      <c r="AC54" s="58"/>
      <c r="AD54" s="58"/>
      <c r="AE54" s="58" t="s">
        <v>157</v>
      </c>
      <c r="AF54" s="98"/>
      <c r="AG54" s="58" t="s">
        <v>2139</v>
      </c>
      <c r="AH54" s="53" t="s">
        <v>155</v>
      </c>
      <c r="AI54" s="58"/>
      <c r="AJ54" s="101" t="s">
        <v>2247</v>
      </c>
      <c r="AK54" s="64" t="s">
        <v>2200</v>
      </c>
      <c r="AL54" s="102" t="s">
        <v>2153</v>
      </c>
      <c r="AM54" s="58" t="s">
        <v>2248</v>
      </c>
      <c r="AN54" s="103" t="s">
        <v>2249</v>
      </c>
      <c r="AO54" s="63"/>
      <c r="AP54" s="63"/>
      <c r="AQ54" s="58"/>
      <c r="AR54" s="66"/>
      <c r="AV54" s="54">
        <v>7140201</v>
      </c>
      <c r="AW54" s="53">
        <v>334</v>
      </c>
      <c r="BJ54" s="40"/>
      <c r="BK54" s="40"/>
      <c r="BN54" s="16"/>
      <c r="BO54" s="16"/>
    </row>
    <row r="55" spans="1:67" s="67" customFormat="1" ht="16.5" customHeight="1" x14ac:dyDescent="0.25">
      <c r="A55" s="16"/>
      <c r="B55" s="68">
        <f>SUBTOTAL(103,$K$2:K55)</f>
        <v>52</v>
      </c>
      <c r="C55" s="53">
        <v>23</v>
      </c>
      <c r="D55" s="53" t="s">
        <v>2118</v>
      </c>
      <c r="E55" s="110" t="s">
        <v>19</v>
      </c>
      <c r="F55" s="110" t="s">
        <v>105</v>
      </c>
      <c r="G55" s="53" t="s">
        <v>4518</v>
      </c>
      <c r="H55" s="53" t="s">
        <v>4491</v>
      </c>
      <c r="I55" s="108" t="s">
        <v>2250</v>
      </c>
      <c r="J55" s="108" t="s">
        <v>2251</v>
      </c>
      <c r="K55" s="144" t="s">
        <v>3951</v>
      </c>
      <c r="L55" s="110" t="s">
        <v>170</v>
      </c>
      <c r="M55" s="68">
        <v>1</v>
      </c>
      <c r="N55" s="110" t="s">
        <v>150</v>
      </c>
      <c r="O55" s="70" t="s">
        <v>5024</v>
      </c>
      <c r="P55" s="99" t="s">
        <v>3891</v>
      </c>
      <c r="Q55" s="58" t="s">
        <v>23</v>
      </c>
      <c r="R55" s="110">
        <v>2025</v>
      </c>
      <c r="S55" s="110" t="s">
        <v>236</v>
      </c>
      <c r="T55" s="110" t="s">
        <v>451</v>
      </c>
      <c r="U55" s="110" t="s">
        <v>1077</v>
      </c>
      <c r="V55" s="110"/>
      <c r="W55" s="110"/>
      <c r="X55" s="109" t="s">
        <v>3951</v>
      </c>
      <c r="Y55" s="110"/>
      <c r="Z55" s="110"/>
      <c r="AA55" s="58"/>
      <c r="AB55" s="108" t="s">
        <v>2252</v>
      </c>
      <c r="AC55" s="108" t="s">
        <v>157</v>
      </c>
      <c r="AD55" s="108"/>
      <c r="AE55" s="108"/>
      <c r="AF55" s="42" t="s">
        <v>253</v>
      </c>
      <c r="AG55" s="108" t="s">
        <v>2139</v>
      </c>
      <c r="AH55" s="110" t="s">
        <v>155</v>
      </c>
      <c r="AI55" s="108"/>
      <c r="AJ55" s="111" t="s">
        <v>2253</v>
      </c>
      <c r="AK55" s="108" t="s">
        <v>253</v>
      </c>
      <c r="AL55" s="112" t="s">
        <v>2254</v>
      </c>
      <c r="AM55" s="108" t="s">
        <v>2255</v>
      </c>
      <c r="AN55" s="113" t="s">
        <v>2256</v>
      </c>
      <c r="AO55" s="112" t="s">
        <v>132</v>
      </c>
      <c r="AP55" s="112"/>
      <c r="AQ55" s="108" t="s">
        <v>2156</v>
      </c>
      <c r="AR55" s="40"/>
      <c r="AS55" s="40"/>
      <c r="AT55" s="40"/>
      <c r="AV55" s="54">
        <v>7140201</v>
      </c>
      <c r="AW55" s="53">
        <v>335</v>
      </c>
      <c r="BJ55" s="40"/>
      <c r="BK55" s="40"/>
      <c r="BN55" s="16"/>
      <c r="BO55" s="16"/>
    </row>
    <row r="56" spans="1:67" s="67" customFormat="1" ht="16.5" customHeight="1" x14ac:dyDescent="0.25">
      <c r="A56" s="16"/>
      <c r="B56" s="68">
        <f>SUBTOTAL(103,$K$2:K56)</f>
        <v>53</v>
      </c>
      <c r="C56" s="53">
        <v>25</v>
      </c>
      <c r="D56" s="53" t="s">
        <v>2118</v>
      </c>
      <c r="E56" s="99" t="s">
        <v>19</v>
      </c>
      <c r="F56" s="53" t="s">
        <v>105</v>
      </c>
      <c r="G56" s="53" t="s">
        <v>4518</v>
      </c>
      <c r="H56" s="53" t="s">
        <v>4492</v>
      </c>
      <c r="I56" s="58" t="s">
        <v>314</v>
      </c>
      <c r="J56" s="64" t="s">
        <v>2261</v>
      </c>
      <c r="K56" s="103" t="s">
        <v>3952</v>
      </c>
      <c r="L56" s="53" t="s">
        <v>170</v>
      </c>
      <c r="M56" s="68">
        <v>1</v>
      </c>
      <c r="N56" s="53" t="s">
        <v>441</v>
      </c>
      <c r="O56" s="70" t="s">
        <v>5024</v>
      </c>
      <c r="P56" s="99" t="s">
        <v>3891</v>
      </c>
      <c r="Q56" s="58" t="s">
        <v>23</v>
      </c>
      <c r="R56" s="53">
        <v>2019</v>
      </c>
      <c r="S56" s="53" t="s">
        <v>236</v>
      </c>
      <c r="T56" s="53">
        <v>8.32</v>
      </c>
      <c r="U56" s="53">
        <v>3.33</v>
      </c>
      <c r="V56" s="53"/>
      <c r="W56" s="53"/>
      <c r="X56" s="57" t="s">
        <v>3952</v>
      </c>
      <c r="Y56" s="53"/>
      <c r="Z56" s="68"/>
      <c r="AA56" s="58"/>
      <c r="AB56" s="58" t="s">
        <v>156</v>
      </c>
      <c r="AC56" s="58"/>
      <c r="AD56" s="58"/>
      <c r="AE56" s="58" t="s">
        <v>157</v>
      </c>
      <c r="AF56" s="98"/>
      <c r="AG56" s="58" t="s">
        <v>2179</v>
      </c>
      <c r="AH56" s="53" t="s">
        <v>155</v>
      </c>
      <c r="AI56" s="58"/>
      <c r="AJ56" s="121" t="s">
        <v>2262</v>
      </c>
      <c r="AK56" s="64" t="s">
        <v>156</v>
      </c>
      <c r="AL56" s="102" t="s">
        <v>2263</v>
      </c>
      <c r="AM56" s="122" t="s">
        <v>2264</v>
      </c>
      <c r="AN56" s="103" t="s">
        <v>2265</v>
      </c>
      <c r="AO56" s="63"/>
      <c r="AP56" s="63"/>
      <c r="AQ56" s="58"/>
      <c r="AR56" s="66"/>
      <c r="AV56" s="54">
        <v>7140201</v>
      </c>
      <c r="AW56" s="53">
        <v>337</v>
      </c>
      <c r="BJ56" s="40"/>
      <c r="BK56" s="40"/>
      <c r="BN56" s="16"/>
      <c r="BO56" s="16"/>
    </row>
    <row r="57" spans="1:67" s="67" customFormat="1" ht="16.5" customHeight="1" x14ac:dyDescent="0.25">
      <c r="A57" s="16"/>
      <c r="B57" s="68">
        <f>SUBTOTAL(103,$K$2:K57)</f>
        <v>54</v>
      </c>
      <c r="C57" s="53">
        <v>26</v>
      </c>
      <c r="D57" s="53" t="s">
        <v>2118</v>
      </c>
      <c r="E57" s="53" t="s">
        <v>19</v>
      </c>
      <c r="F57" s="53" t="s">
        <v>105</v>
      </c>
      <c r="G57" s="53" t="s">
        <v>4518</v>
      </c>
      <c r="H57" s="53" t="s">
        <v>4493</v>
      </c>
      <c r="I57" s="58" t="s">
        <v>472</v>
      </c>
      <c r="J57" s="89" t="s">
        <v>2028</v>
      </c>
      <c r="K57" s="234" t="s">
        <v>3953</v>
      </c>
      <c r="L57" s="68" t="s">
        <v>170</v>
      </c>
      <c r="M57" s="68">
        <v>1</v>
      </c>
      <c r="N57" s="68" t="s">
        <v>441</v>
      </c>
      <c r="O57" s="70" t="s">
        <v>5024</v>
      </c>
      <c r="P57" s="99" t="s">
        <v>3891</v>
      </c>
      <c r="Q57" s="58" t="s">
        <v>575</v>
      </c>
      <c r="R57" s="53">
        <v>2019</v>
      </c>
      <c r="S57" s="68" t="s">
        <v>153</v>
      </c>
      <c r="T57" s="68" t="s">
        <v>154</v>
      </c>
      <c r="U57" s="68"/>
      <c r="V57" s="68" t="s">
        <v>186</v>
      </c>
      <c r="W57" s="53" t="s">
        <v>153</v>
      </c>
      <c r="X57" s="81" t="s">
        <v>3953</v>
      </c>
      <c r="Y57" s="53"/>
      <c r="Z57" s="68"/>
      <c r="AA57" s="58"/>
      <c r="AB57" s="68" t="s">
        <v>156</v>
      </c>
      <c r="AC57" s="58" t="s">
        <v>157</v>
      </c>
      <c r="AD57" s="58" t="s">
        <v>157</v>
      </c>
      <c r="AE57" s="58"/>
      <c r="AF57" s="60"/>
      <c r="AG57" s="58" t="s">
        <v>519</v>
      </c>
      <c r="AH57" s="53" t="s">
        <v>155</v>
      </c>
      <c r="AI57" s="58"/>
      <c r="AJ57" s="120" t="s">
        <v>2266</v>
      </c>
      <c r="AK57" s="58" t="s">
        <v>156</v>
      </c>
      <c r="AL57" s="63" t="s">
        <v>550</v>
      </c>
      <c r="AM57" s="122" t="s">
        <v>848</v>
      </c>
      <c r="AN57" s="57" t="s">
        <v>2267</v>
      </c>
      <c r="AO57" s="102" t="s">
        <v>2268</v>
      </c>
      <c r="AP57" s="64"/>
      <c r="AQ57" s="58"/>
      <c r="AT57" s="40"/>
      <c r="AU57" s="40"/>
      <c r="AV57" s="54">
        <v>7140201</v>
      </c>
      <c r="AW57" s="53">
        <v>338</v>
      </c>
      <c r="BJ57" s="40"/>
      <c r="BK57" s="40"/>
      <c r="BN57" s="16"/>
      <c r="BO57" s="16"/>
    </row>
    <row r="58" spans="1:67" s="67" customFormat="1" ht="16.5" customHeight="1" x14ac:dyDescent="0.25">
      <c r="A58" s="16"/>
      <c r="B58" s="68">
        <f>SUBTOTAL(103,$K$2:K58)</f>
        <v>55</v>
      </c>
      <c r="C58" s="53">
        <v>27</v>
      </c>
      <c r="D58" s="53" t="s">
        <v>2118</v>
      </c>
      <c r="E58" s="99" t="s">
        <v>19</v>
      </c>
      <c r="F58" s="53" t="s">
        <v>105</v>
      </c>
      <c r="G58" s="53" t="s">
        <v>4518</v>
      </c>
      <c r="H58" s="53" t="s">
        <v>4494</v>
      </c>
      <c r="I58" s="58" t="s">
        <v>314</v>
      </c>
      <c r="J58" s="64" t="s">
        <v>2269</v>
      </c>
      <c r="K58" s="103" t="s">
        <v>3954</v>
      </c>
      <c r="L58" s="53" t="s">
        <v>170</v>
      </c>
      <c r="M58" s="68">
        <v>1</v>
      </c>
      <c r="N58" s="53" t="s">
        <v>150</v>
      </c>
      <c r="O58" s="70" t="s">
        <v>5024</v>
      </c>
      <c r="P58" s="99" t="s">
        <v>3891</v>
      </c>
      <c r="Q58" s="58" t="s">
        <v>23</v>
      </c>
      <c r="R58" s="53">
        <v>2025</v>
      </c>
      <c r="S58" s="99" t="s">
        <v>236</v>
      </c>
      <c r="T58" s="53">
        <v>7.88</v>
      </c>
      <c r="U58" s="53">
        <v>3.36</v>
      </c>
      <c r="V58" s="53"/>
      <c r="W58" s="53"/>
      <c r="X58" s="57" t="s">
        <v>3954</v>
      </c>
      <c r="Y58" s="53"/>
      <c r="Z58" s="68"/>
      <c r="AA58" s="58"/>
      <c r="AB58" s="58" t="s">
        <v>2150</v>
      </c>
      <c r="AC58" s="58"/>
      <c r="AD58" s="58"/>
      <c r="AE58" s="58" t="s">
        <v>157</v>
      </c>
      <c r="AF58" s="98"/>
      <c r="AG58" s="58" t="s">
        <v>2139</v>
      </c>
      <c r="AH58" s="53" t="s">
        <v>155</v>
      </c>
      <c r="AI58" s="58"/>
      <c r="AJ58" s="101" t="s">
        <v>2270</v>
      </c>
      <c r="AK58" s="64" t="s">
        <v>2200</v>
      </c>
      <c r="AL58" s="102" t="s">
        <v>2153</v>
      </c>
      <c r="AM58" s="58" t="s">
        <v>2271</v>
      </c>
      <c r="AN58" s="103" t="s">
        <v>2272</v>
      </c>
      <c r="AO58" s="58"/>
      <c r="AP58" s="58"/>
      <c r="AQ58" s="58"/>
      <c r="AR58" s="66"/>
      <c r="AV58" s="54">
        <v>7140201</v>
      </c>
      <c r="AW58" s="53">
        <v>339</v>
      </c>
      <c r="BJ58" s="40"/>
      <c r="BK58" s="40"/>
      <c r="BN58" s="16"/>
      <c r="BO58" s="16"/>
    </row>
    <row r="59" spans="1:67" s="67" customFormat="1" ht="16.5" customHeight="1" x14ac:dyDescent="0.25">
      <c r="A59" s="16"/>
      <c r="B59" s="68">
        <f>SUBTOTAL(103,$K$2:K59)</f>
        <v>56</v>
      </c>
      <c r="C59" s="53">
        <v>28</v>
      </c>
      <c r="D59" s="53" t="s">
        <v>2118</v>
      </c>
      <c r="E59" s="99" t="s">
        <v>19</v>
      </c>
      <c r="F59" s="53" t="s">
        <v>105</v>
      </c>
      <c r="G59" s="53" t="s">
        <v>4518</v>
      </c>
      <c r="H59" s="53" t="s">
        <v>4495</v>
      </c>
      <c r="I59" s="58" t="s">
        <v>843</v>
      </c>
      <c r="J59" s="64" t="s">
        <v>1547</v>
      </c>
      <c r="K59" s="103" t="s">
        <v>3955</v>
      </c>
      <c r="L59" s="53" t="s">
        <v>170</v>
      </c>
      <c r="M59" s="68">
        <v>1</v>
      </c>
      <c r="N59" s="53" t="s">
        <v>150</v>
      </c>
      <c r="O59" s="70" t="s">
        <v>5024</v>
      </c>
      <c r="P59" s="99" t="s">
        <v>3891</v>
      </c>
      <c r="Q59" s="58" t="s">
        <v>23</v>
      </c>
      <c r="R59" s="53">
        <v>2025</v>
      </c>
      <c r="S59" s="99" t="s">
        <v>236</v>
      </c>
      <c r="T59" s="53">
        <v>7.95</v>
      </c>
      <c r="U59" s="53">
        <v>3.38</v>
      </c>
      <c r="V59" s="53"/>
      <c r="W59" s="53"/>
      <c r="X59" s="57" t="s">
        <v>3955</v>
      </c>
      <c r="Y59" s="53"/>
      <c r="Z59" s="68"/>
      <c r="AA59" s="58"/>
      <c r="AB59" s="58" t="s">
        <v>156</v>
      </c>
      <c r="AC59" s="58"/>
      <c r="AD59" s="58"/>
      <c r="AE59" s="58" t="s">
        <v>157</v>
      </c>
      <c r="AF59" s="98"/>
      <c r="AG59" s="58" t="s">
        <v>2139</v>
      </c>
      <c r="AH59" s="53" t="s">
        <v>155</v>
      </c>
      <c r="AI59" s="58"/>
      <c r="AJ59" s="101" t="s">
        <v>2273</v>
      </c>
      <c r="AK59" s="104" t="s">
        <v>156</v>
      </c>
      <c r="AL59" s="117" t="s">
        <v>413</v>
      </c>
      <c r="AM59" s="118" t="s">
        <v>2274</v>
      </c>
      <c r="AN59" s="103" t="s">
        <v>2275</v>
      </c>
      <c r="AO59" s="58"/>
      <c r="AP59" s="58"/>
      <c r="AQ59" s="58"/>
      <c r="AR59" s="66"/>
      <c r="AV59" s="54">
        <v>7140201</v>
      </c>
      <c r="AW59" s="53">
        <v>340</v>
      </c>
      <c r="BJ59" s="40"/>
      <c r="BK59" s="40"/>
      <c r="BN59" s="16"/>
      <c r="BO59" s="16"/>
    </row>
    <row r="60" spans="1:67" s="67" customFormat="1" ht="16.5" customHeight="1" x14ac:dyDescent="0.25">
      <c r="A60" s="16"/>
      <c r="B60" s="68">
        <f>SUBTOTAL(103,$K$2:K60)</f>
        <v>57</v>
      </c>
      <c r="C60" s="53">
        <v>29</v>
      </c>
      <c r="D60" s="53" t="s">
        <v>2118</v>
      </c>
      <c r="E60" s="110" t="s">
        <v>19</v>
      </c>
      <c r="F60" s="110" t="s">
        <v>105</v>
      </c>
      <c r="G60" s="53" t="s">
        <v>4518</v>
      </c>
      <c r="H60" s="53" t="s">
        <v>4496</v>
      </c>
      <c r="I60" s="108" t="s">
        <v>2276</v>
      </c>
      <c r="J60" s="108" t="s">
        <v>1547</v>
      </c>
      <c r="K60" s="144" t="s">
        <v>3956</v>
      </c>
      <c r="L60" s="110" t="s">
        <v>170</v>
      </c>
      <c r="M60" s="68">
        <v>1</v>
      </c>
      <c r="N60" s="110" t="s">
        <v>150</v>
      </c>
      <c r="O60" s="70" t="s">
        <v>5024</v>
      </c>
      <c r="P60" s="99" t="s">
        <v>3891</v>
      </c>
      <c r="Q60" s="58" t="s">
        <v>23</v>
      </c>
      <c r="R60" s="110">
        <v>2025</v>
      </c>
      <c r="S60" s="110" t="s">
        <v>1255</v>
      </c>
      <c r="T60" s="110" t="s">
        <v>2277</v>
      </c>
      <c r="U60" s="110" t="s">
        <v>2278</v>
      </c>
      <c r="V60" s="110" t="s">
        <v>453</v>
      </c>
      <c r="W60" s="110" t="s">
        <v>153</v>
      </c>
      <c r="X60" s="109" t="s">
        <v>3956</v>
      </c>
      <c r="Y60" s="110"/>
      <c r="Z60" s="110"/>
      <c r="AA60" s="58"/>
      <c r="AB60" s="108" t="s">
        <v>858</v>
      </c>
      <c r="AC60" s="108" t="s">
        <v>157</v>
      </c>
      <c r="AD60" s="108" t="s">
        <v>157</v>
      </c>
      <c r="AE60" s="108"/>
      <c r="AF60" s="42" t="s">
        <v>253</v>
      </c>
      <c r="AG60" s="108" t="s">
        <v>2139</v>
      </c>
      <c r="AH60" s="110" t="s">
        <v>155</v>
      </c>
      <c r="AI60" s="108" t="s">
        <v>2279</v>
      </c>
      <c r="AJ60" s="111" t="s">
        <v>2280</v>
      </c>
      <c r="AK60" s="108" t="s">
        <v>858</v>
      </c>
      <c r="AL60" s="112" t="s">
        <v>2281</v>
      </c>
      <c r="AM60" s="116" t="s">
        <v>2282</v>
      </c>
      <c r="AN60" s="113" t="s">
        <v>2283</v>
      </c>
      <c r="AO60" s="108"/>
      <c r="AP60" s="108"/>
      <c r="AQ60" s="108" t="s">
        <v>2284</v>
      </c>
      <c r="AR60" s="40"/>
      <c r="AS60" s="40"/>
      <c r="AT60" s="40"/>
      <c r="AV60" s="54">
        <v>7140201</v>
      </c>
      <c r="AW60" s="53">
        <v>341</v>
      </c>
      <c r="BJ60" s="40"/>
      <c r="BK60" s="40"/>
      <c r="BN60" s="16"/>
      <c r="BO60" s="16"/>
    </row>
    <row r="61" spans="1:67" s="67" customFormat="1" ht="16.5" customHeight="1" x14ac:dyDescent="0.25">
      <c r="A61" s="16"/>
      <c r="B61" s="68">
        <f>SUBTOTAL(103,$K$2:K61)</f>
        <v>58</v>
      </c>
      <c r="C61" s="53">
        <v>30</v>
      </c>
      <c r="D61" s="53" t="s">
        <v>2118</v>
      </c>
      <c r="E61" s="110" t="s">
        <v>19</v>
      </c>
      <c r="F61" s="110" t="s">
        <v>105</v>
      </c>
      <c r="G61" s="53" t="s">
        <v>4518</v>
      </c>
      <c r="H61" s="53" t="s">
        <v>4497</v>
      </c>
      <c r="I61" s="108" t="s">
        <v>182</v>
      </c>
      <c r="J61" s="108" t="s">
        <v>269</v>
      </c>
      <c r="K61" s="144" t="s">
        <v>3957</v>
      </c>
      <c r="L61" s="110" t="s">
        <v>170</v>
      </c>
      <c r="M61" s="68">
        <v>1</v>
      </c>
      <c r="N61" s="110" t="s">
        <v>150</v>
      </c>
      <c r="O61" s="70" t="s">
        <v>5024</v>
      </c>
      <c r="P61" s="99" t="s">
        <v>3891</v>
      </c>
      <c r="Q61" s="58" t="s">
        <v>23</v>
      </c>
      <c r="R61" s="110">
        <v>2022</v>
      </c>
      <c r="S61" s="110" t="s">
        <v>236</v>
      </c>
      <c r="T61" s="110" t="s">
        <v>2285</v>
      </c>
      <c r="U61" s="110"/>
      <c r="V61" s="110" t="s">
        <v>693</v>
      </c>
      <c r="W61" s="110" t="s">
        <v>236</v>
      </c>
      <c r="X61" s="109" t="s">
        <v>3957</v>
      </c>
      <c r="Y61" s="110" t="s">
        <v>2286</v>
      </c>
      <c r="Z61" s="110" t="s">
        <v>2287</v>
      </c>
      <c r="AA61" s="58"/>
      <c r="AB61" s="108" t="s">
        <v>2150</v>
      </c>
      <c r="AC61" s="108" t="s">
        <v>157</v>
      </c>
      <c r="AD61" s="108" t="s">
        <v>157</v>
      </c>
      <c r="AE61" s="108"/>
      <c r="AF61" s="42" t="s">
        <v>253</v>
      </c>
      <c r="AG61" s="108" t="s">
        <v>2151</v>
      </c>
      <c r="AH61" s="110" t="s">
        <v>155</v>
      </c>
      <c r="AI61" s="108"/>
      <c r="AJ61" s="115" t="s">
        <v>2288</v>
      </c>
      <c r="AK61" s="108" t="s">
        <v>2150</v>
      </c>
      <c r="AL61" s="112" t="s">
        <v>2230</v>
      </c>
      <c r="AM61" s="116" t="s">
        <v>2289</v>
      </c>
      <c r="AN61" s="113" t="s">
        <v>2290</v>
      </c>
      <c r="AO61" s="108"/>
      <c r="AP61" s="108"/>
      <c r="AQ61" s="108" t="s">
        <v>2291</v>
      </c>
      <c r="AR61" s="40"/>
      <c r="AS61" s="40"/>
      <c r="AT61" s="40"/>
      <c r="AV61" s="54">
        <v>7140201</v>
      </c>
      <c r="AW61" s="53">
        <v>342</v>
      </c>
      <c r="BJ61" s="40"/>
      <c r="BK61" s="40"/>
      <c r="BN61" s="16"/>
      <c r="BO61" s="16"/>
    </row>
    <row r="62" spans="1:67" s="67" customFormat="1" ht="16.5" customHeight="1" x14ac:dyDescent="0.25">
      <c r="A62" s="16"/>
      <c r="B62" s="68">
        <f>SUBTOTAL(103,$K$2:K62)</f>
        <v>59</v>
      </c>
      <c r="C62" s="53">
        <v>31</v>
      </c>
      <c r="D62" s="53" t="s">
        <v>2118</v>
      </c>
      <c r="E62" s="99" t="s">
        <v>19</v>
      </c>
      <c r="F62" s="53" t="s">
        <v>105</v>
      </c>
      <c r="G62" s="53" t="s">
        <v>4518</v>
      </c>
      <c r="H62" s="53" t="s">
        <v>4498</v>
      </c>
      <c r="I62" s="58" t="s">
        <v>843</v>
      </c>
      <c r="J62" s="64" t="s">
        <v>926</v>
      </c>
      <c r="K62" s="103" t="s">
        <v>3958</v>
      </c>
      <c r="L62" s="53" t="s">
        <v>170</v>
      </c>
      <c r="M62" s="68">
        <v>1</v>
      </c>
      <c r="N62" s="53" t="s">
        <v>150</v>
      </c>
      <c r="O62" s="70" t="s">
        <v>5024</v>
      </c>
      <c r="P62" s="99" t="s">
        <v>3891</v>
      </c>
      <c r="Q62" s="58" t="s">
        <v>23</v>
      </c>
      <c r="R62" s="53">
        <v>2025</v>
      </c>
      <c r="S62" s="99" t="s">
        <v>236</v>
      </c>
      <c r="T62" s="53">
        <v>7.91</v>
      </c>
      <c r="U62" s="53">
        <v>3.33</v>
      </c>
      <c r="V62" s="53"/>
      <c r="W62" s="72"/>
      <c r="X62" s="57" t="s">
        <v>3958</v>
      </c>
      <c r="Y62" s="53"/>
      <c r="Z62" s="68"/>
      <c r="AA62" s="58"/>
      <c r="AB62" s="64" t="s">
        <v>156</v>
      </c>
      <c r="AC62" s="58"/>
      <c r="AD62" s="58"/>
      <c r="AE62" s="58" t="s">
        <v>157</v>
      </c>
      <c r="AF62" s="98"/>
      <c r="AG62" s="58" t="s">
        <v>2139</v>
      </c>
      <c r="AH62" s="53" t="s">
        <v>155</v>
      </c>
      <c r="AI62" s="58"/>
      <c r="AJ62" s="101" t="s">
        <v>2292</v>
      </c>
      <c r="AK62" s="104" t="s">
        <v>156</v>
      </c>
      <c r="AL62" s="102" t="s">
        <v>2293</v>
      </c>
      <c r="AM62" s="58" t="s">
        <v>2294</v>
      </c>
      <c r="AN62" s="103" t="s">
        <v>2295</v>
      </c>
      <c r="AO62" s="58"/>
      <c r="AP62" s="58"/>
      <c r="AQ62" s="58"/>
      <c r="AR62" s="66"/>
      <c r="AV62" s="54">
        <v>7140201</v>
      </c>
      <c r="AW62" s="53">
        <v>343</v>
      </c>
      <c r="BJ62" s="40"/>
      <c r="BK62" s="40"/>
      <c r="BN62" s="16"/>
      <c r="BO62" s="16"/>
    </row>
    <row r="63" spans="1:67" s="67" customFormat="1" ht="16.5" customHeight="1" x14ac:dyDescent="0.25">
      <c r="A63" s="16"/>
      <c r="B63" s="68">
        <f>SUBTOTAL(103,$K$2:K63)</f>
        <v>60</v>
      </c>
      <c r="C63" s="53">
        <v>32</v>
      </c>
      <c r="D63" s="53" t="s">
        <v>2118</v>
      </c>
      <c r="E63" s="99" t="s">
        <v>19</v>
      </c>
      <c r="F63" s="53" t="s">
        <v>105</v>
      </c>
      <c r="G63" s="53" t="s">
        <v>4518</v>
      </c>
      <c r="H63" s="53" t="s">
        <v>4499</v>
      </c>
      <c r="I63" s="58" t="s">
        <v>2296</v>
      </c>
      <c r="J63" s="64" t="s">
        <v>1576</v>
      </c>
      <c r="K63" s="103" t="s">
        <v>3959</v>
      </c>
      <c r="L63" s="53" t="s">
        <v>170</v>
      </c>
      <c r="M63" s="68">
        <v>1</v>
      </c>
      <c r="N63" s="53" t="s">
        <v>150</v>
      </c>
      <c r="O63" s="70" t="s">
        <v>5024</v>
      </c>
      <c r="P63" s="99" t="s">
        <v>3891</v>
      </c>
      <c r="Q63" s="58" t="s">
        <v>23</v>
      </c>
      <c r="R63" s="53">
        <v>2025</v>
      </c>
      <c r="S63" s="99" t="s">
        <v>2297</v>
      </c>
      <c r="T63" s="53">
        <v>8.51</v>
      </c>
      <c r="U63" s="53">
        <v>3.75</v>
      </c>
      <c r="V63" s="53"/>
      <c r="W63" s="53"/>
      <c r="X63" s="57" t="s">
        <v>3959</v>
      </c>
      <c r="Y63" s="53"/>
      <c r="Z63" s="68"/>
      <c r="AA63" s="58"/>
      <c r="AB63" s="58" t="s">
        <v>2298</v>
      </c>
      <c r="AC63" s="58"/>
      <c r="AD63" s="58"/>
      <c r="AE63" s="58" t="s">
        <v>157</v>
      </c>
      <c r="AF63" s="98"/>
      <c r="AG63" s="58" t="s">
        <v>2139</v>
      </c>
      <c r="AH63" s="53" t="s">
        <v>155</v>
      </c>
      <c r="AI63" s="58"/>
      <c r="AJ63" s="131" t="s">
        <v>2299</v>
      </c>
      <c r="AK63" s="132" t="s">
        <v>156</v>
      </c>
      <c r="AL63" s="132" t="s">
        <v>2300</v>
      </c>
      <c r="AM63" s="93" t="s">
        <v>2301</v>
      </c>
      <c r="AN63" s="133" t="s">
        <v>2302</v>
      </c>
      <c r="AO63" s="93"/>
      <c r="AR63" s="66"/>
      <c r="AV63" s="54">
        <v>7140201</v>
      </c>
      <c r="AW63" s="53">
        <v>344</v>
      </c>
      <c r="BJ63" s="40"/>
      <c r="BK63" s="40"/>
      <c r="BN63" s="16"/>
      <c r="BO63" s="16"/>
    </row>
    <row r="64" spans="1:67" s="67" customFormat="1" ht="16.5" customHeight="1" x14ac:dyDescent="0.25">
      <c r="A64" s="16"/>
      <c r="B64" s="68">
        <f>SUBTOTAL(103,$K$2:K64)</f>
        <v>61</v>
      </c>
      <c r="C64" s="53">
        <v>33</v>
      </c>
      <c r="D64" s="53" t="s">
        <v>2118</v>
      </c>
      <c r="E64" s="99" t="s">
        <v>19</v>
      </c>
      <c r="F64" s="53" t="s">
        <v>105</v>
      </c>
      <c r="G64" s="53" t="s">
        <v>4518</v>
      </c>
      <c r="H64" s="53" t="s">
        <v>4500</v>
      </c>
      <c r="I64" s="100" t="s">
        <v>2303</v>
      </c>
      <c r="J64" s="104" t="s">
        <v>2304</v>
      </c>
      <c r="K64" s="103" t="s">
        <v>3960</v>
      </c>
      <c r="L64" s="53" t="s">
        <v>170</v>
      </c>
      <c r="M64" s="68">
        <v>1</v>
      </c>
      <c r="N64" s="53" t="s">
        <v>2305</v>
      </c>
      <c r="O64" s="70" t="s">
        <v>5024</v>
      </c>
      <c r="P64" s="99" t="s">
        <v>3891</v>
      </c>
      <c r="Q64" s="58" t="s">
        <v>23</v>
      </c>
      <c r="R64" s="53">
        <v>2019</v>
      </c>
      <c r="S64" s="99" t="s">
        <v>153</v>
      </c>
      <c r="T64" s="99" t="s">
        <v>2306</v>
      </c>
      <c r="U64" s="99"/>
      <c r="V64" s="99"/>
      <c r="W64" s="99"/>
      <c r="X64" s="103" t="s">
        <v>3960</v>
      </c>
      <c r="Y64" s="99"/>
      <c r="Z64" s="124"/>
      <c r="AA64" s="58"/>
      <c r="AB64" s="100" t="s">
        <v>2307</v>
      </c>
      <c r="AC64" s="104"/>
      <c r="AD64" s="58"/>
      <c r="AE64" s="104" t="s">
        <v>157</v>
      </c>
      <c r="AF64" s="105" t="s">
        <v>181</v>
      </c>
      <c r="AG64" s="100" t="s">
        <v>2308</v>
      </c>
      <c r="AH64" s="99" t="s">
        <v>155</v>
      </c>
      <c r="AI64" s="100"/>
      <c r="AJ64" s="131" t="s">
        <v>2309</v>
      </c>
      <c r="AK64" s="132" t="s">
        <v>2163</v>
      </c>
      <c r="AL64" s="132" t="s">
        <v>2310</v>
      </c>
      <c r="AM64" s="134" t="s">
        <v>2311</v>
      </c>
      <c r="AN64" s="133" t="s">
        <v>2312</v>
      </c>
      <c r="AO64" s="134" t="s">
        <v>2313</v>
      </c>
      <c r="AP64" s="127"/>
      <c r="AQ64" s="127"/>
      <c r="AR64" s="126"/>
      <c r="AS64" s="127"/>
      <c r="AV64" s="54">
        <v>7140201</v>
      </c>
      <c r="AW64" s="53">
        <v>345</v>
      </c>
      <c r="BJ64" s="40"/>
      <c r="BK64" s="40"/>
      <c r="BN64" s="16"/>
      <c r="BO64" s="16"/>
    </row>
    <row r="65" spans="1:67" s="67" customFormat="1" ht="16.5" customHeight="1" x14ac:dyDescent="0.25">
      <c r="A65" s="16"/>
      <c r="B65" s="68">
        <f>SUBTOTAL(103,$K$2:K65)</f>
        <v>62</v>
      </c>
      <c r="C65" s="53">
        <v>34</v>
      </c>
      <c r="D65" s="53" t="s">
        <v>2118</v>
      </c>
      <c r="E65" s="110" t="s">
        <v>19</v>
      </c>
      <c r="F65" s="110" t="s">
        <v>105</v>
      </c>
      <c r="G65" s="53" t="s">
        <v>4518</v>
      </c>
      <c r="H65" s="53" t="s">
        <v>4501</v>
      </c>
      <c r="I65" s="108" t="s">
        <v>2314</v>
      </c>
      <c r="J65" s="108" t="s">
        <v>370</v>
      </c>
      <c r="K65" s="144" t="s">
        <v>3961</v>
      </c>
      <c r="L65" s="110" t="s">
        <v>170</v>
      </c>
      <c r="M65" s="68">
        <v>1</v>
      </c>
      <c r="N65" s="110" t="s">
        <v>150</v>
      </c>
      <c r="O65" s="70" t="s">
        <v>5024</v>
      </c>
      <c r="P65" s="99" t="s">
        <v>3891</v>
      </c>
      <c r="Q65" s="58" t="s">
        <v>23</v>
      </c>
      <c r="R65" s="110">
        <v>2022</v>
      </c>
      <c r="S65" s="110" t="s">
        <v>236</v>
      </c>
      <c r="T65" s="110" t="s">
        <v>2315</v>
      </c>
      <c r="U65" s="110"/>
      <c r="V65" s="110" t="s">
        <v>2316</v>
      </c>
      <c r="W65" s="110" t="s">
        <v>153</v>
      </c>
      <c r="X65" s="109" t="s">
        <v>3961</v>
      </c>
      <c r="Y65" s="110"/>
      <c r="Z65" s="110"/>
      <c r="AA65" s="58"/>
      <c r="AB65" s="108" t="s">
        <v>253</v>
      </c>
      <c r="AC65" s="108" t="s">
        <v>157</v>
      </c>
      <c r="AD65" s="108" t="s">
        <v>157</v>
      </c>
      <c r="AE65" s="108">
        <v>14</v>
      </c>
      <c r="AF65" s="42" t="s">
        <v>253</v>
      </c>
      <c r="AG65" s="108" t="s">
        <v>2187</v>
      </c>
      <c r="AH65" s="110" t="s">
        <v>2317</v>
      </c>
      <c r="AI65" s="108" t="s">
        <v>2172</v>
      </c>
      <c r="AJ65" s="135" t="s">
        <v>2318</v>
      </c>
      <c r="AK65" s="136" t="s">
        <v>253</v>
      </c>
      <c r="AL65" s="136" t="s">
        <v>2319</v>
      </c>
      <c r="AM65" s="136" t="s">
        <v>2320</v>
      </c>
      <c r="AN65" s="137" t="s">
        <v>2321</v>
      </c>
      <c r="AO65" s="136"/>
      <c r="AP65" s="114"/>
      <c r="AQ65" s="114" t="s">
        <v>2322</v>
      </c>
      <c r="AR65" s="40"/>
      <c r="AS65" s="40"/>
      <c r="AT65" s="40"/>
      <c r="AV65" s="54">
        <v>7140201</v>
      </c>
      <c r="AW65" s="53">
        <v>346</v>
      </c>
      <c r="BJ65" s="40"/>
      <c r="BK65" s="40"/>
      <c r="BN65" s="16"/>
      <c r="BO65" s="16"/>
    </row>
    <row r="66" spans="1:67" s="67" customFormat="1" ht="16.5" customHeight="1" x14ac:dyDescent="0.25">
      <c r="A66" s="16"/>
      <c r="B66" s="68">
        <f>SUBTOTAL(103,$K$2:K66)</f>
        <v>63</v>
      </c>
      <c r="C66" s="53">
        <v>35</v>
      </c>
      <c r="D66" s="53" t="s">
        <v>2118</v>
      </c>
      <c r="E66" s="110" t="s">
        <v>19</v>
      </c>
      <c r="F66" s="110" t="s">
        <v>105</v>
      </c>
      <c r="G66" s="53" t="s">
        <v>4518</v>
      </c>
      <c r="H66" s="53" t="s">
        <v>4502</v>
      </c>
      <c r="I66" s="108" t="s">
        <v>2323</v>
      </c>
      <c r="J66" s="108" t="s">
        <v>776</v>
      </c>
      <c r="K66" s="338" t="s">
        <v>4429</v>
      </c>
      <c r="L66" s="110" t="s">
        <v>170</v>
      </c>
      <c r="M66" s="68">
        <v>1</v>
      </c>
      <c r="N66" s="110" t="s">
        <v>150</v>
      </c>
      <c r="O66" s="70" t="s">
        <v>5024</v>
      </c>
      <c r="P66" s="99" t="s">
        <v>3891</v>
      </c>
      <c r="Q66" s="108" t="s">
        <v>23</v>
      </c>
      <c r="R66" s="110">
        <v>2025</v>
      </c>
      <c r="S66" s="110" t="s">
        <v>236</v>
      </c>
      <c r="T66" s="110" t="s">
        <v>2324</v>
      </c>
      <c r="U66" s="110" t="s">
        <v>558</v>
      </c>
      <c r="V66" s="110"/>
      <c r="W66" s="110"/>
      <c r="X66" s="138">
        <v>36139</v>
      </c>
      <c r="Y66" s="110"/>
      <c r="Z66" s="110"/>
      <c r="AA66" s="58"/>
      <c r="AB66" s="108" t="s">
        <v>2325</v>
      </c>
      <c r="AC66" s="108" t="s">
        <v>157</v>
      </c>
      <c r="AD66" s="108" t="s">
        <v>157</v>
      </c>
      <c r="AE66" s="108"/>
      <c r="AF66" s="42" t="s">
        <v>253</v>
      </c>
      <c r="AG66" s="108" t="s">
        <v>2139</v>
      </c>
      <c r="AH66" s="110" t="s">
        <v>155</v>
      </c>
      <c r="AI66" s="108" t="s">
        <v>2326</v>
      </c>
      <c r="AJ66" s="111" t="s">
        <v>2327</v>
      </c>
      <c r="AK66" s="108" t="s">
        <v>2325</v>
      </c>
      <c r="AL66" s="112" t="s">
        <v>2328</v>
      </c>
      <c r="AM66" s="108" t="s">
        <v>2329</v>
      </c>
      <c r="AN66" s="113" t="s">
        <v>2330</v>
      </c>
      <c r="AO66" s="108"/>
      <c r="AP66" s="108"/>
      <c r="AQ66" s="108"/>
      <c r="AR66" s="40"/>
      <c r="AS66" s="40"/>
      <c r="AT66" s="40"/>
      <c r="AV66" s="54">
        <v>7140201</v>
      </c>
      <c r="AW66" s="53">
        <v>347</v>
      </c>
      <c r="BJ66" s="40"/>
      <c r="BK66" s="40"/>
      <c r="BN66" s="16"/>
      <c r="BO66" s="16"/>
    </row>
    <row r="67" spans="1:67" s="67" customFormat="1" ht="16.5" customHeight="1" x14ac:dyDescent="0.25">
      <c r="A67" s="16"/>
      <c r="B67" s="68">
        <f>SUBTOTAL(103,$K$2:K67)</f>
        <v>64</v>
      </c>
      <c r="C67" s="53">
        <v>36</v>
      </c>
      <c r="D67" s="53" t="s">
        <v>2118</v>
      </c>
      <c r="E67" s="110" t="s">
        <v>19</v>
      </c>
      <c r="F67" s="110" t="s">
        <v>106</v>
      </c>
      <c r="G67" s="53" t="s">
        <v>4518</v>
      </c>
      <c r="H67" s="110" t="s">
        <v>4503</v>
      </c>
      <c r="I67" s="108" t="s">
        <v>2331</v>
      </c>
      <c r="J67" s="108" t="s">
        <v>676</v>
      </c>
      <c r="K67" s="144" t="s">
        <v>3962</v>
      </c>
      <c r="L67" s="110" t="s">
        <v>170</v>
      </c>
      <c r="M67" s="68">
        <v>1</v>
      </c>
      <c r="N67" s="110" t="s">
        <v>150</v>
      </c>
      <c r="O67" s="70" t="s">
        <v>5024</v>
      </c>
      <c r="P67" s="99" t="s">
        <v>3891</v>
      </c>
      <c r="Q67" s="108" t="s">
        <v>37</v>
      </c>
      <c r="R67" s="110">
        <v>2017</v>
      </c>
      <c r="S67" s="110" t="s">
        <v>153</v>
      </c>
      <c r="T67" s="110" t="s">
        <v>2332</v>
      </c>
      <c r="U67" s="110" t="s">
        <v>2333</v>
      </c>
      <c r="V67" s="110" t="s">
        <v>262</v>
      </c>
      <c r="W67" s="110" t="s">
        <v>153</v>
      </c>
      <c r="X67" s="109" t="s">
        <v>3962</v>
      </c>
      <c r="Y67" s="110"/>
      <c r="Z67" s="110"/>
      <c r="AA67" s="58"/>
      <c r="AB67" s="108" t="s">
        <v>2117</v>
      </c>
      <c r="AC67" s="108" t="s">
        <v>157</v>
      </c>
      <c r="AD67" s="108" t="s">
        <v>157</v>
      </c>
      <c r="AE67" s="108"/>
      <c r="AF67" s="42" t="s">
        <v>253</v>
      </c>
      <c r="AG67" s="110" t="s">
        <v>2334</v>
      </c>
      <c r="AH67" s="110" t="s">
        <v>155</v>
      </c>
      <c r="AI67" s="110"/>
      <c r="AJ67" s="111" t="s">
        <v>2335</v>
      </c>
      <c r="AK67" s="108" t="s">
        <v>156</v>
      </c>
      <c r="AL67" s="112" t="s">
        <v>436</v>
      </c>
      <c r="AM67" s="110" t="s">
        <v>2336</v>
      </c>
      <c r="AN67" s="113" t="s">
        <v>2337</v>
      </c>
      <c r="AO67" s="108"/>
      <c r="AP67" s="114"/>
      <c r="AQ67" s="108"/>
      <c r="AR67" s="40"/>
      <c r="AS67" s="40"/>
      <c r="AT67" s="40"/>
      <c r="AV67" s="54">
        <v>7140201</v>
      </c>
      <c r="AW67" s="53">
        <v>348</v>
      </c>
      <c r="BJ67" s="40"/>
      <c r="BK67" s="40"/>
      <c r="BN67" s="16"/>
      <c r="BO67" s="16"/>
    </row>
    <row r="68" spans="1:67" s="67" customFormat="1" ht="16.5" customHeight="1" x14ac:dyDescent="0.25">
      <c r="A68" s="16"/>
      <c r="B68" s="68">
        <f>SUBTOTAL(103,$K$2:K68)</f>
        <v>65</v>
      </c>
      <c r="C68" s="53">
        <v>37</v>
      </c>
      <c r="D68" s="53" t="s">
        <v>2118</v>
      </c>
      <c r="E68" s="53" t="s">
        <v>19</v>
      </c>
      <c r="F68" s="53" t="s">
        <v>106</v>
      </c>
      <c r="G68" s="53" t="s">
        <v>4518</v>
      </c>
      <c r="H68" s="110" t="s">
        <v>4504</v>
      </c>
      <c r="I68" s="58" t="s">
        <v>314</v>
      </c>
      <c r="J68" s="58" t="s">
        <v>2338</v>
      </c>
      <c r="K68" s="103" t="s">
        <v>3963</v>
      </c>
      <c r="L68" s="53" t="s">
        <v>170</v>
      </c>
      <c r="M68" s="68">
        <v>1</v>
      </c>
      <c r="N68" s="53" t="s">
        <v>150</v>
      </c>
      <c r="O68" s="70" t="s">
        <v>5024</v>
      </c>
      <c r="P68" s="99" t="s">
        <v>3891</v>
      </c>
      <c r="Q68" s="58" t="s">
        <v>1326</v>
      </c>
      <c r="R68" s="53">
        <v>2017</v>
      </c>
      <c r="S68" s="53" t="s">
        <v>153</v>
      </c>
      <c r="T68" s="53">
        <v>7.29</v>
      </c>
      <c r="U68" s="53">
        <v>2.87</v>
      </c>
      <c r="V68" s="53"/>
      <c r="W68" s="53"/>
      <c r="X68" s="119" t="s">
        <v>3963</v>
      </c>
      <c r="Y68" s="53"/>
      <c r="Z68" s="53"/>
      <c r="AA68" s="58"/>
      <c r="AB68" s="58" t="s">
        <v>253</v>
      </c>
      <c r="AC68" s="58" t="s">
        <v>157</v>
      </c>
      <c r="AD68" s="58"/>
      <c r="AE68" s="58">
        <v>3</v>
      </c>
      <c r="AF68" s="60"/>
      <c r="AG68" s="58" t="s">
        <v>2339</v>
      </c>
      <c r="AH68" s="53" t="s">
        <v>155</v>
      </c>
      <c r="AI68" s="58"/>
      <c r="AJ68" s="120" t="s">
        <v>2340</v>
      </c>
      <c r="AK68" s="58" t="s">
        <v>253</v>
      </c>
      <c r="AL68" s="63" t="s">
        <v>2341</v>
      </c>
      <c r="AM68" s="58" t="s">
        <v>2342</v>
      </c>
      <c r="AN68" s="57" t="s">
        <v>2343</v>
      </c>
      <c r="AO68" s="58"/>
      <c r="AP68" s="64"/>
      <c r="AQ68" s="58"/>
      <c r="AT68" s="40"/>
      <c r="AU68" s="40"/>
      <c r="AV68" s="54">
        <v>7140201</v>
      </c>
      <c r="AW68" s="53">
        <v>349</v>
      </c>
      <c r="BJ68" s="40"/>
      <c r="BK68" s="40"/>
      <c r="BN68" s="16"/>
      <c r="BO68" s="16"/>
    </row>
    <row r="69" spans="1:67" s="67" customFormat="1" ht="16.5" customHeight="1" x14ac:dyDescent="0.25">
      <c r="A69" s="16"/>
      <c r="B69" s="68">
        <f>SUBTOTAL(103,$K$2:K69)</f>
        <v>66</v>
      </c>
      <c r="C69" s="53">
        <v>38</v>
      </c>
      <c r="D69" s="53" t="s">
        <v>2118</v>
      </c>
      <c r="E69" s="110" t="s">
        <v>19</v>
      </c>
      <c r="F69" s="110" t="s">
        <v>106</v>
      </c>
      <c r="G69" s="53" t="s">
        <v>4518</v>
      </c>
      <c r="H69" s="110" t="s">
        <v>4505</v>
      </c>
      <c r="I69" s="108" t="s">
        <v>2344</v>
      </c>
      <c r="J69" s="108" t="s">
        <v>2345</v>
      </c>
      <c r="K69" s="144" t="s">
        <v>3964</v>
      </c>
      <c r="L69" s="110" t="s">
        <v>170</v>
      </c>
      <c r="M69" s="68">
        <v>1</v>
      </c>
      <c r="N69" s="110" t="s">
        <v>2116</v>
      </c>
      <c r="O69" s="70" t="s">
        <v>5024</v>
      </c>
      <c r="P69" s="99" t="s">
        <v>3891</v>
      </c>
      <c r="Q69" s="108" t="s">
        <v>1511</v>
      </c>
      <c r="R69" s="110">
        <v>2020</v>
      </c>
      <c r="S69" s="110" t="s">
        <v>153</v>
      </c>
      <c r="T69" s="110" t="s">
        <v>2346</v>
      </c>
      <c r="U69" s="110" t="s">
        <v>2333</v>
      </c>
      <c r="V69" s="110" t="s">
        <v>654</v>
      </c>
      <c r="W69" s="110" t="s">
        <v>248</v>
      </c>
      <c r="X69" s="109" t="s">
        <v>3964</v>
      </c>
      <c r="Y69" s="110"/>
      <c r="Z69" s="110"/>
      <c r="AA69" s="58"/>
      <c r="AB69" s="108" t="s">
        <v>2325</v>
      </c>
      <c r="AC69" s="108" t="s">
        <v>157</v>
      </c>
      <c r="AD69" s="108" t="s">
        <v>157</v>
      </c>
      <c r="AE69" s="108"/>
      <c r="AF69" s="42" t="s">
        <v>253</v>
      </c>
      <c r="AG69" s="108" t="s">
        <v>2347</v>
      </c>
      <c r="AH69" s="110" t="s">
        <v>155</v>
      </c>
      <c r="AI69" s="108"/>
      <c r="AJ69" s="115" t="s">
        <v>2348</v>
      </c>
      <c r="AK69" s="108" t="s">
        <v>2325</v>
      </c>
      <c r="AL69" s="112" t="s">
        <v>2349</v>
      </c>
      <c r="AM69" s="108" t="s">
        <v>2350</v>
      </c>
      <c r="AN69" s="113" t="s">
        <v>2351</v>
      </c>
      <c r="AO69" s="108" t="s">
        <v>2352</v>
      </c>
      <c r="AP69" s="108"/>
      <c r="AQ69" s="108" t="s">
        <v>2353</v>
      </c>
      <c r="AR69" s="40"/>
      <c r="AS69" s="40"/>
      <c r="AT69" s="40"/>
      <c r="AV69" s="54">
        <v>7140201</v>
      </c>
      <c r="AW69" s="53">
        <v>350</v>
      </c>
      <c r="BJ69" s="40"/>
      <c r="BK69" s="40"/>
      <c r="BN69" s="16"/>
      <c r="BO69" s="16"/>
    </row>
    <row r="70" spans="1:67" s="67" customFormat="1" ht="16.5" customHeight="1" x14ac:dyDescent="0.25">
      <c r="A70" s="16"/>
      <c r="B70" s="68">
        <f>SUBTOTAL(103,$K$2:K70)</f>
        <v>67</v>
      </c>
      <c r="C70" s="53">
        <v>39</v>
      </c>
      <c r="D70" s="53" t="s">
        <v>2118</v>
      </c>
      <c r="E70" s="110" t="s">
        <v>19</v>
      </c>
      <c r="F70" s="110" t="s">
        <v>106</v>
      </c>
      <c r="G70" s="53" t="s">
        <v>4518</v>
      </c>
      <c r="H70" s="110" t="s">
        <v>4506</v>
      </c>
      <c r="I70" s="108" t="s">
        <v>1115</v>
      </c>
      <c r="J70" s="108" t="s">
        <v>269</v>
      </c>
      <c r="K70" s="144" t="s">
        <v>3965</v>
      </c>
      <c r="L70" s="110" t="s">
        <v>170</v>
      </c>
      <c r="M70" s="68">
        <v>1</v>
      </c>
      <c r="N70" s="110" t="s">
        <v>150</v>
      </c>
      <c r="O70" s="70" t="s">
        <v>5024</v>
      </c>
      <c r="P70" s="99" t="s">
        <v>3891</v>
      </c>
      <c r="Q70" s="108" t="s">
        <v>753</v>
      </c>
      <c r="R70" s="110">
        <v>2015</v>
      </c>
      <c r="S70" s="110" t="s">
        <v>153</v>
      </c>
      <c r="T70" s="110" t="s">
        <v>2354</v>
      </c>
      <c r="U70" s="110" t="s">
        <v>527</v>
      </c>
      <c r="V70" s="110" t="s">
        <v>282</v>
      </c>
      <c r="W70" s="110" t="s">
        <v>153</v>
      </c>
      <c r="X70" s="109" t="s">
        <v>3965</v>
      </c>
      <c r="Y70" s="110"/>
      <c r="Z70" s="110"/>
      <c r="AA70" s="58"/>
      <c r="AB70" s="108" t="s">
        <v>655</v>
      </c>
      <c r="AC70" s="58"/>
      <c r="AD70" s="58"/>
      <c r="AE70" s="108">
        <v>3</v>
      </c>
      <c r="AF70" s="42" t="s">
        <v>253</v>
      </c>
      <c r="AG70" s="108" t="s">
        <v>2355</v>
      </c>
      <c r="AH70" s="110" t="s">
        <v>155</v>
      </c>
      <c r="AI70" s="108"/>
      <c r="AJ70" s="111" t="s">
        <v>2356</v>
      </c>
      <c r="AK70" s="108" t="s">
        <v>655</v>
      </c>
      <c r="AL70" s="112" t="s">
        <v>2357</v>
      </c>
      <c r="AM70" s="108" t="s">
        <v>2358</v>
      </c>
      <c r="AN70" s="113" t="s">
        <v>2359</v>
      </c>
      <c r="AO70" s="108" t="s">
        <v>2360</v>
      </c>
      <c r="AP70" s="108"/>
      <c r="AQ70" s="108"/>
      <c r="AR70" s="40"/>
      <c r="AS70" s="40"/>
      <c r="AT70" s="40"/>
      <c r="AV70" s="54">
        <v>7140201</v>
      </c>
      <c r="AW70" s="53">
        <v>351</v>
      </c>
      <c r="BJ70" s="40"/>
      <c r="BK70" s="40"/>
      <c r="BN70" s="16"/>
      <c r="BO70" s="16"/>
    </row>
    <row r="71" spans="1:67" s="67" customFormat="1" ht="16.5" customHeight="1" x14ac:dyDescent="0.25">
      <c r="A71" s="16"/>
      <c r="B71" s="68">
        <f>SUBTOTAL(103,$K$2:K71)</f>
        <v>68</v>
      </c>
      <c r="C71" s="53">
        <v>40</v>
      </c>
      <c r="D71" s="53" t="s">
        <v>2118</v>
      </c>
      <c r="E71" s="53" t="s">
        <v>19</v>
      </c>
      <c r="F71" s="99" t="s">
        <v>104</v>
      </c>
      <c r="G71" s="53" t="s">
        <v>4518</v>
      </c>
      <c r="H71" s="99" t="s">
        <v>4507</v>
      </c>
      <c r="I71" s="58" t="s">
        <v>314</v>
      </c>
      <c r="J71" s="58" t="s">
        <v>2361</v>
      </c>
      <c r="K71" s="103" t="s">
        <v>3966</v>
      </c>
      <c r="L71" s="53" t="s">
        <v>170</v>
      </c>
      <c r="M71" s="68">
        <v>1</v>
      </c>
      <c r="N71" s="53" t="s">
        <v>150</v>
      </c>
      <c r="O71" s="70" t="s">
        <v>5024</v>
      </c>
      <c r="P71" s="99" t="s">
        <v>3891</v>
      </c>
      <c r="Q71" s="100" t="s">
        <v>3339</v>
      </c>
      <c r="R71" s="53">
        <v>2019</v>
      </c>
      <c r="S71" s="53" t="s">
        <v>153</v>
      </c>
      <c r="T71" s="53">
        <v>7.7</v>
      </c>
      <c r="U71" s="53"/>
      <c r="V71" s="53"/>
      <c r="W71" s="53"/>
      <c r="X71" s="119" t="s">
        <v>3966</v>
      </c>
      <c r="Y71" s="53"/>
      <c r="Z71" s="53"/>
      <c r="AA71" s="58"/>
      <c r="AB71" s="58" t="s">
        <v>2363</v>
      </c>
      <c r="AC71" s="58" t="s">
        <v>157</v>
      </c>
      <c r="AD71" s="58"/>
      <c r="AE71" s="58"/>
      <c r="AF71" s="60"/>
      <c r="AG71" s="58" t="s">
        <v>2364</v>
      </c>
      <c r="AH71" s="53" t="s">
        <v>155</v>
      </c>
      <c r="AI71" s="58"/>
      <c r="AJ71" s="120" t="s">
        <v>2365</v>
      </c>
      <c r="AK71" s="58" t="s">
        <v>1136</v>
      </c>
      <c r="AL71" s="58" t="s">
        <v>2366</v>
      </c>
      <c r="AM71" s="58" t="s">
        <v>2367</v>
      </c>
      <c r="AN71" s="57" t="s">
        <v>2368</v>
      </c>
      <c r="AO71" s="58"/>
      <c r="AP71" s="64"/>
      <c r="AQ71" s="58"/>
      <c r="AT71" s="40"/>
      <c r="AU71" s="40"/>
      <c r="AV71" s="54">
        <v>7140201</v>
      </c>
      <c r="AW71" s="53">
        <v>352</v>
      </c>
      <c r="BJ71" s="40"/>
      <c r="BK71" s="40"/>
      <c r="BN71" s="16"/>
      <c r="BO71" s="16"/>
    </row>
    <row r="72" spans="1:67" s="67" customFormat="1" ht="16.5" customHeight="1" x14ac:dyDescent="0.25">
      <c r="A72" s="16"/>
      <c r="B72" s="68">
        <f>SUBTOTAL(103,$K$2:K72)</f>
        <v>69</v>
      </c>
      <c r="C72" s="53">
        <v>41</v>
      </c>
      <c r="D72" s="53" t="s">
        <v>2118</v>
      </c>
      <c r="E72" s="110" t="s">
        <v>19</v>
      </c>
      <c r="F72" s="110" t="s">
        <v>104</v>
      </c>
      <c r="G72" s="53" t="s">
        <v>4518</v>
      </c>
      <c r="H72" s="99" t="s">
        <v>4508</v>
      </c>
      <c r="I72" s="108" t="s">
        <v>182</v>
      </c>
      <c r="J72" s="108" t="s">
        <v>2369</v>
      </c>
      <c r="K72" s="144" t="s">
        <v>3967</v>
      </c>
      <c r="L72" s="110" t="s">
        <v>170</v>
      </c>
      <c r="M72" s="68">
        <v>1</v>
      </c>
      <c r="N72" s="110" t="s">
        <v>150</v>
      </c>
      <c r="O72" s="70" t="s">
        <v>5024</v>
      </c>
      <c r="P72" s="99" t="s">
        <v>3891</v>
      </c>
      <c r="Q72" s="108" t="s">
        <v>575</v>
      </c>
      <c r="R72" s="110">
        <v>2014</v>
      </c>
      <c r="S72" s="110" t="s">
        <v>153</v>
      </c>
      <c r="T72" s="110" t="s">
        <v>282</v>
      </c>
      <c r="U72" s="110"/>
      <c r="V72" s="110" t="s">
        <v>2370</v>
      </c>
      <c r="W72" s="110" t="s">
        <v>248</v>
      </c>
      <c r="X72" s="109" t="s">
        <v>3967</v>
      </c>
      <c r="Y72" s="110"/>
      <c r="Z72" s="110"/>
      <c r="AA72" s="58"/>
      <c r="AB72" s="108" t="s">
        <v>2186</v>
      </c>
      <c r="AC72" s="108" t="s">
        <v>157</v>
      </c>
      <c r="AD72" s="108" t="s">
        <v>157</v>
      </c>
      <c r="AE72" s="108"/>
      <c r="AF72" s="42" t="s">
        <v>253</v>
      </c>
      <c r="AG72" s="108" t="s">
        <v>2371</v>
      </c>
      <c r="AH72" s="110" t="s">
        <v>155</v>
      </c>
      <c r="AI72" s="108"/>
      <c r="AJ72" s="115" t="s">
        <v>2372</v>
      </c>
      <c r="AK72" s="108" t="s">
        <v>2186</v>
      </c>
      <c r="AL72" s="108" t="s">
        <v>2373</v>
      </c>
      <c r="AM72" s="108" t="s">
        <v>2374</v>
      </c>
      <c r="AN72" s="113" t="s">
        <v>2375</v>
      </c>
      <c r="AO72" s="108"/>
      <c r="AP72" s="108"/>
      <c r="AQ72" s="108" t="s">
        <v>2376</v>
      </c>
      <c r="AR72" s="40"/>
      <c r="AS72" s="40"/>
      <c r="AT72" s="40"/>
      <c r="AV72" s="54">
        <v>7140201</v>
      </c>
      <c r="AW72" s="53">
        <v>353</v>
      </c>
      <c r="BJ72" s="40"/>
      <c r="BK72" s="40"/>
      <c r="BN72" s="16"/>
      <c r="BO72" s="16"/>
    </row>
    <row r="73" spans="1:67" s="67" customFormat="1" ht="16.5" customHeight="1" x14ac:dyDescent="0.25">
      <c r="A73" s="16"/>
      <c r="B73" s="68">
        <f>SUBTOTAL(103,$K$2:K73)</f>
        <v>70</v>
      </c>
      <c r="C73" s="53">
        <v>42</v>
      </c>
      <c r="D73" s="53" t="s">
        <v>2118</v>
      </c>
      <c r="E73" s="110" t="s">
        <v>19</v>
      </c>
      <c r="F73" s="110" t="s">
        <v>104</v>
      </c>
      <c r="G73" s="53" t="s">
        <v>4518</v>
      </c>
      <c r="H73" s="99" t="s">
        <v>4509</v>
      </c>
      <c r="I73" s="108" t="s">
        <v>182</v>
      </c>
      <c r="J73" s="108" t="s">
        <v>2377</v>
      </c>
      <c r="K73" s="144" t="s">
        <v>3968</v>
      </c>
      <c r="L73" s="110" t="s">
        <v>170</v>
      </c>
      <c r="M73" s="68">
        <v>1</v>
      </c>
      <c r="N73" s="110" t="s">
        <v>150</v>
      </c>
      <c r="O73" s="70" t="s">
        <v>5024</v>
      </c>
      <c r="P73" s="99" t="s">
        <v>3891</v>
      </c>
      <c r="Q73" s="108" t="s">
        <v>3339</v>
      </c>
      <c r="R73" s="110">
        <v>2015</v>
      </c>
      <c r="S73" s="110" t="s">
        <v>153</v>
      </c>
      <c r="T73" s="110" t="s">
        <v>154</v>
      </c>
      <c r="U73" s="110"/>
      <c r="V73" s="110" t="s">
        <v>453</v>
      </c>
      <c r="W73" s="110" t="s">
        <v>153</v>
      </c>
      <c r="X73" s="109" t="s">
        <v>3968</v>
      </c>
      <c r="Y73" s="110"/>
      <c r="Z73" s="110"/>
      <c r="AA73" s="58"/>
      <c r="AB73" s="108" t="s">
        <v>156</v>
      </c>
      <c r="AC73" s="108" t="s">
        <v>157</v>
      </c>
      <c r="AD73" s="108" t="s">
        <v>157</v>
      </c>
      <c r="AE73" s="108"/>
      <c r="AF73" s="42" t="s">
        <v>253</v>
      </c>
      <c r="AG73" s="108" t="s">
        <v>762</v>
      </c>
      <c r="AH73" s="110" t="s">
        <v>155</v>
      </c>
      <c r="AI73" s="108"/>
      <c r="AJ73" s="115" t="s">
        <v>2379</v>
      </c>
      <c r="AK73" s="108" t="s">
        <v>156</v>
      </c>
      <c r="AL73" s="112" t="s">
        <v>436</v>
      </c>
      <c r="AM73" s="108" t="s">
        <v>2380</v>
      </c>
      <c r="AN73" s="113" t="s">
        <v>2381</v>
      </c>
      <c r="AO73" s="108"/>
      <c r="AP73" s="108"/>
      <c r="AQ73" s="108" t="s">
        <v>2382</v>
      </c>
      <c r="AR73" s="40"/>
      <c r="AS73" s="40"/>
      <c r="AT73" s="40"/>
      <c r="AV73" s="54">
        <v>7140201</v>
      </c>
      <c r="AW73" s="53">
        <v>354</v>
      </c>
      <c r="BJ73" s="40"/>
      <c r="BK73" s="40"/>
      <c r="BN73" s="16"/>
      <c r="BO73" s="16"/>
    </row>
    <row r="74" spans="1:67" s="67" customFormat="1" ht="16.5" customHeight="1" x14ac:dyDescent="0.25">
      <c r="A74" s="16"/>
      <c r="B74" s="68">
        <f>SUBTOTAL(103,$K$2:K74)</f>
        <v>71</v>
      </c>
      <c r="C74" s="53">
        <v>43</v>
      </c>
      <c r="D74" s="53" t="s">
        <v>2118</v>
      </c>
      <c r="E74" s="53" t="s">
        <v>19</v>
      </c>
      <c r="F74" s="53" t="s">
        <v>104</v>
      </c>
      <c r="G74" s="53" t="s">
        <v>4518</v>
      </c>
      <c r="H74" s="99" t="s">
        <v>4510</v>
      </c>
      <c r="I74" s="58" t="s">
        <v>314</v>
      </c>
      <c r="J74" s="58" t="s">
        <v>304</v>
      </c>
      <c r="K74" s="99" t="s">
        <v>4430</v>
      </c>
      <c r="L74" s="53" t="s">
        <v>170</v>
      </c>
      <c r="M74" s="68">
        <v>1</v>
      </c>
      <c r="N74" s="53" t="s">
        <v>150</v>
      </c>
      <c r="O74" s="70" t="s">
        <v>5024</v>
      </c>
      <c r="P74" s="99" t="s">
        <v>3891</v>
      </c>
      <c r="Q74" s="100" t="s">
        <v>3339</v>
      </c>
      <c r="R74" s="53">
        <v>2016</v>
      </c>
      <c r="S74" s="53" t="s">
        <v>153</v>
      </c>
      <c r="T74" s="53">
        <v>7.4</v>
      </c>
      <c r="U74" s="53"/>
      <c r="V74" s="53"/>
      <c r="W74" s="53"/>
      <c r="X74" s="139">
        <v>35006</v>
      </c>
      <c r="Y74" s="53"/>
      <c r="Z74" s="68"/>
      <c r="AA74" s="58"/>
      <c r="AB74" s="58" t="s">
        <v>2383</v>
      </c>
      <c r="AC74" s="58"/>
      <c r="AD74" s="58"/>
      <c r="AE74" s="58" t="s">
        <v>157</v>
      </c>
      <c r="AF74" s="98"/>
      <c r="AG74" s="58" t="s">
        <v>2384</v>
      </c>
      <c r="AH74" s="53" t="s">
        <v>155</v>
      </c>
      <c r="AI74" s="58"/>
      <c r="AJ74" s="140" t="s">
        <v>2385</v>
      </c>
      <c r="AK74" s="58" t="s">
        <v>2383</v>
      </c>
      <c r="AL74" s="58" t="s">
        <v>2386</v>
      </c>
      <c r="AM74" s="58" t="s">
        <v>2387</v>
      </c>
      <c r="AN74" s="57" t="s">
        <v>2388</v>
      </c>
      <c r="AO74" s="58"/>
      <c r="AP74" s="58"/>
      <c r="AQ74" s="58"/>
      <c r="AV74" s="54">
        <v>7140201</v>
      </c>
      <c r="AW74" s="53">
        <v>355</v>
      </c>
      <c r="BJ74" s="40"/>
      <c r="BK74" s="40"/>
      <c r="BN74" s="16"/>
      <c r="BO74" s="16"/>
    </row>
    <row r="75" spans="1:67" s="67" customFormat="1" ht="16.5" customHeight="1" x14ac:dyDescent="0.25">
      <c r="A75" s="16"/>
      <c r="B75" s="68">
        <f>SUBTOTAL(103,$K$2:K75)</f>
        <v>72</v>
      </c>
      <c r="C75" s="53">
        <v>44</v>
      </c>
      <c r="D75" s="53" t="s">
        <v>2118</v>
      </c>
      <c r="E75" s="110" t="s">
        <v>19</v>
      </c>
      <c r="F75" s="110" t="s">
        <v>104</v>
      </c>
      <c r="G75" s="53" t="s">
        <v>4518</v>
      </c>
      <c r="H75" s="99" t="s">
        <v>4511</v>
      </c>
      <c r="I75" s="108" t="s">
        <v>2389</v>
      </c>
      <c r="J75" s="108" t="s">
        <v>304</v>
      </c>
      <c r="K75" s="144" t="s">
        <v>3969</v>
      </c>
      <c r="L75" s="110" t="s">
        <v>170</v>
      </c>
      <c r="M75" s="68">
        <v>1</v>
      </c>
      <c r="N75" s="110" t="s">
        <v>150</v>
      </c>
      <c r="O75" s="70" t="s">
        <v>5024</v>
      </c>
      <c r="P75" s="99" t="s">
        <v>3891</v>
      </c>
      <c r="Q75" s="108" t="s">
        <v>3339</v>
      </c>
      <c r="R75" s="110">
        <v>2007</v>
      </c>
      <c r="S75" s="110" t="s">
        <v>248</v>
      </c>
      <c r="T75" s="110" t="s">
        <v>262</v>
      </c>
      <c r="U75" s="110"/>
      <c r="V75" s="110"/>
      <c r="W75" s="110"/>
      <c r="X75" s="109" t="s">
        <v>3969</v>
      </c>
      <c r="Y75" s="110"/>
      <c r="Z75" s="110"/>
      <c r="AA75" s="58"/>
      <c r="AB75" s="108" t="s">
        <v>253</v>
      </c>
      <c r="AC75" s="108" t="s">
        <v>157</v>
      </c>
      <c r="AD75" s="108"/>
      <c r="AE75" s="108">
        <v>16</v>
      </c>
      <c r="AF75" s="42" t="s">
        <v>253</v>
      </c>
      <c r="AG75" s="108" t="s">
        <v>2390</v>
      </c>
      <c r="AH75" s="110" t="s">
        <v>155</v>
      </c>
      <c r="AI75" s="108"/>
      <c r="AJ75" s="115" t="s">
        <v>2391</v>
      </c>
      <c r="AK75" s="108" t="s">
        <v>253</v>
      </c>
      <c r="AL75" s="112" t="s">
        <v>2392</v>
      </c>
      <c r="AM75" s="110" t="s">
        <v>2393</v>
      </c>
      <c r="AN75" s="141">
        <v>933576668</v>
      </c>
      <c r="AO75" s="108" t="s">
        <v>2394</v>
      </c>
      <c r="AP75" s="108"/>
      <c r="AQ75" s="108" t="s">
        <v>2395</v>
      </c>
      <c r="AR75" s="40"/>
      <c r="AS75" s="40"/>
      <c r="AT75" s="40"/>
      <c r="AV75" s="54">
        <v>7140201</v>
      </c>
      <c r="AW75" s="53">
        <v>356</v>
      </c>
      <c r="BJ75" s="40"/>
      <c r="BK75" s="40"/>
      <c r="BN75" s="16"/>
      <c r="BO75" s="16"/>
    </row>
    <row r="76" spans="1:67" s="67" customFormat="1" ht="16.5" customHeight="1" x14ac:dyDescent="0.25">
      <c r="A76" s="16"/>
      <c r="B76" s="68">
        <f>SUBTOTAL(103,$K$2:K76)</f>
        <v>73</v>
      </c>
      <c r="C76" s="53">
        <v>45</v>
      </c>
      <c r="D76" s="53" t="s">
        <v>2118</v>
      </c>
      <c r="E76" s="110" t="s">
        <v>19</v>
      </c>
      <c r="F76" s="110" t="s">
        <v>104</v>
      </c>
      <c r="G76" s="53" t="s">
        <v>4518</v>
      </c>
      <c r="H76" s="99" t="s">
        <v>4512</v>
      </c>
      <c r="I76" s="108" t="s">
        <v>1624</v>
      </c>
      <c r="J76" s="108" t="s">
        <v>722</v>
      </c>
      <c r="K76" s="144" t="s">
        <v>3970</v>
      </c>
      <c r="L76" s="110" t="s">
        <v>170</v>
      </c>
      <c r="M76" s="68">
        <v>1</v>
      </c>
      <c r="N76" s="110" t="s">
        <v>150</v>
      </c>
      <c r="O76" s="70" t="s">
        <v>5024</v>
      </c>
      <c r="P76" s="99" t="s">
        <v>3891</v>
      </c>
      <c r="Q76" s="58" t="s">
        <v>23</v>
      </c>
      <c r="R76" s="110">
        <v>2018</v>
      </c>
      <c r="S76" s="110" t="s">
        <v>153</v>
      </c>
      <c r="T76" s="110" t="s">
        <v>186</v>
      </c>
      <c r="U76" s="110"/>
      <c r="V76" s="110" t="s">
        <v>434</v>
      </c>
      <c r="W76" s="110" t="s">
        <v>153</v>
      </c>
      <c r="X76" s="109" t="s">
        <v>3970</v>
      </c>
      <c r="Y76" s="110"/>
      <c r="Z76" s="110"/>
      <c r="AA76" s="58"/>
      <c r="AB76" s="108" t="s">
        <v>2150</v>
      </c>
      <c r="AC76" s="108" t="s">
        <v>157</v>
      </c>
      <c r="AD76" s="108" t="s">
        <v>157</v>
      </c>
      <c r="AE76" s="108"/>
      <c r="AF76" s="42" t="s">
        <v>253</v>
      </c>
      <c r="AG76" s="108" t="s">
        <v>2151</v>
      </c>
      <c r="AH76" s="110" t="s">
        <v>155</v>
      </c>
      <c r="AI76" s="108"/>
      <c r="AJ76" s="115" t="s">
        <v>2396</v>
      </c>
      <c r="AK76" s="108" t="s">
        <v>2150</v>
      </c>
      <c r="AL76" s="112" t="s">
        <v>2397</v>
      </c>
      <c r="AM76" s="108" t="s">
        <v>2398</v>
      </c>
      <c r="AN76" s="113" t="s">
        <v>2399</v>
      </c>
      <c r="AO76" s="108"/>
      <c r="AP76" s="108"/>
      <c r="AQ76" s="108" t="s">
        <v>2376</v>
      </c>
      <c r="AR76" s="40"/>
      <c r="AS76" s="40"/>
      <c r="AT76" s="40"/>
      <c r="AV76" s="54">
        <v>7140201</v>
      </c>
      <c r="AW76" s="53">
        <v>357</v>
      </c>
      <c r="BJ76" s="40"/>
      <c r="BK76" s="40"/>
      <c r="BN76" s="16"/>
      <c r="BO76" s="16"/>
    </row>
    <row r="77" spans="1:67" s="67" customFormat="1" ht="16.5" customHeight="1" x14ac:dyDescent="0.25">
      <c r="A77" s="16"/>
      <c r="B77" s="68">
        <f>SUBTOTAL(103,$K$2:K77)</f>
        <v>74</v>
      </c>
      <c r="C77" s="53">
        <v>46</v>
      </c>
      <c r="D77" s="53" t="s">
        <v>2118</v>
      </c>
      <c r="E77" s="99" t="s">
        <v>19</v>
      </c>
      <c r="F77" s="99" t="s">
        <v>104</v>
      </c>
      <c r="G77" s="53" t="s">
        <v>4518</v>
      </c>
      <c r="H77" s="99" t="s">
        <v>4513</v>
      </c>
      <c r="I77" s="142" t="s">
        <v>2400</v>
      </c>
      <c r="J77" s="143" t="s">
        <v>2401</v>
      </c>
      <c r="K77" s="144" t="s">
        <v>3971</v>
      </c>
      <c r="L77" s="53" t="s">
        <v>170</v>
      </c>
      <c r="M77" s="68">
        <v>1</v>
      </c>
      <c r="N77" s="53" t="s">
        <v>150</v>
      </c>
      <c r="O77" s="70" t="s">
        <v>5024</v>
      </c>
      <c r="P77" s="99" t="s">
        <v>3891</v>
      </c>
      <c r="Q77" s="58" t="s">
        <v>23</v>
      </c>
      <c r="R77" s="99" t="s">
        <v>2104</v>
      </c>
      <c r="S77" s="99" t="s">
        <v>236</v>
      </c>
      <c r="T77" s="99" t="s">
        <v>685</v>
      </c>
      <c r="U77" s="99"/>
      <c r="V77" s="99"/>
      <c r="W77" s="99"/>
      <c r="X77" s="144" t="s">
        <v>3971</v>
      </c>
      <c r="Y77" s="99"/>
      <c r="Z77" s="124"/>
      <c r="AA77" s="58"/>
      <c r="AB77" s="100" t="s">
        <v>253</v>
      </c>
      <c r="AC77" s="104"/>
      <c r="AD77" s="58"/>
      <c r="AE77" s="104" t="s">
        <v>157</v>
      </c>
      <c r="AF77" s="105"/>
      <c r="AG77" s="100" t="s">
        <v>2179</v>
      </c>
      <c r="AH77" s="99" t="s">
        <v>155</v>
      </c>
      <c r="AI77" s="100"/>
      <c r="AJ77" s="101" t="s">
        <v>2402</v>
      </c>
      <c r="AK77" s="100" t="s">
        <v>253</v>
      </c>
      <c r="AL77" s="117" t="s">
        <v>2242</v>
      </c>
      <c r="AM77" s="118" t="s">
        <v>2403</v>
      </c>
      <c r="AN77" s="103" t="s">
        <v>2404</v>
      </c>
      <c r="AO77" s="100"/>
      <c r="AP77" s="100"/>
      <c r="AQ77" s="100"/>
      <c r="AR77" s="126"/>
      <c r="AS77" s="127"/>
      <c r="AV77" s="54">
        <v>7140201</v>
      </c>
      <c r="AW77" s="53">
        <v>358</v>
      </c>
      <c r="BJ77" s="40"/>
      <c r="BK77" s="40"/>
      <c r="BN77" s="16"/>
      <c r="BO77" s="16"/>
    </row>
    <row r="78" spans="1:67" s="67" customFormat="1" ht="16.5" customHeight="1" x14ac:dyDescent="0.25">
      <c r="A78" s="16"/>
      <c r="B78" s="68">
        <f>SUBTOTAL(103,$K$2:K78)</f>
        <v>75</v>
      </c>
      <c r="C78" s="53">
        <v>47</v>
      </c>
      <c r="D78" s="53" t="s">
        <v>2118</v>
      </c>
      <c r="E78" s="110" t="s">
        <v>19</v>
      </c>
      <c r="F78" s="110" t="s">
        <v>104</v>
      </c>
      <c r="G78" s="53" t="s">
        <v>4518</v>
      </c>
      <c r="H78" s="99" t="s">
        <v>4514</v>
      </c>
      <c r="I78" s="108" t="s">
        <v>182</v>
      </c>
      <c r="J78" s="108" t="s">
        <v>1454</v>
      </c>
      <c r="K78" s="144" t="s">
        <v>3972</v>
      </c>
      <c r="L78" s="110" t="s">
        <v>170</v>
      </c>
      <c r="M78" s="68">
        <v>1</v>
      </c>
      <c r="N78" s="110" t="s">
        <v>150</v>
      </c>
      <c r="O78" s="70" t="s">
        <v>5024</v>
      </c>
      <c r="P78" s="99" t="s">
        <v>3891</v>
      </c>
      <c r="Q78" s="108" t="s">
        <v>575</v>
      </c>
      <c r="R78" s="110">
        <v>2020</v>
      </c>
      <c r="S78" s="110" t="s">
        <v>153</v>
      </c>
      <c r="T78" s="110" t="s">
        <v>583</v>
      </c>
      <c r="U78" s="110"/>
      <c r="V78" s="110" t="s">
        <v>2370</v>
      </c>
      <c r="W78" s="110" t="s">
        <v>248</v>
      </c>
      <c r="X78" s="109" t="s">
        <v>3972</v>
      </c>
      <c r="Y78" s="110"/>
      <c r="Z78" s="110"/>
      <c r="AA78" s="58"/>
      <c r="AB78" s="108" t="s">
        <v>2150</v>
      </c>
      <c r="AC78" s="108" t="s">
        <v>157</v>
      </c>
      <c r="AD78" s="108" t="s">
        <v>157</v>
      </c>
      <c r="AE78" s="108"/>
      <c r="AF78" s="42" t="s">
        <v>253</v>
      </c>
      <c r="AG78" s="108" t="s">
        <v>2151</v>
      </c>
      <c r="AH78" s="110" t="s">
        <v>155</v>
      </c>
      <c r="AI78" s="108"/>
      <c r="AJ78" s="115" t="s">
        <v>2405</v>
      </c>
      <c r="AK78" s="108" t="s">
        <v>2150</v>
      </c>
      <c r="AL78" s="112" t="s">
        <v>2406</v>
      </c>
      <c r="AM78" s="116" t="s">
        <v>2407</v>
      </c>
      <c r="AN78" s="113" t="s">
        <v>2408</v>
      </c>
      <c r="AO78" s="108"/>
      <c r="AP78" s="108"/>
      <c r="AQ78" s="108" t="s">
        <v>2376</v>
      </c>
      <c r="AR78" s="40"/>
      <c r="AS78" s="40"/>
      <c r="AT78" s="40"/>
      <c r="AV78" s="54">
        <v>7140201</v>
      </c>
      <c r="AW78" s="53">
        <v>359</v>
      </c>
      <c r="BJ78" s="40"/>
      <c r="BK78" s="40"/>
      <c r="BN78" s="16"/>
      <c r="BO78" s="16"/>
    </row>
    <row r="79" spans="1:67" s="67" customFormat="1" ht="16.5" customHeight="1" x14ac:dyDescent="0.25">
      <c r="A79" s="16"/>
      <c r="B79" s="68">
        <f>SUBTOTAL(103,$K$2:K79)</f>
        <v>76</v>
      </c>
      <c r="C79" s="53">
        <v>48</v>
      </c>
      <c r="D79" s="53" t="s">
        <v>2118</v>
      </c>
      <c r="E79" s="110" t="s">
        <v>19</v>
      </c>
      <c r="F79" s="110" t="s">
        <v>104</v>
      </c>
      <c r="G79" s="53" t="s">
        <v>4518</v>
      </c>
      <c r="H79" s="99" t="s">
        <v>4515</v>
      </c>
      <c r="I79" s="108" t="s">
        <v>472</v>
      </c>
      <c r="J79" s="108" t="s">
        <v>269</v>
      </c>
      <c r="K79" s="144" t="s">
        <v>3973</v>
      </c>
      <c r="L79" s="110" t="s">
        <v>170</v>
      </c>
      <c r="M79" s="68">
        <v>1</v>
      </c>
      <c r="N79" s="110" t="s">
        <v>150</v>
      </c>
      <c r="O79" s="70" t="s">
        <v>5024</v>
      </c>
      <c r="P79" s="99" t="s">
        <v>3891</v>
      </c>
      <c r="Q79" s="108" t="s">
        <v>575</v>
      </c>
      <c r="R79" s="110">
        <v>2012</v>
      </c>
      <c r="S79" s="110" t="s">
        <v>197</v>
      </c>
      <c r="T79" s="110" t="s">
        <v>262</v>
      </c>
      <c r="U79" s="110"/>
      <c r="V79" s="110" t="s">
        <v>401</v>
      </c>
      <c r="W79" s="110" t="s">
        <v>248</v>
      </c>
      <c r="X79" s="109" t="s">
        <v>3973</v>
      </c>
      <c r="Y79" s="110"/>
      <c r="Z79" s="110"/>
      <c r="AA79" s="58"/>
      <c r="AB79" s="108" t="s">
        <v>253</v>
      </c>
      <c r="AC79" s="108" t="s">
        <v>157</v>
      </c>
      <c r="AD79" s="108" t="s">
        <v>157</v>
      </c>
      <c r="AE79" s="108"/>
      <c r="AF79" s="42" t="s">
        <v>253</v>
      </c>
      <c r="AG79" s="108" t="s">
        <v>2409</v>
      </c>
      <c r="AH79" s="110" t="s">
        <v>155</v>
      </c>
      <c r="AI79" s="108"/>
      <c r="AJ79" s="115" t="s">
        <v>2410</v>
      </c>
      <c r="AK79" s="108" t="s">
        <v>253</v>
      </c>
      <c r="AL79" s="112" t="s">
        <v>2411</v>
      </c>
      <c r="AM79" s="116" t="s">
        <v>2412</v>
      </c>
      <c r="AN79" s="113" t="s">
        <v>2413</v>
      </c>
      <c r="AO79" s="108"/>
      <c r="AP79" s="108"/>
      <c r="AQ79" s="108" t="s">
        <v>2376</v>
      </c>
      <c r="AR79" s="40"/>
      <c r="AS79" s="40"/>
      <c r="AT79" s="40"/>
      <c r="AV79" s="54">
        <v>7140201</v>
      </c>
      <c r="AW79" s="53">
        <v>360</v>
      </c>
      <c r="BJ79" s="40"/>
      <c r="BK79" s="40"/>
      <c r="BN79" s="16"/>
      <c r="BO79" s="16"/>
    </row>
    <row r="80" spans="1:67" s="67" customFormat="1" ht="16.5" customHeight="1" x14ac:dyDescent="0.25">
      <c r="A80" s="16"/>
      <c r="B80" s="68">
        <f>SUBTOTAL(103,$K$2:K80)</f>
        <v>77</v>
      </c>
      <c r="C80" s="53">
        <v>49</v>
      </c>
      <c r="D80" s="53" t="s">
        <v>2118</v>
      </c>
      <c r="E80" s="110" t="s">
        <v>19</v>
      </c>
      <c r="F80" s="110" t="s">
        <v>104</v>
      </c>
      <c r="G80" s="53" t="s">
        <v>4518</v>
      </c>
      <c r="H80" s="99" t="s">
        <v>4516</v>
      </c>
      <c r="I80" s="108" t="s">
        <v>933</v>
      </c>
      <c r="J80" s="108" t="s">
        <v>525</v>
      </c>
      <c r="K80" s="144" t="s">
        <v>3974</v>
      </c>
      <c r="L80" s="110" t="s">
        <v>170</v>
      </c>
      <c r="M80" s="68">
        <v>1</v>
      </c>
      <c r="N80" s="110" t="s">
        <v>150</v>
      </c>
      <c r="O80" s="70" t="s">
        <v>5024</v>
      </c>
      <c r="P80" s="99" t="s">
        <v>3891</v>
      </c>
      <c r="Q80" s="58" t="s">
        <v>26</v>
      </c>
      <c r="R80" s="110">
        <v>2013</v>
      </c>
      <c r="S80" s="110" t="s">
        <v>153</v>
      </c>
      <c r="T80" s="110" t="s">
        <v>384</v>
      </c>
      <c r="U80" s="110"/>
      <c r="V80" s="110" t="s">
        <v>250</v>
      </c>
      <c r="W80" s="110" t="s">
        <v>248</v>
      </c>
      <c r="X80" s="109" t="s">
        <v>3974</v>
      </c>
      <c r="Y80" s="110"/>
      <c r="Z80" s="110"/>
      <c r="AA80" s="58"/>
      <c r="AB80" s="108" t="s">
        <v>858</v>
      </c>
      <c r="AC80" s="108" t="s">
        <v>157</v>
      </c>
      <c r="AD80" s="108" t="s">
        <v>157</v>
      </c>
      <c r="AE80" s="108"/>
      <c r="AF80" s="42" t="s">
        <v>253</v>
      </c>
      <c r="AG80" s="108" t="s">
        <v>2414</v>
      </c>
      <c r="AH80" s="110" t="s">
        <v>155</v>
      </c>
      <c r="AI80" s="108"/>
      <c r="AJ80" s="145" t="s">
        <v>2415</v>
      </c>
      <c r="AK80" s="108" t="s">
        <v>858</v>
      </c>
      <c r="AL80" s="112" t="s">
        <v>2416</v>
      </c>
      <c r="AM80" s="116" t="s">
        <v>2417</v>
      </c>
      <c r="AN80" s="146" t="s">
        <v>2418</v>
      </c>
      <c r="AO80" s="114"/>
      <c r="AP80" s="108"/>
      <c r="AQ80" s="108"/>
      <c r="AR80" s="40"/>
      <c r="AS80" s="40"/>
      <c r="AT80" s="40"/>
      <c r="AV80" s="54">
        <v>7140201</v>
      </c>
      <c r="AW80" s="53">
        <v>361</v>
      </c>
      <c r="BJ80" s="40"/>
      <c r="BK80" s="40"/>
      <c r="BN80" s="16"/>
      <c r="BO80" s="16"/>
    </row>
    <row r="81" spans="1:67" s="67" customFormat="1" ht="16.5" customHeight="1" x14ac:dyDescent="0.25">
      <c r="A81" s="16"/>
      <c r="B81" s="68">
        <f>SUBTOTAL(103,$K$2:K81)</f>
        <v>78</v>
      </c>
      <c r="C81" s="53">
        <v>50</v>
      </c>
      <c r="D81" s="53" t="s">
        <v>2118</v>
      </c>
      <c r="E81" s="99" t="s">
        <v>19</v>
      </c>
      <c r="F81" s="99" t="s">
        <v>104</v>
      </c>
      <c r="G81" s="53" t="s">
        <v>4518</v>
      </c>
      <c r="H81" s="99" t="s">
        <v>4517</v>
      </c>
      <c r="I81" s="58" t="s">
        <v>2419</v>
      </c>
      <c r="J81" s="64" t="s">
        <v>2420</v>
      </c>
      <c r="K81" s="103" t="s">
        <v>3975</v>
      </c>
      <c r="L81" s="99" t="s">
        <v>170</v>
      </c>
      <c r="M81" s="68">
        <v>1</v>
      </c>
      <c r="N81" s="99" t="s">
        <v>150</v>
      </c>
      <c r="O81" s="70" t="s">
        <v>5024</v>
      </c>
      <c r="P81" s="99" t="s">
        <v>3891</v>
      </c>
      <c r="Q81" s="100" t="s">
        <v>3339</v>
      </c>
      <c r="R81" s="53">
        <v>2016</v>
      </c>
      <c r="S81" s="99" t="s">
        <v>153</v>
      </c>
      <c r="T81" s="123">
        <v>7.5</v>
      </c>
      <c r="U81" s="53"/>
      <c r="V81" s="53"/>
      <c r="W81" s="53"/>
      <c r="X81" s="103" t="s">
        <v>3975</v>
      </c>
      <c r="Y81" s="53"/>
      <c r="Z81" s="68"/>
      <c r="AA81" s="58"/>
      <c r="AB81" s="64" t="s">
        <v>156</v>
      </c>
      <c r="AC81" s="104"/>
      <c r="AD81" s="58"/>
      <c r="AE81" s="104" t="s">
        <v>157</v>
      </c>
      <c r="AF81" s="105"/>
      <c r="AG81" s="100" t="s">
        <v>2421</v>
      </c>
      <c r="AH81" s="99" t="s">
        <v>155</v>
      </c>
      <c r="AI81" s="58"/>
      <c r="AJ81" s="147" t="s">
        <v>2422</v>
      </c>
      <c r="AK81" s="104" t="s">
        <v>156</v>
      </c>
      <c r="AL81" s="117" t="s">
        <v>413</v>
      </c>
      <c r="AM81" s="118" t="s">
        <v>2423</v>
      </c>
      <c r="AN81" s="147" t="s">
        <v>2424</v>
      </c>
      <c r="AQ81" s="64"/>
      <c r="AR81" s="126"/>
      <c r="AV81" s="54">
        <v>7140201</v>
      </c>
      <c r="AW81" s="53">
        <v>362</v>
      </c>
      <c r="BJ81" s="40"/>
      <c r="BK81" s="40"/>
      <c r="BN81" s="16"/>
      <c r="BO81" s="16"/>
    </row>
    <row r="82" spans="1:67" s="67" customFormat="1" ht="16.5" customHeight="1" x14ac:dyDescent="0.25">
      <c r="A82" s="16"/>
      <c r="B82" s="55"/>
      <c r="C82" s="59"/>
      <c r="D82" s="53"/>
      <c r="E82" s="68"/>
      <c r="F82" s="49"/>
      <c r="G82" s="49"/>
      <c r="H82" s="49"/>
      <c r="I82" s="165" t="s">
        <v>650</v>
      </c>
      <c r="J82" s="49"/>
      <c r="K82" s="75"/>
      <c r="L82" s="59"/>
      <c r="M82" s="59"/>
      <c r="N82" s="59"/>
      <c r="O82" s="73"/>
      <c r="P82" s="59"/>
      <c r="Q82" s="73"/>
      <c r="R82" s="59"/>
      <c r="S82" s="59"/>
      <c r="T82" s="59"/>
      <c r="U82" s="59"/>
      <c r="V82" s="59"/>
      <c r="W82" s="59"/>
      <c r="X82" s="75"/>
      <c r="Y82" s="59"/>
      <c r="Z82" s="59"/>
      <c r="AA82" s="58"/>
      <c r="AB82" s="76"/>
      <c r="AC82" s="59"/>
      <c r="AD82" s="59"/>
      <c r="AE82" s="59"/>
      <c r="AF82" s="59"/>
      <c r="AG82" s="73"/>
      <c r="AH82" s="59"/>
      <c r="AI82" s="59"/>
      <c r="AJ82" s="77"/>
      <c r="AK82" s="68"/>
      <c r="AL82" s="59"/>
      <c r="AM82" s="64"/>
      <c r="AN82" s="78"/>
      <c r="AO82" s="59"/>
      <c r="AP82" s="64"/>
      <c r="AQ82" s="58"/>
      <c r="AR82" s="38"/>
      <c r="AT82" s="40"/>
      <c r="AU82" s="40"/>
      <c r="AV82" s="54">
        <v>7140202</v>
      </c>
      <c r="AW82" s="53">
        <v>73</v>
      </c>
      <c r="AY82" s="40"/>
      <c r="AZ82" s="40"/>
      <c r="BI82" s="36"/>
      <c r="BJ82" s="36"/>
      <c r="BK82" s="37"/>
      <c r="BN82" s="16"/>
      <c r="BO82" s="16"/>
    </row>
    <row r="83" spans="1:67" s="67" customFormat="1" ht="16.5" customHeight="1" x14ac:dyDescent="0.25">
      <c r="A83" s="16"/>
      <c r="B83" s="68">
        <f>SUBTOTAL(103,$K$83:K83)</f>
        <v>1</v>
      </c>
      <c r="C83" s="59" t="s">
        <v>146</v>
      </c>
      <c r="D83" s="53" t="s">
        <v>158</v>
      </c>
      <c r="E83" s="68" t="s">
        <v>19</v>
      </c>
      <c r="F83" s="53" t="s">
        <v>105</v>
      </c>
      <c r="G83" s="53" t="s">
        <v>4519</v>
      </c>
      <c r="H83" s="53" t="s">
        <v>4520</v>
      </c>
      <c r="I83" s="58" t="s">
        <v>651</v>
      </c>
      <c r="J83" s="58" t="s">
        <v>652</v>
      </c>
      <c r="K83" s="103" t="s">
        <v>3981</v>
      </c>
      <c r="L83" s="68" t="s">
        <v>170</v>
      </c>
      <c r="M83" s="68">
        <v>1</v>
      </c>
      <c r="N83" s="68" t="s">
        <v>150</v>
      </c>
      <c r="O83" s="58" t="s">
        <v>5025</v>
      </c>
      <c r="P83" s="53" t="s">
        <v>3891</v>
      </c>
      <c r="Q83" s="73" t="s">
        <v>26</v>
      </c>
      <c r="R83" s="53">
        <v>2015</v>
      </c>
      <c r="S83" s="53" t="s">
        <v>153</v>
      </c>
      <c r="T83" s="53" t="s">
        <v>653</v>
      </c>
      <c r="U83" s="53" t="s">
        <v>481</v>
      </c>
      <c r="V83" s="53" t="s">
        <v>654</v>
      </c>
      <c r="W83" s="59" t="s">
        <v>248</v>
      </c>
      <c r="X83" s="57" t="s">
        <v>3981</v>
      </c>
      <c r="Y83" s="59"/>
      <c r="Z83" s="53"/>
      <c r="AA83" s="58"/>
      <c r="AB83" s="76" t="s">
        <v>655</v>
      </c>
      <c r="AC83" s="53" t="s">
        <v>157</v>
      </c>
      <c r="AD83" s="53" t="s">
        <v>157</v>
      </c>
      <c r="AE83" s="58">
        <v>5</v>
      </c>
      <c r="AF83" s="148"/>
      <c r="AG83" s="74" t="s">
        <v>656</v>
      </c>
      <c r="AH83" s="53" t="s">
        <v>155</v>
      </c>
      <c r="AI83" s="58"/>
      <c r="AJ83" s="61" t="s">
        <v>657</v>
      </c>
      <c r="AK83" s="68" t="s">
        <v>156</v>
      </c>
      <c r="AL83" s="59" t="s">
        <v>436</v>
      </c>
      <c r="AM83" s="74" t="s">
        <v>658</v>
      </c>
      <c r="AN83" s="65" t="s">
        <v>659</v>
      </c>
      <c r="AO83" s="53" t="s">
        <v>164</v>
      </c>
      <c r="AP83" s="64"/>
      <c r="AQ83" s="58" t="s">
        <v>660</v>
      </c>
      <c r="AR83" s="38"/>
      <c r="AT83" s="40"/>
      <c r="AU83" s="40"/>
      <c r="AV83" s="54">
        <v>7140202</v>
      </c>
      <c r="AW83" s="53">
        <v>74</v>
      </c>
      <c r="AY83" s="40"/>
      <c r="AZ83" s="40"/>
      <c r="BI83" s="36"/>
      <c r="BJ83" s="36"/>
      <c r="BK83" s="37"/>
      <c r="BN83" s="16"/>
      <c r="BO83" s="16"/>
    </row>
    <row r="84" spans="1:67" s="67" customFormat="1" ht="16.5" customHeight="1" x14ac:dyDescent="0.25">
      <c r="A84" s="16"/>
      <c r="B84" s="68">
        <f>SUBTOTAL(103,$K$83:K84)</f>
        <v>2</v>
      </c>
      <c r="C84" s="59" t="s">
        <v>167</v>
      </c>
      <c r="D84" s="53" t="s">
        <v>158</v>
      </c>
      <c r="E84" s="68" t="s">
        <v>19</v>
      </c>
      <c r="F84" s="59" t="s">
        <v>105</v>
      </c>
      <c r="G84" s="53" t="s">
        <v>4519</v>
      </c>
      <c r="H84" s="53" t="s">
        <v>4521</v>
      </c>
      <c r="I84" s="73" t="s">
        <v>182</v>
      </c>
      <c r="J84" s="74" t="s">
        <v>342</v>
      </c>
      <c r="K84" s="75" t="s">
        <v>3982</v>
      </c>
      <c r="L84" s="59" t="s">
        <v>170</v>
      </c>
      <c r="M84" s="68">
        <v>1</v>
      </c>
      <c r="N84" s="59" t="s">
        <v>150</v>
      </c>
      <c r="O84" s="58" t="s">
        <v>5025</v>
      </c>
      <c r="P84" s="53" t="s">
        <v>3891</v>
      </c>
      <c r="Q84" s="73" t="s">
        <v>23</v>
      </c>
      <c r="R84" s="59" t="s">
        <v>152</v>
      </c>
      <c r="S84" s="59" t="s">
        <v>236</v>
      </c>
      <c r="T84" s="59" t="s">
        <v>661</v>
      </c>
      <c r="U84" s="59" t="s">
        <v>662</v>
      </c>
      <c r="V84" s="59" t="s">
        <v>411</v>
      </c>
      <c r="W84" s="59" t="s">
        <v>153</v>
      </c>
      <c r="X84" s="75" t="s">
        <v>3982</v>
      </c>
      <c r="Y84" s="59"/>
      <c r="Z84" s="59"/>
      <c r="AA84" s="58"/>
      <c r="AB84" s="76" t="s">
        <v>156</v>
      </c>
      <c r="AC84" s="59"/>
      <c r="AD84" s="59" t="s">
        <v>157</v>
      </c>
      <c r="AE84" s="59"/>
      <c r="AF84" s="59"/>
      <c r="AG84" s="59" t="s">
        <v>444</v>
      </c>
      <c r="AH84" s="59" t="s">
        <v>155</v>
      </c>
      <c r="AI84" s="59"/>
      <c r="AJ84" s="166" t="s">
        <v>663</v>
      </c>
      <c r="AK84" s="68" t="s">
        <v>156</v>
      </c>
      <c r="AL84" s="71" t="s">
        <v>229</v>
      </c>
      <c r="AM84" s="102" t="s">
        <v>664</v>
      </c>
      <c r="AN84" s="155" t="s">
        <v>665</v>
      </c>
      <c r="AO84" s="71" t="s">
        <v>164</v>
      </c>
      <c r="AP84" s="66" t="s">
        <v>666</v>
      </c>
      <c r="AQ84" s="67" t="s">
        <v>193</v>
      </c>
      <c r="AR84" s="38"/>
      <c r="AT84" s="40"/>
      <c r="AU84" s="40"/>
      <c r="AV84" s="54">
        <v>7140202</v>
      </c>
      <c r="AW84" s="53">
        <v>75</v>
      </c>
      <c r="AY84" s="40"/>
      <c r="AZ84" s="40"/>
      <c r="BI84" s="36"/>
      <c r="BJ84" s="36"/>
      <c r="BK84" s="37"/>
      <c r="BN84" s="16"/>
      <c r="BO84" s="16"/>
    </row>
    <row r="85" spans="1:67" s="67" customFormat="1" ht="16.5" customHeight="1" x14ac:dyDescent="0.25">
      <c r="A85" s="16"/>
      <c r="B85" s="68">
        <f>SUBTOTAL(103,$K$83:K85)</f>
        <v>3</v>
      </c>
      <c r="C85" s="59" t="s">
        <v>181</v>
      </c>
      <c r="D85" s="53" t="s">
        <v>158</v>
      </c>
      <c r="E85" s="53" t="s">
        <v>19</v>
      </c>
      <c r="F85" s="53" t="s">
        <v>105</v>
      </c>
      <c r="G85" s="53" t="s">
        <v>4519</v>
      </c>
      <c r="H85" s="53" t="s">
        <v>4522</v>
      </c>
      <c r="I85" s="58" t="s">
        <v>524</v>
      </c>
      <c r="J85" s="58" t="s">
        <v>667</v>
      </c>
      <c r="K85" s="103" t="s">
        <v>3983</v>
      </c>
      <c r="L85" s="53" t="s">
        <v>170</v>
      </c>
      <c r="M85" s="68">
        <v>1</v>
      </c>
      <c r="N85" s="53" t="s">
        <v>150</v>
      </c>
      <c r="O85" s="58" t="s">
        <v>5025</v>
      </c>
      <c r="P85" s="53" t="s">
        <v>3891</v>
      </c>
      <c r="Q85" s="58" t="s">
        <v>27</v>
      </c>
      <c r="R85" s="53">
        <v>2010</v>
      </c>
      <c r="S85" s="53" t="s">
        <v>236</v>
      </c>
      <c r="T85" s="53" t="s">
        <v>668</v>
      </c>
      <c r="U85" s="53"/>
      <c r="V85" s="53"/>
      <c r="W85" s="59"/>
      <c r="X85" s="57" t="s">
        <v>3983</v>
      </c>
      <c r="Y85" s="59"/>
      <c r="Z85" s="53"/>
      <c r="AA85" s="58"/>
      <c r="AB85" s="76" t="s">
        <v>156</v>
      </c>
      <c r="AC85" s="58"/>
      <c r="AD85" s="53"/>
      <c r="AE85" s="53"/>
      <c r="AF85" s="148"/>
      <c r="AG85" s="58" t="s">
        <v>669</v>
      </c>
      <c r="AH85" s="53" t="s">
        <v>155</v>
      </c>
      <c r="AI85" s="58"/>
      <c r="AJ85" s="167" t="s">
        <v>670</v>
      </c>
      <c r="AK85" s="68" t="s">
        <v>156</v>
      </c>
      <c r="AL85" s="63" t="s">
        <v>671</v>
      </c>
      <c r="AM85" s="79" t="s">
        <v>672</v>
      </c>
      <c r="AN85" s="157" t="s">
        <v>673</v>
      </c>
      <c r="AO85" s="152" t="s">
        <v>164</v>
      </c>
      <c r="AP85" s="66" t="s">
        <v>674</v>
      </c>
      <c r="AQ85" s="67" t="s">
        <v>277</v>
      </c>
      <c r="AR85" s="38"/>
      <c r="AT85" s="40"/>
      <c r="AU85" s="40"/>
      <c r="AV85" s="54">
        <v>7140202</v>
      </c>
      <c r="AW85" s="53">
        <v>76</v>
      </c>
      <c r="AY85" s="40"/>
      <c r="AZ85" s="40"/>
      <c r="BI85" s="36"/>
      <c r="BJ85" s="36"/>
      <c r="BK85" s="37"/>
      <c r="BN85" s="16"/>
      <c r="BO85" s="16"/>
    </row>
    <row r="86" spans="1:67" s="67" customFormat="1" ht="16.5" customHeight="1" x14ac:dyDescent="0.25">
      <c r="A86" s="16"/>
      <c r="B86" s="68">
        <f>SUBTOTAL(103,$K$83:K86)</f>
        <v>4</v>
      </c>
      <c r="C86" s="59" t="s">
        <v>194</v>
      </c>
      <c r="D86" s="53" t="s">
        <v>158</v>
      </c>
      <c r="E86" s="68" t="s">
        <v>19</v>
      </c>
      <c r="F86" s="53" t="s">
        <v>106</v>
      </c>
      <c r="G86" s="53" t="s">
        <v>4519</v>
      </c>
      <c r="H86" s="53" t="s">
        <v>4523</v>
      </c>
      <c r="I86" s="58" t="s">
        <v>675</v>
      </c>
      <c r="J86" s="58" t="s">
        <v>676</v>
      </c>
      <c r="K86" s="103" t="s">
        <v>3984</v>
      </c>
      <c r="L86" s="53" t="s">
        <v>170</v>
      </c>
      <c r="M86" s="68">
        <v>1</v>
      </c>
      <c r="N86" s="68" t="s">
        <v>150</v>
      </c>
      <c r="O86" s="58" t="s">
        <v>5025</v>
      </c>
      <c r="P86" s="53" t="s">
        <v>3891</v>
      </c>
      <c r="Q86" s="58" t="s">
        <v>35</v>
      </c>
      <c r="R86" s="53">
        <v>2025</v>
      </c>
      <c r="S86" s="68" t="s">
        <v>236</v>
      </c>
      <c r="T86" s="53" t="s">
        <v>260</v>
      </c>
      <c r="U86" s="53" t="s">
        <v>461</v>
      </c>
      <c r="V86" s="53" t="s">
        <v>186</v>
      </c>
      <c r="W86" s="59" t="s">
        <v>153</v>
      </c>
      <c r="X86" s="57" t="s">
        <v>3984</v>
      </c>
      <c r="Y86" s="59"/>
      <c r="Z86" s="53"/>
      <c r="AA86" s="58"/>
      <c r="AB86" s="76" t="s">
        <v>156</v>
      </c>
      <c r="AC86" s="58" t="s">
        <v>157</v>
      </c>
      <c r="AD86" s="53" t="s">
        <v>157</v>
      </c>
      <c r="AE86" s="58"/>
      <c r="AF86" s="148"/>
      <c r="AG86" s="59" t="s">
        <v>519</v>
      </c>
      <c r="AH86" s="53" t="s">
        <v>155</v>
      </c>
      <c r="AI86" s="58"/>
      <c r="AJ86" s="167" t="s">
        <v>677</v>
      </c>
      <c r="AK86" s="68" t="s">
        <v>156</v>
      </c>
      <c r="AL86" s="71" t="s">
        <v>436</v>
      </c>
      <c r="AM86" s="64" t="s">
        <v>678</v>
      </c>
      <c r="AN86" s="157" t="s">
        <v>679</v>
      </c>
      <c r="AO86" s="152" t="s">
        <v>164</v>
      </c>
      <c r="AP86" s="66"/>
      <c r="AQ86" s="67" t="s">
        <v>680</v>
      </c>
      <c r="AR86" s="38"/>
      <c r="AT86" s="40"/>
      <c r="AU86" s="40"/>
      <c r="AV86" s="54">
        <v>7140202</v>
      </c>
      <c r="AW86" s="53">
        <v>77</v>
      </c>
      <c r="AY86" s="40"/>
      <c r="AZ86" s="40"/>
      <c r="BI86" s="36"/>
      <c r="BJ86" s="36"/>
      <c r="BK86" s="37"/>
      <c r="BN86" s="16"/>
      <c r="BO86" s="16"/>
    </row>
    <row r="87" spans="1:67" s="67" customFormat="1" ht="16.5" customHeight="1" x14ac:dyDescent="0.25">
      <c r="A87" s="16"/>
      <c r="B87" s="68">
        <f>SUBTOTAL(103,$K$83:K87)</f>
        <v>5</v>
      </c>
      <c r="C87" s="59" t="s">
        <v>203</v>
      </c>
      <c r="D87" s="53" t="s">
        <v>158</v>
      </c>
      <c r="E87" s="53" t="s">
        <v>19</v>
      </c>
      <c r="F87" s="53" t="s">
        <v>106</v>
      </c>
      <c r="G87" s="53" t="s">
        <v>4519</v>
      </c>
      <c r="H87" s="53" t="s">
        <v>4524</v>
      </c>
      <c r="I87" s="58" t="s">
        <v>681</v>
      </c>
      <c r="J87" s="58" t="s">
        <v>676</v>
      </c>
      <c r="K87" s="103" t="s">
        <v>3985</v>
      </c>
      <c r="L87" s="53" t="s">
        <v>170</v>
      </c>
      <c r="M87" s="68">
        <v>1</v>
      </c>
      <c r="N87" s="53" t="s">
        <v>150</v>
      </c>
      <c r="O87" s="58" t="s">
        <v>5025</v>
      </c>
      <c r="P87" s="53" t="s">
        <v>3891</v>
      </c>
      <c r="Q87" s="58" t="s">
        <v>682</v>
      </c>
      <c r="R87" s="53">
        <v>2025</v>
      </c>
      <c r="S87" s="68" t="s">
        <v>153</v>
      </c>
      <c r="T87" s="53" t="s">
        <v>683</v>
      </c>
      <c r="U87" s="53" t="s">
        <v>684</v>
      </c>
      <c r="V87" s="53" t="s">
        <v>685</v>
      </c>
      <c r="W87" s="59" t="s">
        <v>236</v>
      </c>
      <c r="X87" s="57" t="s">
        <v>3985</v>
      </c>
      <c r="Y87" s="53" t="s">
        <v>686</v>
      </c>
      <c r="Z87" s="53" t="s">
        <v>687</v>
      </c>
      <c r="AA87" s="58"/>
      <c r="AB87" s="76" t="s">
        <v>156</v>
      </c>
      <c r="AC87" s="58" t="s">
        <v>157</v>
      </c>
      <c r="AD87" s="53" t="s">
        <v>157</v>
      </c>
      <c r="AE87" s="53"/>
      <c r="AF87" s="148"/>
      <c r="AG87" s="59" t="s">
        <v>228</v>
      </c>
      <c r="AH87" s="53" t="s">
        <v>155</v>
      </c>
      <c r="AI87" s="58"/>
      <c r="AJ87" s="167" t="s">
        <v>688</v>
      </c>
      <c r="AK87" s="68" t="s">
        <v>156</v>
      </c>
      <c r="AL87" s="63" t="s">
        <v>357</v>
      </c>
      <c r="AM87" s="79" t="s">
        <v>689</v>
      </c>
      <c r="AN87" s="157" t="s">
        <v>690</v>
      </c>
      <c r="AO87" s="152" t="s">
        <v>164</v>
      </c>
      <c r="AP87" s="66"/>
      <c r="AQ87" s="67" t="s">
        <v>224</v>
      </c>
      <c r="AR87" s="38"/>
      <c r="AT87" s="40"/>
      <c r="AU87" s="40"/>
      <c r="AV87" s="54">
        <v>7140202</v>
      </c>
      <c r="AW87" s="53">
        <v>78</v>
      </c>
      <c r="AY87" s="40"/>
      <c r="AZ87" s="40"/>
      <c r="BI87" s="36"/>
      <c r="BJ87" s="36"/>
      <c r="BK87" s="37"/>
      <c r="BN87" s="16"/>
      <c r="BO87" s="16"/>
    </row>
    <row r="88" spans="1:67" s="67" customFormat="1" ht="16.5" customHeight="1" x14ac:dyDescent="0.25">
      <c r="A88" s="16"/>
      <c r="B88" s="68">
        <f>SUBTOTAL(103,$K$83:K88)</f>
        <v>6</v>
      </c>
      <c r="C88" s="59" t="s">
        <v>212</v>
      </c>
      <c r="D88" s="53" t="s">
        <v>158</v>
      </c>
      <c r="E88" s="53" t="s">
        <v>19</v>
      </c>
      <c r="F88" s="53" t="s">
        <v>106</v>
      </c>
      <c r="G88" s="53" t="s">
        <v>4519</v>
      </c>
      <c r="H88" s="53" t="s">
        <v>4525</v>
      </c>
      <c r="I88" s="58" t="s">
        <v>691</v>
      </c>
      <c r="J88" s="58" t="s">
        <v>692</v>
      </c>
      <c r="K88" s="103" t="s">
        <v>3986</v>
      </c>
      <c r="L88" s="53" t="s">
        <v>170</v>
      </c>
      <c r="M88" s="68">
        <v>1</v>
      </c>
      <c r="N88" s="68" t="s">
        <v>150</v>
      </c>
      <c r="O88" s="58" t="s">
        <v>5025</v>
      </c>
      <c r="P88" s="53" t="s">
        <v>3891</v>
      </c>
      <c r="Q88" s="58" t="s">
        <v>682</v>
      </c>
      <c r="R88" s="53">
        <v>2025</v>
      </c>
      <c r="S88" s="53" t="s">
        <v>153</v>
      </c>
      <c r="T88" s="53" t="s">
        <v>271</v>
      </c>
      <c r="U88" s="53"/>
      <c r="V88" s="53" t="s">
        <v>693</v>
      </c>
      <c r="W88" s="53" t="s">
        <v>236</v>
      </c>
      <c r="X88" s="57" t="s">
        <v>3986</v>
      </c>
      <c r="Y88" s="59" t="s">
        <v>694</v>
      </c>
      <c r="Z88" s="53" t="s">
        <v>695</v>
      </c>
      <c r="AA88" s="58"/>
      <c r="AB88" s="76" t="s">
        <v>156</v>
      </c>
      <c r="AC88" s="58" t="s">
        <v>157</v>
      </c>
      <c r="AD88" s="53" t="s">
        <v>157</v>
      </c>
      <c r="AE88" s="53"/>
      <c r="AF88" s="148"/>
      <c r="AG88" s="59" t="s">
        <v>206</v>
      </c>
      <c r="AH88" s="53" t="s">
        <v>155</v>
      </c>
      <c r="AI88" s="58"/>
      <c r="AJ88" s="167" t="s">
        <v>696</v>
      </c>
      <c r="AK88" s="62" t="s">
        <v>156</v>
      </c>
      <c r="AL88" s="71" t="s">
        <v>340</v>
      </c>
      <c r="AM88" s="79" t="s">
        <v>697</v>
      </c>
      <c r="AN88" s="157" t="s">
        <v>698</v>
      </c>
      <c r="AO88" s="152" t="s">
        <v>164</v>
      </c>
      <c r="AP88" s="66"/>
      <c r="AQ88" s="67" t="s">
        <v>334</v>
      </c>
      <c r="AR88" s="38"/>
      <c r="AT88" s="40"/>
      <c r="AU88" s="40"/>
      <c r="AV88" s="54">
        <v>7140202</v>
      </c>
      <c r="AW88" s="53">
        <v>79</v>
      </c>
      <c r="AY88" s="40"/>
      <c r="AZ88" s="40"/>
      <c r="BI88" s="36"/>
      <c r="BJ88" s="36"/>
      <c r="BK88" s="37"/>
      <c r="BN88" s="16"/>
      <c r="BO88" s="16"/>
    </row>
    <row r="89" spans="1:67" s="67" customFormat="1" ht="16.5" customHeight="1" x14ac:dyDescent="0.25">
      <c r="A89" s="16"/>
      <c r="B89" s="68">
        <f>SUBTOTAL(103,$K$83:K89)</f>
        <v>7</v>
      </c>
      <c r="C89" s="59" t="s">
        <v>225</v>
      </c>
      <c r="D89" s="53" t="s">
        <v>158</v>
      </c>
      <c r="E89" s="68" t="s">
        <v>19</v>
      </c>
      <c r="F89" s="59" t="s">
        <v>106</v>
      </c>
      <c r="G89" s="53" t="s">
        <v>4519</v>
      </c>
      <c r="H89" s="53" t="s">
        <v>4526</v>
      </c>
      <c r="I89" s="73" t="s">
        <v>699</v>
      </c>
      <c r="J89" s="74" t="s">
        <v>473</v>
      </c>
      <c r="K89" s="75" t="s">
        <v>3987</v>
      </c>
      <c r="L89" s="59" t="s">
        <v>170</v>
      </c>
      <c r="M89" s="68">
        <v>1</v>
      </c>
      <c r="N89" s="59" t="s">
        <v>150</v>
      </c>
      <c r="O89" s="58" t="s">
        <v>5025</v>
      </c>
      <c r="P89" s="53" t="s">
        <v>3891</v>
      </c>
      <c r="Q89" s="73" t="s">
        <v>29</v>
      </c>
      <c r="R89" s="59" t="s">
        <v>343</v>
      </c>
      <c r="S89" s="59" t="s">
        <v>248</v>
      </c>
      <c r="T89" s="59" t="s">
        <v>518</v>
      </c>
      <c r="U89" s="59" t="s">
        <v>700</v>
      </c>
      <c r="V89" s="59" t="s">
        <v>583</v>
      </c>
      <c r="W89" s="59" t="s">
        <v>153</v>
      </c>
      <c r="X89" s="75" t="s">
        <v>3987</v>
      </c>
      <c r="Y89" s="59"/>
      <c r="Z89" s="59"/>
      <c r="AA89" s="58"/>
      <c r="AB89" s="76" t="s">
        <v>156</v>
      </c>
      <c r="AC89" s="59" t="s">
        <v>157</v>
      </c>
      <c r="AD89" s="59" t="s">
        <v>157</v>
      </c>
      <c r="AE89" s="59"/>
      <c r="AF89" s="59"/>
      <c r="AG89" s="59" t="s">
        <v>206</v>
      </c>
      <c r="AH89" s="59" t="s">
        <v>155</v>
      </c>
      <c r="AI89" s="59"/>
      <c r="AJ89" s="77" t="s">
        <v>701</v>
      </c>
      <c r="AK89" s="68" t="s">
        <v>156</v>
      </c>
      <c r="AL89" s="59" t="s">
        <v>220</v>
      </c>
      <c r="AM89" s="74" t="s">
        <v>702</v>
      </c>
      <c r="AN89" s="78" t="s">
        <v>703</v>
      </c>
      <c r="AO89" s="59" t="s">
        <v>164</v>
      </c>
      <c r="AP89" s="64" t="s">
        <v>704</v>
      </c>
      <c r="AQ89" s="58" t="s">
        <v>166</v>
      </c>
      <c r="AR89" s="38"/>
      <c r="AT89" s="40"/>
      <c r="AU89" s="40"/>
      <c r="AV89" s="54">
        <v>7140202</v>
      </c>
      <c r="AW89" s="53">
        <v>80</v>
      </c>
      <c r="AY89" s="40"/>
      <c r="AZ89" s="40"/>
      <c r="BI89" s="36"/>
      <c r="BJ89" s="36"/>
      <c r="BK89" s="37"/>
      <c r="BN89" s="16"/>
      <c r="BO89" s="16"/>
    </row>
    <row r="90" spans="1:67" s="67" customFormat="1" ht="16.5" customHeight="1" x14ac:dyDescent="0.25">
      <c r="A90" s="16"/>
      <c r="B90" s="68">
        <f>SUBTOTAL(103,$K$83:K90)</f>
        <v>8</v>
      </c>
      <c r="C90" s="59" t="s">
        <v>233</v>
      </c>
      <c r="D90" s="53" t="s">
        <v>158</v>
      </c>
      <c r="E90" s="68" t="s">
        <v>19</v>
      </c>
      <c r="F90" s="59" t="s">
        <v>106</v>
      </c>
      <c r="G90" s="53" t="s">
        <v>4519</v>
      </c>
      <c r="H90" s="53" t="s">
        <v>4527</v>
      </c>
      <c r="I90" s="58" t="s">
        <v>472</v>
      </c>
      <c r="J90" s="58" t="s">
        <v>304</v>
      </c>
      <c r="K90" s="234" t="s">
        <v>3988</v>
      </c>
      <c r="L90" s="59" t="s">
        <v>170</v>
      </c>
      <c r="M90" s="68">
        <v>1</v>
      </c>
      <c r="N90" s="59" t="s">
        <v>150</v>
      </c>
      <c r="O90" s="58" t="s">
        <v>5025</v>
      </c>
      <c r="P90" s="53" t="s">
        <v>3891</v>
      </c>
      <c r="Q90" s="85" t="s">
        <v>35</v>
      </c>
      <c r="R90" s="68">
        <v>2024</v>
      </c>
      <c r="S90" s="59" t="s">
        <v>236</v>
      </c>
      <c r="T90" s="86" t="s">
        <v>661</v>
      </c>
      <c r="U90" s="86" t="s">
        <v>705</v>
      </c>
      <c r="V90" s="68"/>
      <c r="W90" s="59"/>
      <c r="X90" s="81" t="s">
        <v>3988</v>
      </c>
      <c r="Y90" s="59"/>
      <c r="Z90" s="53"/>
      <c r="AA90" s="58"/>
      <c r="AB90" s="76" t="s">
        <v>156</v>
      </c>
      <c r="AC90" s="59"/>
      <c r="AD90" s="59" t="s">
        <v>157</v>
      </c>
      <c r="AE90" s="53"/>
      <c r="AF90" s="148"/>
      <c r="AG90" s="53" t="s">
        <v>706</v>
      </c>
      <c r="AH90" s="59" t="s">
        <v>155</v>
      </c>
      <c r="AI90" s="58"/>
      <c r="AJ90" s="87" t="s">
        <v>707</v>
      </c>
      <c r="AK90" s="68" t="s">
        <v>156</v>
      </c>
      <c r="AL90" s="59" t="s">
        <v>413</v>
      </c>
      <c r="AM90" s="74" t="s">
        <v>708</v>
      </c>
      <c r="AN90" s="65" t="s">
        <v>709</v>
      </c>
      <c r="AO90" s="72" t="s">
        <v>164</v>
      </c>
      <c r="AP90" s="64" t="s">
        <v>192</v>
      </c>
      <c r="AQ90" s="58" t="s">
        <v>180</v>
      </c>
      <c r="AR90" s="38"/>
      <c r="AT90" s="40"/>
      <c r="AU90" s="40"/>
      <c r="AV90" s="54">
        <v>7140202</v>
      </c>
      <c r="AW90" s="53">
        <v>81</v>
      </c>
      <c r="AY90" s="40"/>
      <c r="AZ90" s="40"/>
      <c r="BI90" s="36"/>
      <c r="BJ90" s="36"/>
      <c r="BK90" s="37"/>
      <c r="BN90" s="16"/>
      <c r="BO90" s="16"/>
    </row>
    <row r="91" spans="1:67" s="67" customFormat="1" ht="16.5" customHeight="1" x14ac:dyDescent="0.25">
      <c r="A91" s="16"/>
      <c r="B91" s="68">
        <f>SUBTOTAL(103,$K$83:K91)</f>
        <v>9</v>
      </c>
      <c r="C91" s="59" t="s">
        <v>244</v>
      </c>
      <c r="D91" s="53" t="s">
        <v>158</v>
      </c>
      <c r="E91" s="68" t="s">
        <v>19</v>
      </c>
      <c r="F91" s="68" t="s">
        <v>106</v>
      </c>
      <c r="G91" s="53" t="s">
        <v>4519</v>
      </c>
      <c r="H91" s="53" t="s">
        <v>4528</v>
      </c>
      <c r="I91" s="70" t="s">
        <v>472</v>
      </c>
      <c r="J91" s="70" t="s">
        <v>304</v>
      </c>
      <c r="K91" s="234" t="s">
        <v>3989</v>
      </c>
      <c r="L91" s="68" t="s">
        <v>170</v>
      </c>
      <c r="M91" s="68">
        <v>1</v>
      </c>
      <c r="N91" s="68" t="s">
        <v>150</v>
      </c>
      <c r="O91" s="58" t="s">
        <v>5025</v>
      </c>
      <c r="P91" s="53" t="s">
        <v>3891</v>
      </c>
      <c r="Q91" s="70" t="s">
        <v>23</v>
      </c>
      <c r="R91" s="68">
        <v>2019</v>
      </c>
      <c r="S91" s="68" t="s">
        <v>153</v>
      </c>
      <c r="T91" s="68" t="s">
        <v>710</v>
      </c>
      <c r="U91" s="68"/>
      <c r="V91" s="68" t="s">
        <v>411</v>
      </c>
      <c r="W91" s="59" t="s">
        <v>153</v>
      </c>
      <c r="X91" s="81" t="s">
        <v>3989</v>
      </c>
      <c r="Y91" s="59"/>
      <c r="Z91" s="68"/>
      <c r="AA91" s="58"/>
      <c r="AB91" s="76" t="s">
        <v>156</v>
      </c>
      <c r="AC91" s="70" t="s">
        <v>157</v>
      </c>
      <c r="AD91" s="68" t="s">
        <v>157</v>
      </c>
      <c r="AE91" s="68"/>
      <c r="AF91" s="168"/>
      <c r="AG91" s="70" t="s">
        <v>228</v>
      </c>
      <c r="AH91" s="68" t="s">
        <v>155</v>
      </c>
      <c r="AI91" s="70"/>
      <c r="AJ91" s="87" t="s">
        <v>711</v>
      </c>
      <c r="AK91" s="68" t="s">
        <v>156</v>
      </c>
      <c r="AL91" s="70" t="s">
        <v>712</v>
      </c>
      <c r="AM91" s="89" t="s">
        <v>713</v>
      </c>
      <c r="AN91" s="90" t="s">
        <v>714</v>
      </c>
      <c r="AO91" s="68" t="s">
        <v>164</v>
      </c>
      <c r="AP91" s="89" t="s">
        <v>715</v>
      </c>
      <c r="AQ91" s="70" t="s">
        <v>449</v>
      </c>
      <c r="AR91" s="38"/>
      <c r="AT91" s="40"/>
      <c r="AU91" s="40"/>
      <c r="AV91" s="54">
        <v>7140202</v>
      </c>
      <c r="AW91" s="53">
        <v>82</v>
      </c>
      <c r="AY91" s="40"/>
      <c r="AZ91" s="40"/>
      <c r="BI91" s="36"/>
      <c r="BJ91" s="36"/>
      <c r="BK91" s="37"/>
      <c r="BN91" s="16"/>
      <c r="BO91" s="16"/>
    </row>
    <row r="92" spans="1:67" s="67" customFormat="1" ht="16.5" customHeight="1" x14ac:dyDescent="0.25">
      <c r="A92" s="16"/>
      <c r="B92" s="68">
        <f>SUBTOTAL(103,$K$83:K92)</f>
        <v>10</v>
      </c>
      <c r="C92" s="59" t="s">
        <v>257</v>
      </c>
      <c r="D92" s="53" t="s">
        <v>158</v>
      </c>
      <c r="E92" s="53" t="s">
        <v>19</v>
      </c>
      <c r="F92" s="53" t="s">
        <v>106</v>
      </c>
      <c r="G92" s="53" t="s">
        <v>4519</v>
      </c>
      <c r="H92" s="53" t="s">
        <v>4529</v>
      </c>
      <c r="I92" s="58" t="s">
        <v>716</v>
      </c>
      <c r="J92" s="58" t="s">
        <v>717</v>
      </c>
      <c r="K92" s="103" t="s">
        <v>3990</v>
      </c>
      <c r="L92" s="53" t="s">
        <v>170</v>
      </c>
      <c r="M92" s="68">
        <v>1</v>
      </c>
      <c r="N92" s="53" t="s">
        <v>150</v>
      </c>
      <c r="O92" s="58" t="s">
        <v>5025</v>
      </c>
      <c r="P92" s="53" t="s">
        <v>3891</v>
      </c>
      <c r="Q92" s="58" t="s">
        <v>23</v>
      </c>
      <c r="R92" s="53">
        <v>2025</v>
      </c>
      <c r="S92" s="53" t="s">
        <v>236</v>
      </c>
      <c r="T92" s="53" t="s">
        <v>718</v>
      </c>
      <c r="U92" s="53"/>
      <c r="V92" s="53" t="s">
        <v>548</v>
      </c>
      <c r="W92" s="53" t="s">
        <v>153</v>
      </c>
      <c r="X92" s="57" t="s">
        <v>3990</v>
      </c>
      <c r="Y92" s="53"/>
      <c r="Z92" s="53"/>
      <c r="AA92" s="58"/>
      <c r="AB92" s="76" t="s">
        <v>156</v>
      </c>
      <c r="AC92" s="58" t="s">
        <v>157</v>
      </c>
      <c r="AD92" s="68" t="s">
        <v>157</v>
      </c>
      <c r="AE92" s="58"/>
      <c r="AF92" s="58"/>
      <c r="AG92" s="58" t="s">
        <v>719</v>
      </c>
      <c r="AH92" s="68" t="s">
        <v>155</v>
      </c>
      <c r="AI92" s="58"/>
      <c r="AJ92" s="61" t="s">
        <v>720</v>
      </c>
      <c r="AK92" s="68" t="s">
        <v>156</v>
      </c>
      <c r="AL92" s="58" t="s">
        <v>413</v>
      </c>
      <c r="AM92" s="64" t="s">
        <v>477</v>
      </c>
      <c r="AN92" s="65" t="s">
        <v>721</v>
      </c>
      <c r="AO92" s="53" t="s">
        <v>164</v>
      </c>
      <c r="AP92" s="64"/>
      <c r="AQ92" s="58" t="s">
        <v>554</v>
      </c>
      <c r="AR92" s="38"/>
      <c r="AT92" s="40"/>
      <c r="AU92" s="40"/>
      <c r="AV92" s="54">
        <v>7140202</v>
      </c>
      <c r="AW92" s="53">
        <v>83</v>
      </c>
      <c r="AY92" s="40"/>
      <c r="AZ92" s="40"/>
      <c r="BI92" s="36"/>
      <c r="BJ92" s="36"/>
      <c r="BK92" s="37"/>
      <c r="BN92" s="16"/>
      <c r="BO92" s="16"/>
    </row>
    <row r="93" spans="1:67" s="67" customFormat="1" ht="16.5" customHeight="1" x14ac:dyDescent="0.25">
      <c r="A93" s="16"/>
      <c r="B93" s="68">
        <f>SUBTOTAL(103,$K$83:K93)</f>
        <v>11</v>
      </c>
      <c r="C93" s="59" t="s">
        <v>268</v>
      </c>
      <c r="D93" s="53" t="s">
        <v>158</v>
      </c>
      <c r="E93" s="53" t="s">
        <v>19</v>
      </c>
      <c r="F93" s="53" t="s">
        <v>106</v>
      </c>
      <c r="G93" s="53" t="s">
        <v>4519</v>
      </c>
      <c r="H93" s="53" t="s">
        <v>4530</v>
      </c>
      <c r="I93" s="58" t="s">
        <v>182</v>
      </c>
      <c r="J93" s="58" t="s">
        <v>722</v>
      </c>
      <c r="K93" s="103" t="s">
        <v>3991</v>
      </c>
      <c r="L93" s="53" t="s">
        <v>170</v>
      </c>
      <c r="M93" s="68">
        <v>1</v>
      </c>
      <c r="N93" s="53" t="s">
        <v>150</v>
      </c>
      <c r="O93" s="58" t="s">
        <v>5025</v>
      </c>
      <c r="P93" s="53" t="s">
        <v>3891</v>
      </c>
      <c r="Q93" s="58" t="s">
        <v>29</v>
      </c>
      <c r="R93" s="53">
        <v>2015</v>
      </c>
      <c r="S93" s="53" t="s">
        <v>723</v>
      </c>
      <c r="T93" s="53" t="s">
        <v>216</v>
      </c>
      <c r="U93" s="53"/>
      <c r="V93" s="53" t="s">
        <v>384</v>
      </c>
      <c r="W93" s="53" t="s">
        <v>153</v>
      </c>
      <c r="X93" s="57" t="s">
        <v>3991</v>
      </c>
      <c r="Y93" s="53"/>
      <c r="Z93" s="53"/>
      <c r="AA93" s="58"/>
      <c r="AB93" s="76" t="s">
        <v>156</v>
      </c>
      <c r="AC93" s="58" t="s">
        <v>157</v>
      </c>
      <c r="AD93" s="58" t="s">
        <v>157</v>
      </c>
      <c r="AE93" s="58"/>
      <c r="AF93" s="58">
        <v>3</v>
      </c>
      <c r="AG93" s="64" t="s">
        <v>228</v>
      </c>
      <c r="AH93" s="53" t="s">
        <v>155</v>
      </c>
      <c r="AI93" s="58"/>
      <c r="AJ93" s="61" t="s">
        <v>724</v>
      </c>
      <c r="AK93" s="68" t="s">
        <v>156</v>
      </c>
      <c r="AL93" s="58" t="s">
        <v>725</v>
      </c>
      <c r="AM93" s="64" t="s">
        <v>726</v>
      </c>
      <c r="AN93" s="65" t="s">
        <v>727</v>
      </c>
      <c r="AO93" s="53" t="s">
        <v>164</v>
      </c>
      <c r="AP93" s="64"/>
      <c r="AQ93" s="169" t="s">
        <v>728</v>
      </c>
      <c r="AU93" s="40"/>
      <c r="AV93" s="54">
        <v>7140202</v>
      </c>
      <c r="AW93" s="53">
        <v>84</v>
      </c>
      <c r="BJ93" s="40"/>
      <c r="BK93" s="40"/>
      <c r="BN93" s="16"/>
      <c r="BO93" s="16"/>
    </row>
    <row r="94" spans="1:67" s="67" customFormat="1" ht="16.5" customHeight="1" x14ac:dyDescent="0.25">
      <c r="A94" s="16"/>
      <c r="B94" s="68">
        <f>SUBTOTAL(103,$K$83:K94)</f>
        <v>12</v>
      </c>
      <c r="C94" s="59" t="s">
        <v>278</v>
      </c>
      <c r="D94" s="53" t="s">
        <v>158</v>
      </c>
      <c r="E94" s="53" t="s">
        <v>19</v>
      </c>
      <c r="F94" s="53" t="s">
        <v>106</v>
      </c>
      <c r="G94" s="53" t="s">
        <v>4519</v>
      </c>
      <c r="H94" s="53" t="s">
        <v>4531</v>
      </c>
      <c r="I94" s="58" t="s">
        <v>729</v>
      </c>
      <c r="J94" s="58" t="s">
        <v>730</v>
      </c>
      <c r="K94" s="103" t="s">
        <v>3985</v>
      </c>
      <c r="L94" s="53" t="s">
        <v>170</v>
      </c>
      <c r="M94" s="68">
        <v>1</v>
      </c>
      <c r="N94" s="53" t="s">
        <v>150</v>
      </c>
      <c r="O94" s="58" t="s">
        <v>5025</v>
      </c>
      <c r="P94" s="53" t="s">
        <v>3891</v>
      </c>
      <c r="Q94" s="58" t="s">
        <v>731</v>
      </c>
      <c r="R94" s="53">
        <v>2025</v>
      </c>
      <c r="S94" s="68" t="s">
        <v>236</v>
      </c>
      <c r="T94" s="53" t="s">
        <v>557</v>
      </c>
      <c r="U94" s="53"/>
      <c r="V94" s="53" t="s">
        <v>583</v>
      </c>
      <c r="W94" s="59" t="s">
        <v>153</v>
      </c>
      <c r="X94" s="57" t="s">
        <v>3985</v>
      </c>
      <c r="Y94" s="59"/>
      <c r="Z94" s="53"/>
      <c r="AA94" s="58"/>
      <c r="AB94" s="76" t="s">
        <v>156</v>
      </c>
      <c r="AC94" s="58" t="s">
        <v>157</v>
      </c>
      <c r="AD94" s="58" t="s">
        <v>157</v>
      </c>
      <c r="AE94" s="58"/>
      <c r="AF94" s="148"/>
      <c r="AG94" s="58" t="s">
        <v>732</v>
      </c>
      <c r="AH94" s="53" t="s">
        <v>155</v>
      </c>
      <c r="AI94" s="58"/>
      <c r="AJ94" s="61" t="s">
        <v>733</v>
      </c>
      <c r="AK94" s="68" t="s">
        <v>156</v>
      </c>
      <c r="AL94" s="58" t="s">
        <v>436</v>
      </c>
      <c r="AM94" s="64" t="s">
        <v>734</v>
      </c>
      <c r="AN94" s="65" t="s">
        <v>735</v>
      </c>
      <c r="AO94" s="53" t="s">
        <v>164</v>
      </c>
      <c r="AP94" s="66"/>
      <c r="AQ94" s="58" t="s">
        <v>224</v>
      </c>
      <c r="AR94" s="38"/>
      <c r="AT94" s="40"/>
      <c r="AU94" s="40"/>
      <c r="AV94" s="54">
        <v>7140202</v>
      </c>
      <c r="AW94" s="53">
        <v>85</v>
      </c>
      <c r="AY94" s="40"/>
      <c r="AZ94" s="40"/>
      <c r="BI94" s="36"/>
      <c r="BJ94" s="36"/>
      <c r="BK94" s="37"/>
      <c r="BN94" s="16"/>
      <c r="BO94" s="16"/>
    </row>
    <row r="95" spans="1:67" s="67" customFormat="1" ht="16.5" customHeight="1" x14ac:dyDescent="0.25">
      <c r="A95" s="16"/>
      <c r="B95" s="68">
        <f>SUBTOTAL(103,$K$83:K95)</f>
        <v>13</v>
      </c>
      <c r="C95" s="59" t="s">
        <v>390</v>
      </c>
      <c r="D95" s="53" t="s">
        <v>158</v>
      </c>
      <c r="E95" s="68" t="s">
        <v>19</v>
      </c>
      <c r="F95" s="53" t="s">
        <v>106</v>
      </c>
      <c r="G95" s="53" t="s">
        <v>4519</v>
      </c>
      <c r="H95" s="53" t="s">
        <v>4532</v>
      </c>
      <c r="I95" s="58" t="s">
        <v>736</v>
      </c>
      <c r="J95" s="58" t="s">
        <v>737</v>
      </c>
      <c r="K95" s="103" t="s">
        <v>3992</v>
      </c>
      <c r="L95" s="53" t="s">
        <v>170</v>
      </c>
      <c r="M95" s="68">
        <v>1</v>
      </c>
      <c r="N95" s="68" t="s">
        <v>150</v>
      </c>
      <c r="O95" s="58" t="s">
        <v>5025</v>
      </c>
      <c r="P95" s="53" t="s">
        <v>3891</v>
      </c>
      <c r="Q95" s="58" t="s">
        <v>23</v>
      </c>
      <c r="R95" s="53">
        <v>2021</v>
      </c>
      <c r="S95" s="53" t="s">
        <v>236</v>
      </c>
      <c r="T95" s="53" t="s">
        <v>738</v>
      </c>
      <c r="U95" s="53" t="s">
        <v>739</v>
      </c>
      <c r="V95" s="53"/>
      <c r="W95" s="59"/>
      <c r="X95" s="57" t="s">
        <v>3992</v>
      </c>
      <c r="Y95" s="59"/>
      <c r="Z95" s="53"/>
      <c r="AA95" s="58"/>
      <c r="AB95" s="76" t="s">
        <v>156</v>
      </c>
      <c r="AC95" s="58" t="s">
        <v>157</v>
      </c>
      <c r="AD95" s="53"/>
      <c r="AE95" s="58"/>
      <c r="AF95" s="148"/>
      <c r="AG95" s="59" t="s">
        <v>228</v>
      </c>
      <c r="AH95" s="53" t="s">
        <v>155</v>
      </c>
      <c r="AI95" s="58"/>
      <c r="AJ95" s="61" t="s">
        <v>740</v>
      </c>
      <c r="AK95" s="68" t="s">
        <v>156</v>
      </c>
      <c r="AL95" s="59" t="s">
        <v>413</v>
      </c>
      <c r="AM95" s="64" t="s">
        <v>741</v>
      </c>
      <c r="AN95" s="65" t="s">
        <v>742</v>
      </c>
      <c r="AO95" s="53" t="s">
        <v>164</v>
      </c>
      <c r="AP95" s="89" t="s">
        <v>743</v>
      </c>
      <c r="AQ95" s="106" t="s">
        <v>744</v>
      </c>
      <c r="AR95" s="38"/>
      <c r="AT95" s="40"/>
      <c r="AU95" s="40"/>
      <c r="AV95" s="54">
        <v>7140202</v>
      </c>
      <c r="AW95" s="53">
        <v>86</v>
      </c>
      <c r="AY95" s="40"/>
      <c r="AZ95" s="40"/>
      <c r="BI95" s="36"/>
      <c r="BJ95" s="36"/>
      <c r="BK95" s="37"/>
      <c r="BN95" s="16"/>
      <c r="BO95" s="16"/>
    </row>
    <row r="96" spans="1:67" s="67" customFormat="1" ht="16.5" customHeight="1" x14ac:dyDescent="0.25">
      <c r="A96" s="16"/>
      <c r="B96" s="68">
        <f>SUBTOTAL(103,$K$83:K96)</f>
        <v>14</v>
      </c>
      <c r="C96" s="59" t="s">
        <v>398</v>
      </c>
      <c r="D96" s="53" t="s">
        <v>158</v>
      </c>
      <c r="E96" s="68" t="s">
        <v>19</v>
      </c>
      <c r="F96" s="53" t="s">
        <v>106</v>
      </c>
      <c r="G96" s="53" t="s">
        <v>4519</v>
      </c>
      <c r="H96" s="53" t="s">
        <v>4533</v>
      </c>
      <c r="I96" s="58" t="s">
        <v>745</v>
      </c>
      <c r="J96" s="58" t="s">
        <v>746</v>
      </c>
      <c r="K96" s="103" t="s">
        <v>3993</v>
      </c>
      <c r="L96" s="68" t="s">
        <v>170</v>
      </c>
      <c r="M96" s="68">
        <v>1</v>
      </c>
      <c r="N96" s="68" t="s">
        <v>150</v>
      </c>
      <c r="O96" s="58" t="s">
        <v>5025</v>
      </c>
      <c r="P96" s="53" t="s">
        <v>3891</v>
      </c>
      <c r="Q96" s="58" t="s">
        <v>32</v>
      </c>
      <c r="R96" s="53">
        <v>2013</v>
      </c>
      <c r="S96" s="68" t="s">
        <v>236</v>
      </c>
      <c r="T96" s="53" t="s">
        <v>747</v>
      </c>
      <c r="U96" s="53" t="s">
        <v>748</v>
      </c>
      <c r="V96" s="53" t="s">
        <v>282</v>
      </c>
      <c r="W96" s="59" t="s">
        <v>153</v>
      </c>
      <c r="X96" s="57" t="s">
        <v>3993</v>
      </c>
      <c r="Y96" s="59"/>
      <c r="Z96" s="53"/>
      <c r="AA96" s="58"/>
      <c r="AB96" s="76" t="s">
        <v>156</v>
      </c>
      <c r="AC96" s="53" t="s">
        <v>157</v>
      </c>
      <c r="AD96" s="53" t="s">
        <v>157</v>
      </c>
      <c r="AE96" s="58"/>
      <c r="AF96" s="148"/>
      <c r="AG96" s="74" t="s">
        <v>228</v>
      </c>
      <c r="AH96" s="53" t="s">
        <v>155</v>
      </c>
      <c r="AI96" s="58"/>
      <c r="AJ96" s="61" t="s">
        <v>749</v>
      </c>
      <c r="AK96" s="68" t="s">
        <v>156</v>
      </c>
      <c r="AL96" s="59" t="s">
        <v>436</v>
      </c>
      <c r="AM96" s="74" t="s">
        <v>750</v>
      </c>
      <c r="AN96" s="65" t="s">
        <v>751</v>
      </c>
      <c r="AO96" s="53" t="s">
        <v>164</v>
      </c>
      <c r="AP96" s="64"/>
      <c r="AQ96" s="58" t="s">
        <v>471</v>
      </c>
      <c r="AR96" s="38"/>
      <c r="AT96" s="40"/>
      <c r="AU96" s="40"/>
      <c r="AV96" s="54">
        <v>7140202</v>
      </c>
      <c r="AW96" s="53">
        <v>87</v>
      </c>
      <c r="AY96" s="40"/>
      <c r="AZ96" s="40"/>
      <c r="BI96" s="36"/>
      <c r="BJ96" s="36"/>
      <c r="BK96" s="37"/>
      <c r="BN96" s="16"/>
      <c r="BO96" s="16"/>
    </row>
    <row r="97" spans="1:67" s="67" customFormat="1" ht="16.5" customHeight="1" x14ac:dyDescent="0.25">
      <c r="A97" s="16"/>
      <c r="B97" s="68">
        <f>SUBTOTAL(103,$K$83:K97)</f>
        <v>15</v>
      </c>
      <c r="C97" s="59" t="s">
        <v>407</v>
      </c>
      <c r="D97" s="53" t="s">
        <v>158</v>
      </c>
      <c r="E97" s="53" t="s">
        <v>19</v>
      </c>
      <c r="F97" s="53" t="s">
        <v>106</v>
      </c>
      <c r="G97" s="53" t="s">
        <v>4519</v>
      </c>
      <c r="H97" s="53" t="s">
        <v>4534</v>
      </c>
      <c r="I97" s="58" t="s">
        <v>182</v>
      </c>
      <c r="J97" s="58" t="s">
        <v>752</v>
      </c>
      <c r="K97" s="103" t="s">
        <v>3994</v>
      </c>
      <c r="L97" s="53" t="s">
        <v>149</v>
      </c>
      <c r="M97" s="53">
        <v>0</v>
      </c>
      <c r="N97" s="53" t="s">
        <v>150</v>
      </c>
      <c r="O97" s="58" t="s">
        <v>5025</v>
      </c>
      <c r="P97" s="53" t="s">
        <v>3891</v>
      </c>
      <c r="Q97" s="58" t="s">
        <v>753</v>
      </c>
      <c r="R97" s="53">
        <v>2022</v>
      </c>
      <c r="S97" s="53" t="s">
        <v>248</v>
      </c>
      <c r="T97" s="53" t="s">
        <v>754</v>
      </c>
      <c r="U97" s="53"/>
      <c r="V97" s="53" t="s">
        <v>186</v>
      </c>
      <c r="W97" s="53" t="s">
        <v>153</v>
      </c>
      <c r="X97" s="57" t="s">
        <v>3994</v>
      </c>
      <c r="Y97" s="53"/>
      <c r="Z97" s="53"/>
      <c r="AA97" s="58"/>
      <c r="AB97" s="76" t="s">
        <v>156</v>
      </c>
      <c r="AC97" s="58" t="s">
        <v>157</v>
      </c>
      <c r="AD97" s="58"/>
      <c r="AE97" s="58"/>
      <c r="AF97" s="58"/>
      <c r="AG97" s="64" t="s">
        <v>228</v>
      </c>
      <c r="AH97" s="53" t="s">
        <v>155</v>
      </c>
      <c r="AI97" s="58"/>
      <c r="AJ97" s="61" t="s">
        <v>755</v>
      </c>
      <c r="AK97" s="68" t="s">
        <v>156</v>
      </c>
      <c r="AL97" s="58" t="s">
        <v>220</v>
      </c>
      <c r="AM97" s="64" t="s">
        <v>756</v>
      </c>
      <c r="AN97" s="65" t="s">
        <v>757</v>
      </c>
      <c r="AO97" s="53" t="s">
        <v>164</v>
      </c>
      <c r="AP97" s="64" t="s">
        <v>758</v>
      </c>
      <c r="AQ97" s="169" t="s">
        <v>406</v>
      </c>
      <c r="AU97" s="40"/>
      <c r="AV97" s="54">
        <v>7140202</v>
      </c>
      <c r="AW97" s="53">
        <v>88</v>
      </c>
      <c r="BJ97" s="40"/>
      <c r="BK97" s="40"/>
      <c r="BN97" s="16"/>
      <c r="BO97" s="16"/>
    </row>
    <row r="98" spans="1:67" s="67" customFormat="1" ht="16.5" customHeight="1" x14ac:dyDescent="0.25">
      <c r="A98" s="16"/>
      <c r="B98" s="68">
        <f>SUBTOTAL(103,$K$83:K98)</f>
        <v>16</v>
      </c>
      <c r="C98" s="59" t="s">
        <v>415</v>
      </c>
      <c r="D98" s="53" t="s">
        <v>158</v>
      </c>
      <c r="E98" s="53" t="s">
        <v>19</v>
      </c>
      <c r="F98" s="53" t="s">
        <v>106</v>
      </c>
      <c r="G98" s="53" t="s">
        <v>4519</v>
      </c>
      <c r="H98" s="53" t="s">
        <v>4535</v>
      </c>
      <c r="I98" s="58" t="s">
        <v>759</v>
      </c>
      <c r="J98" s="58" t="s">
        <v>760</v>
      </c>
      <c r="K98" s="103" t="s">
        <v>3995</v>
      </c>
      <c r="L98" s="53" t="s">
        <v>170</v>
      </c>
      <c r="M98" s="68">
        <v>1</v>
      </c>
      <c r="N98" s="53" t="s">
        <v>150</v>
      </c>
      <c r="O98" s="58" t="s">
        <v>5025</v>
      </c>
      <c r="P98" s="53" t="s">
        <v>3891</v>
      </c>
      <c r="Q98" s="58" t="s">
        <v>32</v>
      </c>
      <c r="R98" s="53">
        <v>2015</v>
      </c>
      <c r="S98" s="53" t="s">
        <v>236</v>
      </c>
      <c r="T98" s="53" t="s">
        <v>510</v>
      </c>
      <c r="U98" s="53" t="s">
        <v>761</v>
      </c>
      <c r="V98" s="53"/>
      <c r="W98" s="53"/>
      <c r="X98" s="57" t="s">
        <v>3995</v>
      </c>
      <c r="Y98" s="53"/>
      <c r="Z98" s="53"/>
      <c r="AA98" s="58"/>
      <c r="AB98" s="76" t="s">
        <v>156</v>
      </c>
      <c r="AC98" s="58" t="s">
        <v>157</v>
      </c>
      <c r="AD98" s="58"/>
      <c r="AE98" s="58"/>
      <c r="AF98" s="58"/>
      <c r="AG98" s="58" t="s">
        <v>762</v>
      </c>
      <c r="AH98" s="53" t="s">
        <v>155</v>
      </c>
      <c r="AI98" s="58"/>
      <c r="AJ98" s="61" t="s">
        <v>763</v>
      </c>
      <c r="AK98" s="68" t="s">
        <v>655</v>
      </c>
      <c r="AL98" s="58" t="s">
        <v>764</v>
      </c>
      <c r="AM98" s="64" t="s">
        <v>765</v>
      </c>
      <c r="AN98" s="65" t="s">
        <v>766</v>
      </c>
      <c r="AO98" s="53" t="s">
        <v>164</v>
      </c>
      <c r="AP98" s="64" t="s">
        <v>767</v>
      </c>
      <c r="AQ98" s="58" t="s">
        <v>267</v>
      </c>
      <c r="AR98" s="38"/>
      <c r="AT98" s="40"/>
      <c r="AU98" s="40"/>
      <c r="AV98" s="54">
        <v>7140202</v>
      </c>
      <c r="AW98" s="53">
        <v>89</v>
      </c>
      <c r="AY98" s="40"/>
      <c r="AZ98" s="40"/>
      <c r="BI98" s="36"/>
      <c r="BJ98" s="36"/>
      <c r="BK98" s="37"/>
      <c r="BN98" s="16"/>
      <c r="BO98" s="16"/>
    </row>
    <row r="99" spans="1:67" s="67" customFormat="1" ht="16.5" customHeight="1" x14ac:dyDescent="0.25">
      <c r="A99" s="16"/>
      <c r="B99" s="68">
        <f>SUBTOTAL(103,$K$83:K99)</f>
        <v>17</v>
      </c>
      <c r="C99" s="59" t="s">
        <v>543</v>
      </c>
      <c r="D99" s="53" t="s">
        <v>158</v>
      </c>
      <c r="E99" s="68" t="s">
        <v>19</v>
      </c>
      <c r="F99" s="59" t="s">
        <v>106</v>
      </c>
      <c r="G99" s="53" t="s">
        <v>4519</v>
      </c>
      <c r="H99" s="53" t="s">
        <v>4536</v>
      </c>
      <c r="I99" s="73" t="s">
        <v>768</v>
      </c>
      <c r="J99" s="74" t="s">
        <v>769</v>
      </c>
      <c r="K99" s="75" t="s">
        <v>3996</v>
      </c>
      <c r="L99" s="59" t="s">
        <v>170</v>
      </c>
      <c r="M99" s="68">
        <v>1</v>
      </c>
      <c r="N99" s="59" t="s">
        <v>150</v>
      </c>
      <c r="O99" s="58" t="s">
        <v>5025</v>
      </c>
      <c r="P99" s="53" t="s">
        <v>3891</v>
      </c>
      <c r="Q99" s="73" t="s">
        <v>29</v>
      </c>
      <c r="R99" s="59" t="s">
        <v>343</v>
      </c>
      <c r="S99" s="59" t="s">
        <v>236</v>
      </c>
      <c r="T99" s="59" t="s">
        <v>668</v>
      </c>
      <c r="U99" s="59" t="s">
        <v>770</v>
      </c>
      <c r="V99" s="59" t="s">
        <v>771</v>
      </c>
      <c r="W99" s="59" t="s">
        <v>236</v>
      </c>
      <c r="X99" s="75" t="s">
        <v>3996</v>
      </c>
      <c r="Y99" s="59" t="s">
        <v>694</v>
      </c>
      <c r="Z99" s="59" t="s">
        <v>772</v>
      </c>
      <c r="AA99" s="58"/>
      <c r="AB99" s="76" t="s">
        <v>156</v>
      </c>
      <c r="AC99" s="59" t="s">
        <v>157</v>
      </c>
      <c r="AD99" s="59" t="s">
        <v>157</v>
      </c>
      <c r="AE99" s="59"/>
      <c r="AF99" s="59"/>
      <c r="AG99" s="59" t="s">
        <v>228</v>
      </c>
      <c r="AH99" s="59" t="s">
        <v>155</v>
      </c>
      <c r="AI99" s="59"/>
      <c r="AJ99" s="166" t="s">
        <v>773</v>
      </c>
      <c r="AK99" s="68" t="s">
        <v>156</v>
      </c>
      <c r="AL99" s="71" t="s">
        <v>550</v>
      </c>
      <c r="AM99" s="83" t="s">
        <v>774</v>
      </c>
      <c r="AN99" s="155" t="s">
        <v>775</v>
      </c>
      <c r="AO99" s="59" t="s">
        <v>632</v>
      </c>
      <c r="AP99" s="64"/>
      <c r="AQ99" s="58" t="s">
        <v>166</v>
      </c>
      <c r="AR99" s="38"/>
      <c r="AT99" s="40"/>
      <c r="AU99" s="40"/>
      <c r="AV99" s="54">
        <v>7140202</v>
      </c>
      <c r="AW99" s="53">
        <v>90</v>
      </c>
      <c r="AY99" s="40"/>
      <c r="AZ99" s="40"/>
      <c r="BI99" s="36"/>
      <c r="BJ99" s="36"/>
      <c r="BK99" s="37"/>
      <c r="BN99" s="16"/>
      <c r="BO99" s="16"/>
    </row>
    <row r="100" spans="1:67" s="67" customFormat="1" ht="16.5" customHeight="1" x14ac:dyDescent="0.25">
      <c r="A100" s="16"/>
      <c r="B100" s="68">
        <f>SUBTOTAL(103,$K$83:K100)</f>
        <v>18</v>
      </c>
      <c r="C100" s="59" t="s">
        <v>555</v>
      </c>
      <c r="D100" s="53" t="s">
        <v>158</v>
      </c>
      <c r="E100" s="68" t="s">
        <v>19</v>
      </c>
      <c r="F100" s="59" t="s">
        <v>106</v>
      </c>
      <c r="G100" s="53" t="s">
        <v>4519</v>
      </c>
      <c r="H100" s="53" t="s">
        <v>4537</v>
      </c>
      <c r="I100" s="73" t="s">
        <v>182</v>
      </c>
      <c r="J100" s="74" t="s">
        <v>776</v>
      </c>
      <c r="K100" s="75" t="s">
        <v>3997</v>
      </c>
      <c r="L100" s="59" t="s">
        <v>170</v>
      </c>
      <c r="M100" s="68">
        <v>1</v>
      </c>
      <c r="N100" s="59" t="s">
        <v>150</v>
      </c>
      <c r="O100" s="58" t="s">
        <v>5025</v>
      </c>
      <c r="P100" s="53" t="s">
        <v>3891</v>
      </c>
      <c r="Q100" s="73" t="s">
        <v>29</v>
      </c>
      <c r="R100" s="59" t="s">
        <v>371</v>
      </c>
      <c r="S100" s="59" t="s">
        <v>153</v>
      </c>
      <c r="T100" s="59" t="s">
        <v>777</v>
      </c>
      <c r="U100" s="59" t="s">
        <v>778</v>
      </c>
      <c r="V100" s="59" t="s">
        <v>779</v>
      </c>
      <c r="W100" s="59" t="s">
        <v>236</v>
      </c>
      <c r="X100" s="75" t="s">
        <v>3997</v>
      </c>
      <c r="Y100" s="59" t="s">
        <v>686</v>
      </c>
      <c r="Z100" s="59" t="s">
        <v>780</v>
      </c>
      <c r="AA100" s="58"/>
      <c r="AB100" s="76" t="s">
        <v>156</v>
      </c>
      <c r="AC100" s="59" t="s">
        <v>157</v>
      </c>
      <c r="AD100" s="59" t="s">
        <v>157</v>
      </c>
      <c r="AE100" s="59" t="s">
        <v>181</v>
      </c>
      <c r="AF100" s="59"/>
      <c r="AG100" s="59" t="s">
        <v>228</v>
      </c>
      <c r="AH100" s="59" t="s">
        <v>155</v>
      </c>
      <c r="AI100" s="59"/>
      <c r="AJ100" s="166" t="s">
        <v>781</v>
      </c>
      <c r="AK100" s="68" t="s">
        <v>156</v>
      </c>
      <c r="AL100" s="59" t="s">
        <v>241</v>
      </c>
      <c r="AM100" s="74" t="s">
        <v>782</v>
      </c>
      <c r="AN100" s="163" t="s">
        <v>783</v>
      </c>
      <c r="AO100" s="160" t="s">
        <v>164</v>
      </c>
      <c r="AP100" s="64"/>
      <c r="AQ100" s="58" t="s">
        <v>166</v>
      </c>
      <c r="AR100" s="38"/>
      <c r="AT100" s="40"/>
      <c r="AU100" s="40"/>
      <c r="AV100" s="54">
        <v>7140202</v>
      </c>
      <c r="AW100" s="53">
        <v>91</v>
      </c>
      <c r="AY100" s="40"/>
      <c r="AZ100" s="40"/>
      <c r="BI100" s="36"/>
      <c r="BJ100" s="36"/>
      <c r="BK100" s="37"/>
      <c r="BN100" s="16"/>
      <c r="BO100" s="16"/>
    </row>
    <row r="101" spans="1:67" s="67" customFormat="1" ht="16.5" customHeight="1" x14ac:dyDescent="0.25">
      <c r="A101" s="16"/>
      <c r="B101" s="68">
        <f>SUBTOTAL(103,$K$83:K101)</f>
        <v>19</v>
      </c>
      <c r="C101" s="59" t="s">
        <v>563</v>
      </c>
      <c r="D101" s="53" t="s">
        <v>158</v>
      </c>
      <c r="E101" s="68" t="s">
        <v>19</v>
      </c>
      <c r="F101" s="68" t="s">
        <v>639</v>
      </c>
      <c r="G101" s="53" t="s">
        <v>4519</v>
      </c>
      <c r="H101" s="68" t="s">
        <v>4538</v>
      </c>
      <c r="I101" s="58" t="s">
        <v>784</v>
      </c>
      <c r="J101" s="58" t="s">
        <v>676</v>
      </c>
      <c r="K101" s="234" t="s">
        <v>3998</v>
      </c>
      <c r="L101" s="59" t="s">
        <v>170</v>
      </c>
      <c r="M101" s="68">
        <v>1</v>
      </c>
      <c r="N101" s="59" t="s">
        <v>150</v>
      </c>
      <c r="O101" s="58" t="s">
        <v>5025</v>
      </c>
      <c r="P101" s="53" t="s">
        <v>3891</v>
      </c>
      <c r="Q101" s="58"/>
      <c r="R101" s="68">
        <v>2019</v>
      </c>
      <c r="S101" s="59"/>
      <c r="T101" s="86"/>
      <c r="U101" s="86"/>
      <c r="V101" s="68" t="s">
        <v>685</v>
      </c>
      <c r="W101" s="59" t="s">
        <v>236</v>
      </c>
      <c r="X101" s="153" t="s">
        <v>3998</v>
      </c>
      <c r="Y101" s="59" t="s">
        <v>785</v>
      </c>
      <c r="Z101" s="53" t="s">
        <v>786</v>
      </c>
      <c r="AA101" s="58"/>
      <c r="AB101" s="76" t="s">
        <v>156</v>
      </c>
      <c r="AC101" s="59" t="s">
        <v>157</v>
      </c>
      <c r="AD101" s="59" t="s">
        <v>157</v>
      </c>
      <c r="AE101" s="68"/>
      <c r="AF101" s="148"/>
      <c r="AG101" s="59" t="s">
        <v>787</v>
      </c>
      <c r="AH101" s="59"/>
      <c r="AI101" s="170" t="s">
        <v>788</v>
      </c>
      <c r="AJ101" s="171" t="s">
        <v>789</v>
      </c>
      <c r="AK101" s="68" t="s">
        <v>156</v>
      </c>
      <c r="AL101" s="71" t="s">
        <v>229</v>
      </c>
      <c r="AM101" s="102" t="s">
        <v>790</v>
      </c>
      <c r="AN101" s="157" t="s">
        <v>791</v>
      </c>
      <c r="AO101" s="172" t="s">
        <v>164</v>
      </c>
      <c r="AP101" s="66"/>
      <c r="AQ101" s="67" t="s">
        <v>180</v>
      </c>
      <c r="AR101" s="38"/>
      <c r="AT101" s="40"/>
      <c r="AU101" s="40"/>
      <c r="AV101" s="54">
        <v>7140202</v>
      </c>
      <c r="AW101" s="53">
        <v>92</v>
      </c>
      <c r="AY101" s="40"/>
      <c r="AZ101" s="40"/>
      <c r="BI101" s="36"/>
      <c r="BJ101" s="36"/>
      <c r="BK101" s="37"/>
      <c r="BN101" s="16"/>
      <c r="BO101" s="16"/>
    </row>
    <row r="102" spans="1:67" s="67" customFormat="1" ht="16.5" customHeight="1" x14ac:dyDescent="0.25">
      <c r="A102" s="16"/>
      <c r="B102" s="68">
        <f>SUBTOTAL(103,$K$83:K102)</f>
        <v>20</v>
      </c>
      <c r="C102" s="59" t="s">
        <v>572</v>
      </c>
      <c r="D102" s="53" t="s">
        <v>158</v>
      </c>
      <c r="E102" s="53" t="s">
        <v>19</v>
      </c>
      <c r="F102" s="53" t="s">
        <v>639</v>
      </c>
      <c r="G102" s="53" t="s">
        <v>4519</v>
      </c>
      <c r="H102" s="68" t="s">
        <v>4539</v>
      </c>
      <c r="I102" s="58" t="s">
        <v>792</v>
      </c>
      <c r="J102" s="58" t="s">
        <v>676</v>
      </c>
      <c r="K102" s="103" t="s">
        <v>3999</v>
      </c>
      <c r="L102" s="53" t="s">
        <v>170</v>
      </c>
      <c r="M102" s="68">
        <v>1</v>
      </c>
      <c r="N102" s="68" t="s">
        <v>150</v>
      </c>
      <c r="O102" s="58" t="s">
        <v>5025</v>
      </c>
      <c r="P102" s="53" t="s">
        <v>3891</v>
      </c>
      <c r="Q102" s="58"/>
      <c r="R102" s="53">
        <v>2012</v>
      </c>
      <c r="S102" s="68"/>
      <c r="T102" s="53"/>
      <c r="U102" s="53"/>
      <c r="V102" s="53" t="s">
        <v>693</v>
      </c>
      <c r="W102" s="59" t="s">
        <v>236</v>
      </c>
      <c r="X102" s="57" t="s">
        <v>3999</v>
      </c>
      <c r="Y102" s="59" t="s">
        <v>694</v>
      </c>
      <c r="Z102" s="53" t="s">
        <v>793</v>
      </c>
      <c r="AA102" s="58"/>
      <c r="AB102" s="76" t="s">
        <v>156</v>
      </c>
      <c r="AC102" s="58" t="s">
        <v>157</v>
      </c>
      <c r="AD102" s="53" t="s">
        <v>157</v>
      </c>
      <c r="AE102" s="53"/>
      <c r="AF102" s="148"/>
      <c r="AG102" s="59" t="s">
        <v>794</v>
      </c>
      <c r="AH102" s="53"/>
      <c r="AI102" s="64" t="s">
        <v>795</v>
      </c>
      <c r="AJ102" s="167" t="s">
        <v>796</v>
      </c>
      <c r="AK102" s="68" t="s">
        <v>156</v>
      </c>
      <c r="AL102" s="71" t="s">
        <v>366</v>
      </c>
      <c r="AM102" s="102" t="s">
        <v>797</v>
      </c>
      <c r="AN102" s="157" t="s">
        <v>798</v>
      </c>
      <c r="AO102" s="152" t="s">
        <v>164</v>
      </c>
      <c r="AQ102" s="67" t="s">
        <v>799</v>
      </c>
      <c r="AR102" s="38"/>
      <c r="AT102" s="40"/>
      <c r="AU102" s="40"/>
      <c r="AV102" s="54">
        <v>7140202</v>
      </c>
      <c r="AW102" s="53">
        <v>93</v>
      </c>
      <c r="AY102" s="40"/>
      <c r="AZ102" s="40"/>
      <c r="BI102" s="36"/>
      <c r="BJ102" s="36"/>
      <c r="BK102" s="37"/>
      <c r="BN102" s="16"/>
      <c r="BO102" s="16"/>
    </row>
    <row r="103" spans="1:67" s="67" customFormat="1" ht="16.5" customHeight="1" x14ac:dyDescent="0.25">
      <c r="A103" s="16"/>
      <c r="B103" s="68">
        <f>SUBTOTAL(103,$K$83:K103)</f>
        <v>21</v>
      </c>
      <c r="C103" s="59" t="s">
        <v>581</v>
      </c>
      <c r="D103" s="53" t="s">
        <v>158</v>
      </c>
      <c r="E103" s="68" t="s">
        <v>19</v>
      </c>
      <c r="F103" s="68" t="s">
        <v>639</v>
      </c>
      <c r="G103" s="53" t="s">
        <v>4519</v>
      </c>
      <c r="H103" s="68" t="s">
        <v>4540</v>
      </c>
      <c r="I103" s="70" t="s">
        <v>800</v>
      </c>
      <c r="J103" s="70" t="s">
        <v>676</v>
      </c>
      <c r="K103" s="234" t="s">
        <v>4000</v>
      </c>
      <c r="L103" s="68" t="s">
        <v>170</v>
      </c>
      <c r="M103" s="68">
        <v>1</v>
      </c>
      <c r="N103" s="68" t="s">
        <v>150</v>
      </c>
      <c r="O103" s="58" t="s">
        <v>5025</v>
      </c>
      <c r="P103" s="53" t="s">
        <v>3891</v>
      </c>
      <c r="Q103" s="58"/>
      <c r="R103" s="68">
        <v>2019</v>
      </c>
      <c r="S103" s="68"/>
      <c r="T103" s="68"/>
      <c r="U103" s="68"/>
      <c r="V103" s="68" t="s">
        <v>801</v>
      </c>
      <c r="W103" s="68" t="s">
        <v>236</v>
      </c>
      <c r="X103" s="81" t="s">
        <v>4000</v>
      </c>
      <c r="Y103" s="68" t="s">
        <v>879</v>
      </c>
      <c r="Z103" s="68">
        <v>25.5</v>
      </c>
      <c r="AA103" s="58"/>
      <c r="AB103" s="76" t="s">
        <v>156</v>
      </c>
      <c r="AC103" s="70" t="s">
        <v>157</v>
      </c>
      <c r="AD103" s="70" t="s">
        <v>157</v>
      </c>
      <c r="AE103" s="70"/>
      <c r="AF103" s="70"/>
      <c r="AG103" s="89" t="s">
        <v>802</v>
      </c>
      <c r="AH103" s="68"/>
      <c r="AI103" s="70"/>
      <c r="AJ103" s="171" t="s">
        <v>803</v>
      </c>
      <c r="AK103" s="68" t="s">
        <v>156</v>
      </c>
      <c r="AL103" s="173" t="s">
        <v>804</v>
      </c>
      <c r="AM103" s="174" t="s">
        <v>805</v>
      </c>
      <c r="AN103" s="175" t="s">
        <v>806</v>
      </c>
      <c r="AO103" s="62" t="s">
        <v>164</v>
      </c>
      <c r="AP103" s="97"/>
      <c r="AQ103" s="176" t="s">
        <v>728</v>
      </c>
      <c r="AR103" s="177"/>
      <c r="AU103" s="40"/>
      <c r="AV103" s="54">
        <v>7140202</v>
      </c>
      <c r="AW103" s="53">
        <v>94</v>
      </c>
      <c r="BJ103" s="40"/>
      <c r="BK103" s="40"/>
      <c r="BN103" s="16"/>
      <c r="BO103" s="16"/>
    </row>
    <row r="104" spans="1:67" s="67" customFormat="1" ht="16.5" customHeight="1" x14ac:dyDescent="0.25">
      <c r="A104" s="16"/>
      <c r="B104" s="68">
        <f>SUBTOTAL(103,$K$83:K104)</f>
        <v>22</v>
      </c>
      <c r="C104" s="59" t="s">
        <v>588</v>
      </c>
      <c r="D104" s="53" t="s">
        <v>158</v>
      </c>
      <c r="E104" s="68" t="s">
        <v>19</v>
      </c>
      <c r="F104" s="59" t="s">
        <v>639</v>
      </c>
      <c r="G104" s="53" t="s">
        <v>4519</v>
      </c>
      <c r="H104" s="68" t="s">
        <v>4541</v>
      </c>
      <c r="I104" s="73" t="s">
        <v>807</v>
      </c>
      <c r="J104" s="74" t="s">
        <v>808</v>
      </c>
      <c r="K104" s="75" t="s">
        <v>4001</v>
      </c>
      <c r="L104" s="59" t="s">
        <v>149</v>
      </c>
      <c r="M104" s="53">
        <v>0</v>
      </c>
      <c r="N104" s="59" t="s">
        <v>150</v>
      </c>
      <c r="O104" s="58" t="s">
        <v>5025</v>
      </c>
      <c r="P104" s="53" t="s">
        <v>3891</v>
      </c>
      <c r="Q104" s="58"/>
      <c r="R104" s="59" t="s">
        <v>371</v>
      </c>
      <c r="S104" s="59"/>
      <c r="T104" s="59"/>
      <c r="U104" s="59"/>
      <c r="V104" s="59" t="s">
        <v>328</v>
      </c>
      <c r="W104" s="59" t="s">
        <v>236</v>
      </c>
      <c r="X104" s="75" t="s">
        <v>4001</v>
      </c>
      <c r="Y104" s="59" t="s">
        <v>809</v>
      </c>
      <c r="Z104" s="59" t="s">
        <v>810</v>
      </c>
      <c r="AA104" s="58"/>
      <c r="AB104" s="76" t="s">
        <v>156</v>
      </c>
      <c r="AC104" s="59"/>
      <c r="AD104" s="59"/>
      <c r="AE104" s="59"/>
      <c r="AF104" s="59"/>
      <c r="AG104" s="59" t="s">
        <v>811</v>
      </c>
      <c r="AH104" s="59"/>
      <c r="AI104" s="74" t="s">
        <v>812</v>
      </c>
      <c r="AJ104" s="77" t="s">
        <v>813</v>
      </c>
      <c r="AK104" s="68" t="s">
        <v>156</v>
      </c>
      <c r="AL104" s="59" t="s">
        <v>436</v>
      </c>
      <c r="AM104" s="74" t="s">
        <v>814</v>
      </c>
      <c r="AN104" s="78" t="s">
        <v>815</v>
      </c>
      <c r="AO104" s="59" t="s">
        <v>164</v>
      </c>
      <c r="AP104" s="64"/>
      <c r="AQ104" s="58" t="s">
        <v>166</v>
      </c>
      <c r="AR104" s="38"/>
      <c r="AT104" s="40"/>
      <c r="AU104" s="40"/>
      <c r="AV104" s="54">
        <v>7140202</v>
      </c>
      <c r="AW104" s="53">
        <v>95</v>
      </c>
      <c r="AY104" s="40"/>
      <c r="AZ104" s="40"/>
      <c r="BI104" s="36"/>
      <c r="BJ104" s="36"/>
      <c r="BK104" s="37"/>
      <c r="BN104" s="16"/>
      <c r="BO104" s="16"/>
    </row>
    <row r="105" spans="1:67" s="67" customFormat="1" ht="16.5" customHeight="1" x14ac:dyDescent="0.25">
      <c r="A105" s="16"/>
      <c r="B105" s="68">
        <f>SUBTOTAL(103,$K$83:K105)</f>
        <v>23</v>
      </c>
      <c r="C105" s="59" t="s">
        <v>594</v>
      </c>
      <c r="D105" s="53" t="s">
        <v>158</v>
      </c>
      <c r="E105" s="53" t="s">
        <v>19</v>
      </c>
      <c r="F105" s="53" t="s">
        <v>639</v>
      </c>
      <c r="G105" s="53" t="s">
        <v>4519</v>
      </c>
      <c r="H105" s="68" t="s">
        <v>4542</v>
      </c>
      <c r="I105" s="58" t="s">
        <v>816</v>
      </c>
      <c r="J105" s="58" t="s">
        <v>421</v>
      </c>
      <c r="K105" s="103" t="s">
        <v>4002</v>
      </c>
      <c r="L105" s="53" t="s">
        <v>170</v>
      </c>
      <c r="M105" s="68">
        <v>1</v>
      </c>
      <c r="N105" s="53" t="s">
        <v>150</v>
      </c>
      <c r="O105" s="58" t="s">
        <v>5025</v>
      </c>
      <c r="P105" s="53" t="s">
        <v>3891</v>
      </c>
      <c r="Q105" s="58"/>
      <c r="R105" s="53">
        <v>2025</v>
      </c>
      <c r="S105" s="53"/>
      <c r="T105" s="53"/>
      <c r="U105" s="53"/>
      <c r="V105" s="53" t="s">
        <v>817</v>
      </c>
      <c r="W105" s="53" t="s">
        <v>818</v>
      </c>
      <c r="X105" s="57" t="s">
        <v>4002</v>
      </c>
      <c r="Y105" s="53" t="s">
        <v>819</v>
      </c>
      <c r="Z105" s="53" t="s">
        <v>820</v>
      </c>
      <c r="AA105" s="58"/>
      <c r="AB105" s="76" t="s">
        <v>156</v>
      </c>
      <c r="AC105" s="58" t="s">
        <v>157</v>
      </c>
      <c r="AD105" s="58" t="s">
        <v>157</v>
      </c>
      <c r="AE105" s="58"/>
      <c r="AF105" s="58"/>
      <c r="AG105" s="58" t="s">
        <v>648</v>
      </c>
      <c r="AH105" s="53"/>
      <c r="AI105" s="58"/>
      <c r="AJ105" s="167" t="s">
        <v>821</v>
      </c>
      <c r="AK105" s="68" t="s">
        <v>156</v>
      </c>
      <c r="AL105" s="63" t="s">
        <v>347</v>
      </c>
      <c r="AM105" s="102" t="s">
        <v>822</v>
      </c>
      <c r="AN105" s="157" t="s">
        <v>823</v>
      </c>
      <c r="AO105" s="152" t="s">
        <v>164</v>
      </c>
      <c r="AP105" s="66"/>
      <c r="AQ105" s="67" t="s">
        <v>824</v>
      </c>
      <c r="AR105" s="38"/>
      <c r="AT105" s="40"/>
      <c r="AU105" s="40"/>
      <c r="AV105" s="54">
        <v>7140202</v>
      </c>
      <c r="AW105" s="53">
        <v>96</v>
      </c>
      <c r="AY105" s="40"/>
      <c r="AZ105" s="40"/>
      <c r="BI105" s="36"/>
      <c r="BJ105" s="36"/>
      <c r="BK105" s="37"/>
      <c r="BN105" s="16"/>
      <c r="BO105" s="16"/>
    </row>
    <row r="106" spans="1:67" s="67" customFormat="1" ht="16.5" customHeight="1" x14ac:dyDescent="0.25">
      <c r="A106" s="16"/>
      <c r="B106" s="68">
        <f>SUBTOTAL(103,$K$83:K106)</f>
        <v>24</v>
      </c>
      <c r="C106" s="59" t="s">
        <v>599</v>
      </c>
      <c r="D106" s="53" t="s">
        <v>158</v>
      </c>
      <c r="E106" s="53" t="s">
        <v>19</v>
      </c>
      <c r="F106" s="53" t="s">
        <v>639</v>
      </c>
      <c r="G106" s="53" t="s">
        <v>4519</v>
      </c>
      <c r="H106" s="68" t="s">
        <v>4543</v>
      </c>
      <c r="I106" s="58" t="s">
        <v>825</v>
      </c>
      <c r="J106" s="58" t="s">
        <v>826</v>
      </c>
      <c r="K106" s="103" t="s">
        <v>4003</v>
      </c>
      <c r="L106" s="53" t="s">
        <v>170</v>
      </c>
      <c r="M106" s="68">
        <v>1</v>
      </c>
      <c r="N106" s="53" t="s">
        <v>150</v>
      </c>
      <c r="O106" s="58" t="s">
        <v>5025</v>
      </c>
      <c r="P106" s="53" t="s">
        <v>3891</v>
      </c>
      <c r="Q106" s="58"/>
      <c r="R106" s="53">
        <v>2017</v>
      </c>
      <c r="S106" s="53"/>
      <c r="T106" s="53"/>
      <c r="U106" s="53"/>
      <c r="V106" s="53" t="s">
        <v>685</v>
      </c>
      <c r="W106" s="53" t="s">
        <v>236</v>
      </c>
      <c r="X106" s="57" t="s">
        <v>4003</v>
      </c>
      <c r="Y106" s="59" t="s">
        <v>827</v>
      </c>
      <c r="Z106" s="53" t="s">
        <v>828</v>
      </c>
      <c r="AA106" s="58"/>
      <c r="AB106" s="76" t="s">
        <v>294</v>
      </c>
      <c r="AC106" s="58" t="s">
        <v>157</v>
      </c>
      <c r="AD106" s="58" t="s">
        <v>157</v>
      </c>
      <c r="AE106" s="58"/>
      <c r="AF106" s="148"/>
      <c r="AG106" s="58" t="s">
        <v>829</v>
      </c>
      <c r="AH106" s="53"/>
      <c r="AI106" s="58" t="s">
        <v>830</v>
      </c>
      <c r="AJ106" s="167" t="s">
        <v>831</v>
      </c>
      <c r="AK106" s="68" t="s">
        <v>294</v>
      </c>
      <c r="AL106" s="58" t="s">
        <v>832</v>
      </c>
      <c r="AM106" s="64" t="s">
        <v>833</v>
      </c>
      <c r="AN106" s="157" t="s">
        <v>834</v>
      </c>
      <c r="AO106" s="152" t="s">
        <v>835</v>
      </c>
      <c r="AP106" s="64"/>
      <c r="AQ106" s="80" t="s">
        <v>836</v>
      </c>
      <c r="AR106" s="38"/>
      <c r="AT106" s="40"/>
      <c r="AU106" s="40"/>
      <c r="AV106" s="54">
        <v>7140202</v>
      </c>
      <c r="AW106" s="53">
        <v>97</v>
      </c>
      <c r="AY106" s="40"/>
      <c r="AZ106" s="40"/>
      <c r="BI106" s="36"/>
      <c r="BJ106" s="36"/>
      <c r="BK106" s="37"/>
      <c r="BN106" s="16"/>
      <c r="BO106" s="16"/>
    </row>
    <row r="107" spans="1:67" s="67" customFormat="1" ht="16.5" customHeight="1" x14ac:dyDescent="0.25">
      <c r="A107" s="16"/>
      <c r="B107" s="68">
        <f>SUBTOTAL(103,$K$83:K107)</f>
        <v>25</v>
      </c>
      <c r="C107" s="59" t="s">
        <v>605</v>
      </c>
      <c r="D107" s="53" t="s">
        <v>158</v>
      </c>
      <c r="E107" s="53" t="s">
        <v>19</v>
      </c>
      <c r="F107" s="53" t="s">
        <v>639</v>
      </c>
      <c r="G107" s="53" t="s">
        <v>4519</v>
      </c>
      <c r="H107" s="68" t="s">
        <v>4544</v>
      </c>
      <c r="I107" s="58" t="s">
        <v>472</v>
      </c>
      <c r="J107" s="58" t="s">
        <v>837</v>
      </c>
      <c r="K107" s="103" t="s">
        <v>4004</v>
      </c>
      <c r="L107" s="53" t="s">
        <v>170</v>
      </c>
      <c r="M107" s="68">
        <v>1</v>
      </c>
      <c r="N107" s="53" t="s">
        <v>150</v>
      </c>
      <c r="O107" s="58" t="s">
        <v>5025</v>
      </c>
      <c r="P107" s="53" t="s">
        <v>3891</v>
      </c>
      <c r="Q107" s="58"/>
      <c r="R107" s="53">
        <v>2021</v>
      </c>
      <c r="S107" s="68"/>
      <c r="T107" s="53"/>
      <c r="U107" s="53"/>
      <c r="V107" s="53" t="s">
        <v>328</v>
      </c>
      <c r="W107" s="59" t="s">
        <v>236</v>
      </c>
      <c r="X107" s="57" t="s">
        <v>4004</v>
      </c>
      <c r="Y107" s="59" t="s">
        <v>819</v>
      </c>
      <c r="Z107" s="53" t="s">
        <v>838</v>
      </c>
      <c r="AA107" s="58"/>
      <c r="AB107" s="76" t="s">
        <v>156</v>
      </c>
      <c r="AC107" s="58" t="s">
        <v>157</v>
      </c>
      <c r="AD107" s="53" t="s">
        <v>157</v>
      </c>
      <c r="AE107" s="58"/>
      <c r="AF107" s="148"/>
      <c r="AG107" s="58" t="s">
        <v>839</v>
      </c>
      <c r="AH107" s="53"/>
      <c r="AI107" s="58" t="s">
        <v>840</v>
      </c>
      <c r="AJ107" s="167" t="s">
        <v>841</v>
      </c>
      <c r="AK107" s="62" t="s">
        <v>156</v>
      </c>
      <c r="AL107" s="63" t="s">
        <v>570</v>
      </c>
      <c r="AM107" s="79" t="s">
        <v>636</v>
      </c>
      <c r="AN107" s="157" t="s">
        <v>842</v>
      </c>
      <c r="AO107" s="152" t="s">
        <v>164</v>
      </c>
      <c r="AP107" s="66"/>
      <c r="AQ107" s="58" t="s">
        <v>224</v>
      </c>
      <c r="AR107" s="38"/>
      <c r="AT107" s="40"/>
      <c r="AU107" s="40"/>
      <c r="AV107" s="54">
        <v>7140202</v>
      </c>
      <c r="AW107" s="53">
        <v>98</v>
      </c>
      <c r="AY107" s="40"/>
      <c r="AZ107" s="40"/>
      <c r="BI107" s="36"/>
      <c r="BJ107" s="36"/>
      <c r="BK107" s="37"/>
      <c r="BN107" s="16"/>
      <c r="BO107" s="16"/>
    </row>
    <row r="108" spans="1:67" s="67" customFormat="1" ht="16.5" customHeight="1" x14ac:dyDescent="0.25">
      <c r="A108" s="16"/>
      <c r="B108" s="68">
        <f>SUBTOTAL(103,$K$83:K108)</f>
        <v>26</v>
      </c>
      <c r="C108" s="59" t="s">
        <v>614</v>
      </c>
      <c r="D108" s="53" t="s">
        <v>158</v>
      </c>
      <c r="E108" s="68" t="s">
        <v>19</v>
      </c>
      <c r="F108" s="53" t="s">
        <v>639</v>
      </c>
      <c r="G108" s="53" t="s">
        <v>4519</v>
      </c>
      <c r="H108" s="68" t="s">
        <v>4545</v>
      </c>
      <c r="I108" s="58" t="s">
        <v>843</v>
      </c>
      <c r="J108" s="58" t="s">
        <v>450</v>
      </c>
      <c r="K108" s="103" t="s">
        <v>4005</v>
      </c>
      <c r="L108" s="53" t="s">
        <v>170</v>
      </c>
      <c r="M108" s="68">
        <v>1</v>
      </c>
      <c r="N108" s="68" t="s">
        <v>150</v>
      </c>
      <c r="O108" s="58" t="s">
        <v>5025</v>
      </c>
      <c r="P108" s="53" t="s">
        <v>3891</v>
      </c>
      <c r="Q108" s="58"/>
      <c r="R108" s="53">
        <v>2016</v>
      </c>
      <c r="S108" s="68"/>
      <c r="T108" s="53"/>
      <c r="U108" s="53"/>
      <c r="V108" s="53" t="s">
        <v>801</v>
      </c>
      <c r="W108" s="53" t="s">
        <v>236</v>
      </c>
      <c r="X108" s="57" t="s">
        <v>4005</v>
      </c>
      <c r="Y108" s="59" t="s">
        <v>819</v>
      </c>
      <c r="Z108" s="53" t="s">
        <v>844</v>
      </c>
      <c r="AA108" s="58"/>
      <c r="AB108" s="76" t="s">
        <v>156</v>
      </c>
      <c r="AC108" s="58" t="s">
        <v>157</v>
      </c>
      <c r="AD108" s="58" t="s">
        <v>157</v>
      </c>
      <c r="AE108" s="58"/>
      <c r="AF108" s="148"/>
      <c r="AG108" s="58" t="s">
        <v>845</v>
      </c>
      <c r="AH108" s="53"/>
      <c r="AI108" s="58" t="s">
        <v>846</v>
      </c>
      <c r="AJ108" s="61" t="s">
        <v>847</v>
      </c>
      <c r="AK108" s="68" t="s">
        <v>156</v>
      </c>
      <c r="AL108" s="59" t="s">
        <v>550</v>
      </c>
      <c r="AM108" s="64" t="s">
        <v>848</v>
      </c>
      <c r="AN108" s="65" t="s">
        <v>849</v>
      </c>
      <c r="AO108" s="68" t="s">
        <v>164</v>
      </c>
      <c r="AP108" s="64"/>
      <c r="AQ108" s="58" t="s">
        <v>515</v>
      </c>
      <c r="AR108" s="38"/>
      <c r="AT108" s="40"/>
      <c r="AU108" s="40"/>
      <c r="AV108" s="54">
        <v>7140202</v>
      </c>
      <c r="AW108" s="53">
        <v>99</v>
      </c>
      <c r="AY108" s="40"/>
      <c r="AZ108" s="40"/>
      <c r="BI108" s="36"/>
      <c r="BJ108" s="36"/>
      <c r="BK108" s="37"/>
      <c r="BN108" s="16"/>
      <c r="BO108" s="16"/>
    </row>
    <row r="109" spans="1:67" s="67" customFormat="1" ht="16.5" customHeight="1" x14ac:dyDescent="0.25">
      <c r="A109" s="16"/>
      <c r="B109" s="68">
        <f>SUBTOTAL(103,$K$83:K109)</f>
        <v>27</v>
      </c>
      <c r="C109" s="59" t="s">
        <v>618</v>
      </c>
      <c r="D109" s="53" t="s">
        <v>158</v>
      </c>
      <c r="E109" s="53" t="s">
        <v>19</v>
      </c>
      <c r="F109" s="59" t="s">
        <v>639</v>
      </c>
      <c r="G109" s="53" t="s">
        <v>4519</v>
      </c>
      <c r="H109" s="68" t="s">
        <v>4546</v>
      </c>
      <c r="I109" s="58" t="s">
        <v>182</v>
      </c>
      <c r="J109" s="58" t="s">
        <v>450</v>
      </c>
      <c r="K109" s="234" t="s">
        <v>4006</v>
      </c>
      <c r="L109" s="68" t="s">
        <v>170</v>
      </c>
      <c r="M109" s="68">
        <v>1</v>
      </c>
      <c r="N109" s="68" t="s">
        <v>150</v>
      </c>
      <c r="O109" s="58" t="s">
        <v>5025</v>
      </c>
      <c r="P109" s="53" t="s">
        <v>3891</v>
      </c>
      <c r="Q109" s="58"/>
      <c r="R109" s="59" t="s">
        <v>431</v>
      </c>
      <c r="S109" s="59"/>
      <c r="T109" s="86"/>
      <c r="U109" s="86"/>
      <c r="V109" s="68" t="s">
        <v>693</v>
      </c>
      <c r="W109" s="53" t="s">
        <v>236</v>
      </c>
      <c r="X109" s="81" t="s">
        <v>4006</v>
      </c>
      <c r="Y109" s="59" t="s">
        <v>694</v>
      </c>
      <c r="Z109" s="53" t="s">
        <v>850</v>
      </c>
      <c r="AA109" s="58"/>
      <c r="AB109" s="76" t="s">
        <v>156</v>
      </c>
      <c r="AC109" s="58" t="s">
        <v>157</v>
      </c>
      <c r="AD109" s="59" t="s">
        <v>157</v>
      </c>
      <c r="AE109" s="53"/>
      <c r="AF109" s="148"/>
      <c r="AG109" s="59" t="s">
        <v>851</v>
      </c>
      <c r="AH109" s="68"/>
      <c r="AI109" s="68" t="s">
        <v>852</v>
      </c>
      <c r="AJ109" s="87" t="s">
        <v>853</v>
      </c>
      <c r="AK109" s="68" t="s">
        <v>156</v>
      </c>
      <c r="AL109" s="68" t="s">
        <v>483</v>
      </c>
      <c r="AM109" s="89" t="s">
        <v>854</v>
      </c>
      <c r="AN109" s="65" t="s">
        <v>855</v>
      </c>
      <c r="AO109" s="152" t="s">
        <v>164</v>
      </c>
      <c r="AP109" s="64"/>
      <c r="AQ109" s="58" t="s">
        <v>554</v>
      </c>
      <c r="AR109" s="38"/>
      <c r="AT109" s="40"/>
      <c r="AU109" s="40"/>
      <c r="AV109" s="54">
        <v>7140202</v>
      </c>
      <c r="AW109" s="53">
        <v>100</v>
      </c>
      <c r="AY109" s="40"/>
      <c r="AZ109" s="40"/>
      <c r="BI109" s="36"/>
      <c r="BJ109" s="36"/>
      <c r="BK109" s="37"/>
      <c r="BN109" s="16"/>
      <c r="BO109" s="16"/>
    </row>
    <row r="110" spans="1:67" s="67" customFormat="1" ht="16.5" customHeight="1" x14ac:dyDescent="0.25">
      <c r="A110" s="16"/>
      <c r="B110" s="68">
        <f>SUBTOTAL(103,$K$83:K110)</f>
        <v>28</v>
      </c>
      <c r="C110" s="59" t="s">
        <v>625</v>
      </c>
      <c r="D110" s="53" t="s">
        <v>158</v>
      </c>
      <c r="E110" s="68" t="s">
        <v>19</v>
      </c>
      <c r="F110" s="53" t="s">
        <v>639</v>
      </c>
      <c r="G110" s="53" t="s">
        <v>4519</v>
      </c>
      <c r="H110" s="68" t="s">
        <v>4547</v>
      </c>
      <c r="I110" s="58" t="s">
        <v>856</v>
      </c>
      <c r="J110" s="58" t="s">
        <v>473</v>
      </c>
      <c r="K110" s="103" t="s">
        <v>4007</v>
      </c>
      <c r="L110" s="53" t="s">
        <v>170</v>
      </c>
      <c r="M110" s="68">
        <v>1</v>
      </c>
      <c r="N110" s="68" t="s">
        <v>150</v>
      </c>
      <c r="O110" s="58" t="s">
        <v>5025</v>
      </c>
      <c r="P110" s="53" t="s">
        <v>3891</v>
      </c>
      <c r="Q110" s="58"/>
      <c r="R110" s="53">
        <v>2019</v>
      </c>
      <c r="S110" s="59"/>
      <c r="T110" s="53"/>
      <c r="U110" s="53"/>
      <c r="V110" s="53" t="s">
        <v>607</v>
      </c>
      <c r="W110" s="59" t="s">
        <v>236</v>
      </c>
      <c r="X110" s="57" t="s">
        <v>4007</v>
      </c>
      <c r="Y110" s="59" t="s">
        <v>857</v>
      </c>
      <c r="Z110" s="53">
        <v>23.4</v>
      </c>
      <c r="AA110" s="58"/>
      <c r="AB110" s="76" t="s">
        <v>858</v>
      </c>
      <c r="AC110" s="53" t="s">
        <v>157</v>
      </c>
      <c r="AD110" s="53" t="s">
        <v>157</v>
      </c>
      <c r="AE110" s="58"/>
      <c r="AF110" s="148"/>
      <c r="AG110" s="58" t="s">
        <v>859</v>
      </c>
      <c r="AH110" s="53"/>
      <c r="AI110" s="64" t="s">
        <v>860</v>
      </c>
      <c r="AJ110" s="61" t="s">
        <v>861</v>
      </c>
      <c r="AK110" s="53" t="s">
        <v>858</v>
      </c>
      <c r="AL110" s="58" t="s">
        <v>862</v>
      </c>
      <c r="AM110" s="64" t="s">
        <v>863</v>
      </c>
      <c r="AN110" s="65" t="s">
        <v>864</v>
      </c>
      <c r="AO110" s="72" t="s">
        <v>164</v>
      </c>
      <c r="AP110" s="64"/>
      <c r="AQ110" s="58" t="s">
        <v>865</v>
      </c>
      <c r="AR110" s="38"/>
      <c r="AT110" s="40"/>
      <c r="AU110" s="40"/>
      <c r="AV110" s="54">
        <v>7140202</v>
      </c>
      <c r="AW110" s="53">
        <v>101</v>
      </c>
      <c r="AY110" s="40"/>
      <c r="AZ110" s="40"/>
      <c r="BI110" s="36"/>
      <c r="BJ110" s="36"/>
      <c r="BK110" s="37"/>
      <c r="BN110" s="16"/>
      <c r="BO110" s="16"/>
    </row>
    <row r="111" spans="1:67" s="67" customFormat="1" ht="16.5" customHeight="1" x14ac:dyDescent="0.25">
      <c r="A111" s="16"/>
      <c r="B111" s="68">
        <f>SUBTOTAL(103,$K$83:K111)</f>
        <v>29</v>
      </c>
      <c r="C111" s="59" t="s">
        <v>633</v>
      </c>
      <c r="D111" s="53" t="s">
        <v>158</v>
      </c>
      <c r="E111" s="53" t="s">
        <v>19</v>
      </c>
      <c r="F111" s="53" t="s">
        <v>639</v>
      </c>
      <c r="G111" s="53" t="s">
        <v>4519</v>
      </c>
      <c r="H111" s="68" t="s">
        <v>4548</v>
      </c>
      <c r="I111" s="58" t="s">
        <v>866</v>
      </c>
      <c r="J111" s="58" t="s">
        <v>473</v>
      </c>
      <c r="K111" s="103" t="s">
        <v>4008</v>
      </c>
      <c r="L111" s="53" t="s">
        <v>170</v>
      </c>
      <c r="M111" s="68">
        <v>1</v>
      </c>
      <c r="N111" s="53" t="s">
        <v>150</v>
      </c>
      <c r="O111" s="58" t="s">
        <v>5025</v>
      </c>
      <c r="P111" s="53" t="s">
        <v>3891</v>
      </c>
      <c r="Q111" s="58"/>
      <c r="R111" s="53">
        <v>2024</v>
      </c>
      <c r="S111" s="53"/>
      <c r="T111" s="53"/>
      <c r="U111" s="53"/>
      <c r="V111" s="53" t="s">
        <v>779</v>
      </c>
      <c r="W111" s="53" t="s">
        <v>236</v>
      </c>
      <c r="X111" s="57" t="s">
        <v>4008</v>
      </c>
      <c r="Y111" s="59" t="s">
        <v>694</v>
      </c>
      <c r="Z111" s="53" t="s">
        <v>867</v>
      </c>
      <c r="AA111" s="58"/>
      <c r="AB111" s="76" t="s">
        <v>156</v>
      </c>
      <c r="AC111" s="58" t="s">
        <v>157</v>
      </c>
      <c r="AD111" s="58" t="s">
        <v>157</v>
      </c>
      <c r="AE111" s="58"/>
      <c r="AF111" s="148"/>
      <c r="AG111" s="58" t="s">
        <v>643</v>
      </c>
      <c r="AH111" s="53"/>
      <c r="AI111" s="58"/>
      <c r="AJ111" s="61" t="s">
        <v>868</v>
      </c>
      <c r="AK111" s="68" t="s">
        <v>156</v>
      </c>
      <c r="AL111" s="58" t="s">
        <v>229</v>
      </c>
      <c r="AM111" s="64" t="s">
        <v>869</v>
      </c>
      <c r="AN111" s="65" t="s">
        <v>870</v>
      </c>
      <c r="AO111" s="53" t="s">
        <v>164</v>
      </c>
      <c r="AP111" s="64" t="s">
        <v>457</v>
      </c>
      <c r="AQ111" s="80" t="s">
        <v>224</v>
      </c>
      <c r="AR111" s="38"/>
      <c r="AT111" s="40"/>
      <c r="AU111" s="40"/>
      <c r="AV111" s="54">
        <v>7140202</v>
      </c>
      <c r="AW111" s="53">
        <v>102</v>
      </c>
      <c r="AY111" s="40"/>
      <c r="AZ111" s="40"/>
      <c r="BI111" s="36"/>
      <c r="BJ111" s="36"/>
      <c r="BK111" s="37"/>
      <c r="BN111" s="16"/>
      <c r="BO111" s="16"/>
    </row>
    <row r="112" spans="1:67" s="67" customFormat="1" ht="16.5" customHeight="1" x14ac:dyDescent="0.25">
      <c r="A112" s="16"/>
      <c r="B112" s="68">
        <f>SUBTOTAL(103,$K$83:K112)</f>
        <v>30</v>
      </c>
      <c r="C112" s="59" t="s">
        <v>638</v>
      </c>
      <c r="D112" s="53" t="s">
        <v>158</v>
      </c>
      <c r="E112" s="53" t="s">
        <v>19</v>
      </c>
      <c r="F112" s="53" t="s">
        <v>639</v>
      </c>
      <c r="G112" s="53" t="s">
        <v>4519</v>
      </c>
      <c r="H112" s="68" t="s">
        <v>4549</v>
      </c>
      <c r="I112" s="58" t="s">
        <v>871</v>
      </c>
      <c r="J112" s="58" t="s">
        <v>872</v>
      </c>
      <c r="K112" s="103" t="s">
        <v>4009</v>
      </c>
      <c r="L112" s="53" t="s">
        <v>170</v>
      </c>
      <c r="M112" s="68">
        <v>1</v>
      </c>
      <c r="N112" s="68" t="s">
        <v>441</v>
      </c>
      <c r="O112" s="58" t="s">
        <v>5025</v>
      </c>
      <c r="P112" s="53" t="s">
        <v>3891</v>
      </c>
      <c r="Q112" s="58"/>
      <c r="R112" s="53">
        <v>2020</v>
      </c>
      <c r="S112" s="68"/>
      <c r="T112" s="53"/>
      <c r="U112" s="53"/>
      <c r="V112" s="53" t="s">
        <v>328</v>
      </c>
      <c r="W112" s="53" t="s">
        <v>236</v>
      </c>
      <c r="X112" s="57" t="s">
        <v>4009</v>
      </c>
      <c r="Y112" s="59" t="s">
        <v>857</v>
      </c>
      <c r="Z112" s="53" t="s">
        <v>873</v>
      </c>
      <c r="AA112" s="58"/>
      <c r="AB112" s="76" t="s">
        <v>156</v>
      </c>
      <c r="AC112" s="58" t="s">
        <v>157</v>
      </c>
      <c r="AD112" s="53" t="s">
        <v>157</v>
      </c>
      <c r="AE112" s="53"/>
      <c r="AF112" s="148"/>
      <c r="AG112" s="58" t="s">
        <v>874</v>
      </c>
      <c r="AH112" s="53"/>
      <c r="AI112" s="58" t="s">
        <v>830</v>
      </c>
      <c r="AJ112" s="61" t="s">
        <v>875</v>
      </c>
      <c r="AK112" s="68" t="s">
        <v>156</v>
      </c>
      <c r="AL112" s="59" t="s">
        <v>189</v>
      </c>
      <c r="AM112" s="74" t="s">
        <v>876</v>
      </c>
      <c r="AN112" s="65" t="s">
        <v>877</v>
      </c>
      <c r="AO112" s="53" t="s">
        <v>164</v>
      </c>
      <c r="AP112" s="64"/>
      <c r="AQ112" s="58" t="s">
        <v>334</v>
      </c>
      <c r="AR112" s="38"/>
      <c r="AT112" s="40"/>
      <c r="AU112" s="40"/>
      <c r="AV112" s="54">
        <v>7140202</v>
      </c>
      <c r="AW112" s="53">
        <v>103</v>
      </c>
      <c r="AY112" s="40"/>
      <c r="AZ112" s="40"/>
      <c r="BI112" s="36"/>
      <c r="BJ112" s="36"/>
      <c r="BK112" s="37"/>
      <c r="BN112" s="16"/>
      <c r="BO112" s="16"/>
    </row>
    <row r="113" spans="1:67" s="67" customFormat="1" ht="16.5" customHeight="1" x14ac:dyDescent="0.25">
      <c r="A113" s="16"/>
      <c r="B113" s="68">
        <f>SUBTOTAL(103,$K$83:K113)</f>
        <v>31</v>
      </c>
      <c r="C113" s="59" t="s">
        <v>640</v>
      </c>
      <c r="D113" s="53" t="s">
        <v>158</v>
      </c>
      <c r="E113" s="68" t="s">
        <v>19</v>
      </c>
      <c r="F113" s="59" t="s">
        <v>639</v>
      </c>
      <c r="G113" s="53" t="s">
        <v>4519</v>
      </c>
      <c r="H113" s="68" t="s">
        <v>4550</v>
      </c>
      <c r="I113" s="58" t="s">
        <v>878</v>
      </c>
      <c r="J113" s="58" t="s">
        <v>304</v>
      </c>
      <c r="K113" s="103" t="s">
        <v>4010</v>
      </c>
      <c r="L113" s="53" t="s">
        <v>170</v>
      </c>
      <c r="M113" s="68">
        <v>1</v>
      </c>
      <c r="N113" s="68" t="s">
        <v>150</v>
      </c>
      <c r="O113" s="58" t="s">
        <v>5025</v>
      </c>
      <c r="P113" s="53" t="s">
        <v>3891</v>
      </c>
      <c r="Q113" s="58"/>
      <c r="R113" s="53">
        <v>2021</v>
      </c>
      <c r="S113" s="68"/>
      <c r="T113" s="53"/>
      <c r="U113" s="53"/>
      <c r="V113" s="53" t="s">
        <v>647</v>
      </c>
      <c r="W113" s="59" t="s">
        <v>236</v>
      </c>
      <c r="X113" s="57" t="s">
        <v>4010</v>
      </c>
      <c r="Y113" s="59" t="s">
        <v>879</v>
      </c>
      <c r="Z113" s="53" t="s">
        <v>880</v>
      </c>
      <c r="AA113" s="58"/>
      <c r="AB113" s="76" t="s">
        <v>156</v>
      </c>
      <c r="AC113" s="58" t="s">
        <v>157</v>
      </c>
      <c r="AD113" s="58" t="s">
        <v>157</v>
      </c>
      <c r="AE113" s="58"/>
      <c r="AF113" s="148"/>
      <c r="AG113" s="58" t="s">
        <v>881</v>
      </c>
      <c r="AH113" s="53"/>
      <c r="AI113" s="58"/>
      <c r="AJ113" s="61" t="s">
        <v>882</v>
      </c>
      <c r="AK113" s="68" t="s">
        <v>156</v>
      </c>
      <c r="AL113" s="59" t="s">
        <v>366</v>
      </c>
      <c r="AM113" s="74" t="s">
        <v>883</v>
      </c>
      <c r="AN113" s="65" t="s">
        <v>884</v>
      </c>
      <c r="AO113" s="68" t="s">
        <v>164</v>
      </c>
      <c r="AP113" s="89"/>
      <c r="AQ113" s="58" t="s">
        <v>515</v>
      </c>
      <c r="AR113" s="38"/>
      <c r="AT113" s="40"/>
      <c r="AU113" s="40"/>
      <c r="AV113" s="54">
        <v>7140202</v>
      </c>
      <c r="AW113" s="53">
        <v>104</v>
      </c>
      <c r="AY113" s="40"/>
      <c r="AZ113" s="40"/>
      <c r="BI113" s="36"/>
      <c r="BJ113" s="36"/>
      <c r="BK113" s="37"/>
      <c r="BN113" s="16"/>
      <c r="BO113" s="16"/>
    </row>
    <row r="114" spans="1:67" s="67" customFormat="1" ht="16.5" customHeight="1" x14ac:dyDescent="0.25">
      <c r="A114" s="16"/>
      <c r="B114" s="68">
        <f>SUBTOTAL(103,$K$83:K114)</f>
        <v>32</v>
      </c>
      <c r="C114" s="59" t="s">
        <v>645</v>
      </c>
      <c r="D114" s="53" t="s">
        <v>158</v>
      </c>
      <c r="E114" s="53" t="s">
        <v>19</v>
      </c>
      <c r="F114" s="53" t="s">
        <v>639</v>
      </c>
      <c r="G114" s="53" t="s">
        <v>4519</v>
      </c>
      <c r="H114" s="68" t="s">
        <v>4551</v>
      </c>
      <c r="I114" s="58" t="s">
        <v>182</v>
      </c>
      <c r="J114" s="58" t="s">
        <v>304</v>
      </c>
      <c r="K114" s="103" t="s">
        <v>4011</v>
      </c>
      <c r="L114" s="53" t="s">
        <v>170</v>
      </c>
      <c r="M114" s="68">
        <v>1</v>
      </c>
      <c r="N114" s="68" t="s">
        <v>150</v>
      </c>
      <c r="O114" s="58" t="s">
        <v>5025</v>
      </c>
      <c r="P114" s="53" t="s">
        <v>3891</v>
      </c>
      <c r="Q114" s="58"/>
      <c r="R114" s="53">
        <v>2012</v>
      </c>
      <c r="S114" s="53"/>
      <c r="T114" s="53"/>
      <c r="U114" s="53"/>
      <c r="V114" s="53" t="s">
        <v>779</v>
      </c>
      <c r="W114" s="53" t="s">
        <v>236</v>
      </c>
      <c r="X114" s="57" t="s">
        <v>4011</v>
      </c>
      <c r="Y114" s="59" t="s">
        <v>857</v>
      </c>
      <c r="Z114" s="53" t="s">
        <v>885</v>
      </c>
      <c r="AA114" s="58"/>
      <c r="AB114" s="76" t="s">
        <v>156</v>
      </c>
      <c r="AC114" s="58" t="s">
        <v>157</v>
      </c>
      <c r="AD114" s="53" t="s">
        <v>157</v>
      </c>
      <c r="AE114" s="53"/>
      <c r="AF114" s="148"/>
      <c r="AG114" s="59" t="s">
        <v>886</v>
      </c>
      <c r="AH114" s="53"/>
      <c r="AI114" s="58" t="s">
        <v>887</v>
      </c>
      <c r="AJ114" s="61" t="s">
        <v>888</v>
      </c>
      <c r="AK114" s="68" t="s">
        <v>156</v>
      </c>
      <c r="AL114" s="59" t="s">
        <v>161</v>
      </c>
      <c r="AM114" s="64" t="s">
        <v>889</v>
      </c>
      <c r="AN114" s="65" t="s">
        <v>890</v>
      </c>
      <c r="AO114" s="53" t="s">
        <v>164</v>
      </c>
      <c r="AP114" s="64"/>
      <c r="AQ114" s="58" t="s">
        <v>799</v>
      </c>
      <c r="AR114" s="38"/>
      <c r="AT114" s="40"/>
      <c r="AU114" s="40"/>
      <c r="AV114" s="54">
        <v>7140202</v>
      </c>
      <c r="AW114" s="53">
        <v>105</v>
      </c>
      <c r="AY114" s="40"/>
      <c r="AZ114" s="40"/>
      <c r="BI114" s="36"/>
      <c r="BJ114" s="36"/>
      <c r="BK114" s="37"/>
      <c r="BN114" s="16"/>
      <c r="BO114" s="16"/>
    </row>
    <row r="115" spans="1:67" s="67" customFormat="1" ht="16.5" customHeight="1" x14ac:dyDescent="0.25">
      <c r="A115" s="16"/>
      <c r="B115" s="68">
        <f>SUBTOTAL(103,$K$83:K115)</f>
        <v>33</v>
      </c>
      <c r="C115" s="59" t="s">
        <v>891</v>
      </c>
      <c r="D115" s="53" t="s">
        <v>158</v>
      </c>
      <c r="E115" s="68" t="s">
        <v>19</v>
      </c>
      <c r="F115" s="68" t="s">
        <v>639</v>
      </c>
      <c r="G115" s="53" t="s">
        <v>4519</v>
      </c>
      <c r="H115" s="68" t="s">
        <v>4552</v>
      </c>
      <c r="I115" s="58" t="s">
        <v>892</v>
      </c>
      <c r="J115" s="58" t="s">
        <v>500</v>
      </c>
      <c r="K115" s="234" t="s">
        <v>4012</v>
      </c>
      <c r="L115" s="53" t="s">
        <v>170</v>
      </c>
      <c r="M115" s="68">
        <v>1</v>
      </c>
      <c r="N115" s="53" t="s">
        <v>150</v>
      </c>
      <c r="O115" s="58" t="s">
        <v>5025</v>
      </c>
      <c r="P115" s="53" t="s">
        <v>3891</v>
      </c>
      <c r="Q115" s="58"/>
      <c r="R115" s="53">
        <v>2010</v>
      </c>
      <c r="S115" s="53"/>
      <c r="T115" s="68"/>
      <c r="U115" s="68"/>
      <c r="V115" s="53" t="s">
        <v>693</v>
      </c>
      <c r="W115" s="59" t="s">
        <v>236</v>
      </c>
      <c r="X115" s="81" t="s">
        <v>4012</v>
      </c>
      <c r="Y115" s="59" t="s">
        <v>894</v>
      </c>
      <c r="Z115" s="53" t="s">
        <v>895</v>
      </c>
      <c r="AA115" s="58"/>
      <c r="AB115" s="76" t="s">
        <v>156</v>
      </c>
      <c r="AC115" s="53" t="s">
        <v>157</v>
      </c>
      <c r="AD115" s="53" t="s">
        <v>157</v>
      </c>
      <c r="AE115" s="58"/>
      <c r="AF115" s="148"/>
      <c r="AG115" s="58" t="s">
        <v>896</v>
      </c>
      <c r="AH115" s="59"/>
      <c r="AI115" s="64" t="s">
        <v>893</v>
      </c>
      <c r="AJ115" s="61" t="s">
        <v>897</v>
      </c>
      <c r="AK115" s="68" t="s">
        <v>156</v>
      </c>
      <c r="AL115" s="59" t="s">
        <v>483</v>
      </c>
      <c r="AM115" s="74" t="s">
        <v>592</v>
      </c>
      <c r="AN115" s="65" t="s">
        <v>898</v>
      </c>
      <c r="AO115" s="53" t="s">
        <v>164</v>
      </c>
      <c r="AP115" s="64" t="s">
        <v>899</v>
      </c>
      <c r="AQ115" s="58" t="s">
        <v>900</v>
      </c>
      <c r="AR115" s="38"/>
      <c r="AT115" s="40"/>
      <c r="AU115" s="40"/>
      <c r="AV115" s="54">
        <v>7140202</v>
      </c>
      <c r="AW115" s="53">
        <v>106</v>
      </c>
      <c r="AY115" s="40"/>
      <c r="AZ115" s="40"/>
      <c r="BI115" s="36"/>
      <c r="BJ115" s="36"/>
      <c r="BK115" s="37"/>
      <c r="BN115" s="16"/>
      <c r="BO115" s="16"/>
    </row>
    <row r="116" spans="1:67" s="67" customFormat="1" ht="16.5" customHeight="1" x14ac:dyDescent="0.25">
      <c r="A116" s="16"/>
      <c r="B116" s="68">
        <f>SUBTOTAL(103,$K$83:K116)</f>
        <v>34</v>
      </c>
      <c r="C116" s="59" t="s">
        <v>901</v>
      </c>
      <c r="D116" s="53" t="s">
        <v>158</v>
      </c>
      <c r="E116" s="68" t="s">
        <v>19</v>
      </c>
      <c r="F116" s="53" t="s">
        <v>639</v>
      </c>
      <c r="G116" s="53" t="s">
        <v>4519</v>
      </c>
      <c r="H116" s="68" t="s">
        <v>4553</v>
      </c>
      <c r="I116" s="58" t="s">
        <v>902</v>
      </c>
      <c r="J116" s="58" t="s">
        <v>500</v>
      </c>
      <c r="K116" s="103" t="s">
        <v>4013</v>
      </c>
      <c r="L116" s="68" t="s">
        <v>170</v>
      </c>
      <c r="M116" s="68">
        <v>1</v>
      </c>
      <c r="N116" s="68" t="s">
        <v>150</v>
      </c>
      <c r="O116" s="58" t="s">
        <v>5025</v>
      </c>
      <c r="P116" s="53" t="s">
        <v>3891</v>
      </c>
      <c r="Q116" s="58"/>
      <c r="R116" s="53">
        <v>2019</v>
      </c>
      <c r="S116" s="68"/>
      <c r="T116" s="53"/>
      <c r="U116" s="53"/>
      <c r="V116" s="53" t="s">
        <v>779</v>
      </c>
      <c r="W116" s="59" t="s">
        <v>236</v>
      </c>
      <c r="X116" s="57" t="s">
        <v>4013</v>
      </c>
      <c r="Y116" s="59" t="s">
        <v>694</v>
      </c>
      <c r="Z116" s="53" t="s">
        <v>903</v>
      </c>
      <c r="AA116" s="58"/>
      <c r="AB116" s="76" t="s">
        <v>156</v>
      </c>
      <c r="AC116" s="58" t="s">
        <v>157</v>
      </c>
      <c r="AD116" s="58" t="s">
        <v>157</v>
      </c>
      <c r="AE116" s="58"/>
      <c r="AF116" s="148"/>
      <c r="AG116" s="59" t="s">
        <v>904</v>
      </c>
      <c r="AH116" s="53"/>
      <c r="AI116" s="58" t="s">
        <v>905</v>
      </c>
      <c r="AJ116" s="61" t="s">
        <v>906</v>
      </c>
      <c r="AK116" s="68" t="s">
        <v>156</v>
      </c>
      <c r="AL116" s="71" t="s">
        <v>725</v>
      </c>
      <c r="AM116" s="64" t="s">
        <v>907</v>
      </c>
      <c r="AN116" s="65" t="s">
        <v>908</v>
      </c>
      <c r="AO116" s="53" t="s">
        <v>164</v>
      </c>
      <c r="AP116" s="66" t="s">
        <v>909</v>
      </c>
      <c r="AQ116" s="58" t="s">
        <v>515</v>
      </c>
      <c r="AR116" s="38"/>
      <c r="AT116" s="40"/>
      <c r="AU116" s="40"/>
      <c r="AV116" s="54">
        <v>7140202</v>
      </c>
      <c r="AW116" s="53">
        <v>107</v>
      </c>
      <c r="AY116" s="40"/>
      <c r="AZ116" s="40"/>
      <c r="BI116" s="36"/>
      <c r="BJ116" s="36"/>
      <c r="BK116" s="37"/>
      <c r="BN116" s="16"/>
      <c r="BO116" s="16"/>
    </row>
    <row r="117" spans="1:67" s="67" customFormat="1" ht="16.5" customHeight="1" x14ac:dyDescent="0.25">
      <c r="A117" s="16"/>
      <c r="B117" s="68">
        <f>SUBTOTAL(103,$K$83:K117)</f>
        <v>35</v>
      </c>
      <c r="C117" s="59" t="s">
        <v>910</v>
      </c>
      <c r="D117" s="53" t="s">
        <v>158</v>
      </c>
      <c r="E117" s="53" t="s">
        <v>19</v>
      </c>
      <c r="F117" s="53" t="s">
        <v>639</v>
      </c>
      <c r="G117" s="53" t="s">
        <v>4519</v>
      </c>
      <c r="H117" s="68" t="s">
        <v>4554</v>
      </c>
      <c r="I117" s="58" t="s">
        <v>472</v>
      </c>
      <c r="J117" s="58" t="s">
        <v>606</v>
      </c>
      <c r="K117" s="103" t="s">
        <v>4014</v>
      </c>
      <c r="L117" s="53" t="s">
        <v>170</v>
      </c>
      <c r="M117" s="68">
        <v>1</v>
      </c>
      <c r="N117" s="53" t="s">
        <v>150</v>
      </c>
      <c r="O117" s="58" t="s">
        <v>5025</v>
      </c>
      <c r="P117" s="53" t="s">
        <v>3891</v>
      </c>
      <c r="Q117" s="58"/>
      <c r="R117" s="53">
        <v>2017</v>
      </c>
      <c r="S117" s="68"/>
      <c r="T117" s="53"/>
      <c r="U117" s="53"/>
      <c r="V117" s="53" t="s">
        <v>779</v>
      </c>
      <c r="W117" s="59" t="s">
        <v>236</v>
      </c>
      <c r="X117" s="57" t="s">
        <v>4014</v>
      </c>
      <c r="Y117" s="59" t="s">
        <v>857</v>
      </c>
      <c r="Z117" s="53" t="s">
        <v>911</v>
      </c>
      <c r="AA117" s="58"/>
      <c r="AB117" s="76" t="s">
        <v>156</v>
      </c>
      <c r="AC117" s="58" t="s">
        <v>157</v>
      </c>
      <c r="AD117" s="53" t="s">
        <v>157</v>
      </c>
      <c r="AE117" s="53"/>
      <c r="AF117" s="148"/>
      <c r="AG117" s="58" t="s">
        <v>912</v>
      </c>
      <c r="AH117" s="53"/>
      <c r="AI117" s="58" t="s">
        <v>913</v>
      </c>
      <c r="AJ117" s="61" t="s">
        <v>914</v>
      </c>
      <c r="AK117" s="68" t="s">
        <v>156</v>
      </c>
      <c r="AL117" s="63" t="s">
        <v>220</v>
      </c>
      <c r="AM117" s="64" t="s">
        <v>915</v>
      </c>
      <c r="AN117" s="65" t="s">
        <v>916</v>
      </c>
      <c r="AO117" s="53" t="s">
        <v>164</v>
      </c>
      <c r="AP117" s="64"/>
      <c r="AQ117" s="58" t="s">
        <v>449</v>
      </c>
      <c r="AR117" s="38"/>
      <c r="AT117" s="40"/>
      <c r="AU117" s="40"/>
      <c r="AV117" s="54">
        <v>7140202</v>
      </c>
      <c r="AW117" s="53">
        <v>108</v>
      </c>
      <c r="AY117" s="40"/>
      <c r="AZ117" s="40"/>
      <c r="BI117" s="36"/>
      <c r="BJ117" s="36"/>
      <c r="BK117" s="37"/>
      <c r="BN117" s="16"/>
      <c r="BO117" s="16"/>
    </row>
    <row r="118" spans="1:67" s="67" customFormat="1" ht="16.5" customHeight="1" x14ac:dyDescent="0.25">
      <c r="A118" s="16"/>
      <c r="B118" s="68">
        <f>SUBTOTAL(103,$K$83:K118)</f>
        <v>36</v>
      </c>
      <c r="C118" s="59" t="s">
        <v>917</v>
      </c>
      <c r="D118" s="53" t="s">
        <v>158</v>
      </c>
      <c r="E118" s="53" t="s">
        <v>19</v>
      </c>
      <c r="F118" s="53" t="s">
        <v>639</v>
      </c>
      <c r="G118" s="53" t="s">
        <v>4519</v>
      </c>
      <c r="H118" s="68" t="s">
        <v>4555</v>
      </c>
      <c r="I118" s="58" t="s">
        <v>168</v>
      </c>
      <c r="J118" s="58" t="s">
        <v>269</v>
      </c>
      <c r="K118" s="103" t="s">
        <v>4015</v>
      </c>
      <c r="L118" s="53" t="s">
        <v>170</v>
      </c>
      <c r="M118" s="68">
        <v>1</v>
      </c>
      <c r="N118" s="53" t="s">
        <v>150</v>
      </c>
      <c r="O118" s="58" t="s">
        <v>5025</v>
      </c>
      <c r="P118" s="53" t="s">
        <v>3891</v>
      </c>
      <c r="Q118" s="58"/>
      <c r="R118" s="53">
        <v>2017</v>
      </c>
      <c r="S118" s="53"/>
      <c r="T118" s="53"/>
      <c r="U118" s="53"/>
      <c r="V118" s="53" t="s">
        <v>693</v>
      </c>
      <c r="W118" s="53" t="s">
        <v>236</v>
      </c>
      <c r="X118" s="57" t="s">
        <v>4015</v>
      </c>
      <c r="Y118" s="53" t="s">
        <v>686</v>
      </c>
      <c r="Z118" s="53" t="s">
        <v>918</v>
      </c>
      <c r="AA118" s="58"/>
      <c r="AB118" s="76" t="s">
        <v>156</v>
      </c>
      <c r="AC118" s="58" t="s">
        <v>157</v>
      </c>
      <c r="AD118" s="58" t="s">
        <v>157</v>
      </c>
      <c r="AE118" s="58"/>
      <c r="AF118" s="58"/>
      <c r="AG118" s="58" t="s">
        <v>919</v>
      </c>
      <c r="AH118" s="53"/>
      <c r="AI118" s="58" t="s">
        <v>788</v>
      </c>
      <c r="AJ118" s="61" t="s">
        <v>920</v>
      </c>
      <c r="AK118" s="68" t="s">
        <v>156</v>
      </c>
      <c r="AL118" s="58" t="s">
        <v>921</v>
      </c>
      <c r="AM118" s="64" t="s">
        <v>922</v>
      </c>
      <c r="AN118" s="65" t="s">
        <v>923</v>
      </c>
      <c r="AO118" s="53" t="s">
        <v>164</v>
      </c>
      <c r="AP118" s="64"/>
      <c r="AQ118" s="58" t="s">
        <v>267</v>
      </c>
      <c r="AR118" s="38"/>
      <c r="AT118" s="40"/>
      <c r="AU118" s="40"/>
      <c r="AV118" s="54">
        <v>7140202</v>
      </c>
      <c r="AW118" s="53">
        <v>109</v>
      </c>
      <c r="AY118" s="40"/>
      <c r="AZ118" s="40"/>
      <c r="BI118" s="36"/>
      <c r="BJ118" s="36"/>
      <c r="BK118" s="37"/>
      <c r="BN118" s="16"/>
      <c r="BO118" s="16"/>
    </row>
    <row r="119" spans="1:67" s="67" customFormat="1" ht="16.5" customHeight="1" x14ac:dyDescent="0.25">
      <c r="A119" s="16"/>
      <c r="B119" s="68">
        <f>SUBTOTAL(103,$K$83:K119)</f>
        <v>37</v>
      </c>
      <c r="C119" s="59" t="s">
        <v>924</v>
      </c>
      <c r="D119" s="53" t="s">
        <v>158</v>
      </c>
      <c r="E119" s="68" t="s">
        <v>19</v>
      </c>
      <c r="F119" s="59" t="s">
        <v>639</v>
      </c>
      <c r="G119" s="53" t="s">
        <v>4519</v>
      </c>
      <c r="H119" s="68" t="s">
        <v>4556</v>
      </c>
      <c r="I119" s="73" t="s">
        <v>925</v>
      </c>
      <c r="J119" s="74" t="s">
        <v>926</v>
      </c>
      <c r="K119" s="75" t="s">
        <v>4016</v>
      </c>
      <c r="L119" s="59" t="s">
        <v>170</v>
      </c>
      <c r="M119" s="68">
        <v>1</v>
      </c>
      <c r="N119" s="59" t="s">
        <v>150</v>
      </c>
      <c r="O119" s="58" t="s">
        <v>5025</v>
      </c>
      <c r="P119" s="53" t="s">
        <v>3891</v>
      </c>
      <c r="Q119" s="58"/>
      <c r="R119" s="59" t="s">
        <v>410</v>
      </c>
      <c r="S119" s="59"/>
      <c r="T119" s="59"/>
      <c r="U119" s="59"/>
      <c r="V119" s="59" t="s">
        <v>685</v>
      </c>
      <c r="W119" s="59" t="s">
        <v>236</v>
      </c>
      <c r="X119" s="75" t="s">
        <v>4016</v>
      </c>
      <c r="Y119" s="59" t="s">
        <v>879</v>
      </c>
      <c r="Z119" s="59" t="s">
        <v>918</v>
      </c>
      <c r="AA119" s="58"/>
      <c r="AB119" s="76" t="s">
        <v>156</v>
      </c>
      <c r="AC119" s="59" t="s">
        <v>157</v>
      </c>
      <c r="AD119" s="59" t="s">
        <v>157</v>
      </c>
      <c r="AE119" s="59"/>
      <c r="AF119" s="59"/>
      <c r="AG119" s="59" t="s">
        <v>927</v>
      </c>
      <c r="AH119" s="59"/>
      <c r="AI119" s="74" t="s">
        <v>928</v>
      </c>
      <c r="AJ119" s="166" t="s">
        <v>929</v>
      </c>
      <c r="AK119" s="71" t="s">
        <v>156</v>
      </c>
      <c r="AL119" s="71" t="s">
        <v>413</v>
      </c>
      <c r="AM119" s="178" t="s">
        <v>930</v>
      </c>
      <c r="AN119" s="155" t="s">
        <v>931</v>
      </c>
      <c r="AO119" s="71" t="s">
        <v>164</v>
      </c>
      <c r="AP119" s="102"/>
      <c r="AQ119" s="63" t="s">
        <v>166</v>
      </c>
      <c r="AR119" s="38"/>
      <c r="AT119" s="40"/>
      <c r="AU119" s="40"/>
      <c r="AV119" s="54">
        <v>7140202</v>
      </c>
      <c r="AW119" s="53">
        <v>110</v>
      </c>
      <c r="AY119" s="40"/>
      <c r="AZ119" s="40"/>
      <c r="BI119" s="36"/>
      <c r="BJ119" s="36"/>
      <c r="BK119" s="37"/>
      <c r="BN119" s="16"/>
      <c r="BO119" s="16"/>
    </row>
    <row r="120" spans="1:67" s="67" customFormat="1" ht="16.5" customHeight="1" x14ac:dyDescent="0.25">
      <c r="A120" s="16"/>
      <c r="B120" s="68">
        <f>SUBTOTAL(103,$K$83:K120)</f>
        <v>38</v>
      </c>
      <c r="C120" s="59" t="s">
        <v>932</v>
      </c>
      <c r="D120" s="53" t="s">
        <v>158</v>
      </c>
      <c r="E120" s="53" t="s">
        <v>19</v>
      </c>
      <c r="F120" s="53" t="s">
        <v>639</v>
      </c>
      <c r="G120" s="53" t="s">
        <v>4519</v>
      </c>
      <c r="H120" s="68" t="s">
        <v>4557</v>
      </c>
      <c r="I120" s="58" t="s">
        <v>933</v>
      </c>
      <c r="J120" s="58" t="s">
        <v>934</v>
      </c>
      <c r="K120" s="103" t="s">
        <v>4017</v>
      </c>
      <c r="L120" s="53" t="s">
        <v>170</v>
      </c>
      <c r="M120" s="68">
        <v>1</v>
      </c>
      <c r="N120" s="53" t="s">
        <v>150</v>
      </c>
      <c r="O120" s="58" t="s">
        <v>5025</v>
      </c>
      <c r="P120" s="53" t="s">
        <v>3891</v>
      </c>
      <c r="Q120" s="58"/>
      <c r="R120" s="53">
        <v>2019</v>
      </c>
      <c r="S120" s="53"/>
      <c r="T120" s="53"/>
      <c r="U120" s="53"/>
      <c r="V120" s="53" t="s">
        <v>647</v>
      </c>
      <c r="W120" s="53" t="s">
        <v>236</v>
      </c>
      <c r="X120" s="57" t="s">
        <v>4017</v>
      </c>
      <c r="Y120" s="59" t="s">
        <v>686</v>
      </c>
      <c r="Z120" s="53" t="s">
        <v>935</v>
      </c>
      <c r="AA120" s="58"/>
      <c r="AB120" s="76" t="s">
        <v>156</v>
      </c>
      <c r="AC120" s="58" t="s">
        <v>157</v>
      </c>
      <c r="AD120" s="53" t="s">
        <v>157</v>
      </c>
      <c r="AE120" s="53"/>
      <c r="AF120" s="148"/>
      <c r="AG120" s="58" t="s">
        <v>936</v>
      </c>
      <c r="AH120" s="53"/>
      <c r="AI120" s="58" t="s">
        <v>937</v>
      </c>
      <c r="AJ120" s="167" t="s">
        <v>938</v>
      </c>
      <c r="AK120" s="62" t="s">
        <v>156</v>
      </c>
      <c r="AL120" s="63" t="s">
        <v>309</v>
      </c>
      <c r="AM120" s="102" t="s">
        <v>939</v>
      </c>
      <c r="AN120" s="157" t="s">
        <v>940</v>
      </c>
      <c r="AO120" s="152" t="s">
        <v>164</v>
      </c>
      <c r="AP120" s="102" t="s">
        <v>941</v>
      </c>
      <c r="AQ120" s="63" t="s">
        <v>277</v>
      </c>
      <c r="AR120" s="38"/>
      <c r="AT120" s="40"/>
      <c r="AU120" s="40"/>
      <c r="AV120" s="54">
        <v>7140202</v>
      </c>
      <c r="AW120" s="53">
        <v>111</v>
      </c>
      <c r="AY120" s="40"/>
      <c r="AZ120" s="40"/>
      <c r="BI120" s="36"/>
      <c r="BJ120" s="36"/>
      <c r="BK120" s="37"/>
      <c r="BN120" s="16"/>
      <c r="BO120" s="16"/>
    </row>
    <row r="121" spans="1:67" s="67" customFormat="1" ht="16.5" customHeight="1" x14ac:dyDescent="0.25">
      <c r="A121" s="16"/>
      <c r="B121" s="68">
        <f>SUBTOTAL(103,$K$83:K121)</f>
        <v>39</v>
      </c>
      <c r="C121" s="59" t="s">
        <v>942</v>
      </c>
      <c r="D121" s="53" t="s">
        <v>158</v>
      </c>
      <c r="E121" s="53" t="s">
        <v>19</v>
      </c>
      <c r="F121" s="53" t="s">
        <v>639</v>
      </c>
      <c r="G121" s="53" t="s">
        <v>4519</v>
      </c>
      <c r="H121" s="68" t="s">
        <v>4558</v>
      </c>
      <c r="I121" s="58" t="s">
        <v>314</v>
      </c>
      <c r="J121" s="58" t="s">
        <v>627</v>
      </c>
      <c r="K121" s="103" t="s">
        <v>4018</v>
      </c>
      <c r="L121" s="53" t="s">
        <v>170</v>
      </c>
      <c r="M121" s="68">
        <v>1</v>
      </c>
      <c r="N121" s="53" t="s">
        <v>150</v>
      </c>
      <c r="O121" s="58" t="s">
        <v>5025</v>
      </c>
      <c r="P121" s="53" t="s">
        <v>3891</v>
      </c>
      <c r="Q121" s="58"/>
      <c r="R121" s="53">
        <v>2016</v>
      </c>
      <c r="S121" s="53"/>
      <c r="T121" s="53"/>
      <c r="U121" s="53"/>
      <c r="V121" s="53" t="s">
        <v>779</v>
      </c>
      <c r="W121" s="53" t="s">
        <v>236</v>
      </c>
      <c r="X121" s="57" t="s">
        <v>4018</v>
      </c>
      <c r="Y121" s="53" t="s">
        <v>785</v>
      </c>
      <c r="Z121" s="53" t="s">
        <v>943</v>
      </c>
      <c r="AA121" s="58"/>
      <c r="AB121" s="76" t="s">
        <v>156</v>
      </c>
      <c r="AC121" s="58" t="s">
        <v>157</v>
      </c>
      <c r="AD121" s="53" t="s">
        <v>157</v>
      </c>
      <c r="AE121" s="58"/>
      <c r="AF121" s="58"/>
      <c r="AG121" s="58" t="s">
        <v>944</v>
      </c>
      <c r="AH121" s="53"/>
      <c r="AI121" s="58"/>
      <c r="AJ121" s="61" t="s">
        <v>945</v>
      </c>
      <c r="AK121" s="68" t="s">
        <v>156</v>
      </c>
      <c r="AL121" s="59" t="s">
        <v>161</v>
      </c>
      <c r="AM121" s="64" t="s">
        <v>946</v>
      </c>
      <c r="AN121" s="106" t="s">
        <v>947</v>
      </c>
      <c r="AO121" s="53" t="s">
        <v>164</v>
      </c>
      <c r="AP121" s="58"/>
      <c r="AQ121" s="63" t="s">
        <v>799</v>
      </c>
      <c r="AR121" s="38"/>
      <c r="AT121" s="40"/>
      <c r="AU121" s="40"/>
      <c r="AV121" s="54">
        <v>7140202</v>
      </c>
      <c r="AW121" s="53">
        <v>112</v>
      </c>
      <c r="AY121" s="40"/>
      <c r="AZ121" s="40"/>
      <c r="BI121" s="36"/>
      <c r="BJ121" s="36"/>
      <c r="BK121" s="37"/>
      <c r="BN121" s="16"/>
      <c r="BO121" s="16"/>
    </row>
    <row r="122" spans="1:67" s="67" customFormat="1" ht="16.5" customHeight="1" x14ac:dyDescent="0.25">
      <c r="A122" s="16"/>
      <c r="B122" s="68">
        <f>SUBTOTAL(103,$K$83:K122)</f>
        <v>40</v>
      </c>
      <c r="C122" s="59" t="s">
        <v>948</v>
      </c>
      <c r="D122" s="53" t="s">
        <v>158</v>
      </c>
      <c r="E122" s="68" t="s">
        <v>19</v>
      </c>
      <c r="F122" s="68" t="s">
        <v>639</v>
      </c>
      <c r="G122" s="53" t="s">
        <v>4519</v>
      </c>
      <c r="H122" s="68" t="s">
        <v>4559</v>
      </c>
      <c r="I122" s="58" t="s">
        <v>949</v>
      </c>
      <c r="J122" s="58" t="s">
        <v>370</v>
      </c>
      <c r="K122" s="234" t="s">
        <v>4019</v>
      </c>
      <c r="L122" s="53" t="s">
        <v>170</v>
      </c>
      <c r="M122" s="68">
        <v>1</v>
      </c>
      <c r="N122" s="59" t="s">
        <v>150</v>
      </c>
      <c r="O122" s="58" t="s">
        <v>5025</v>
      </c>
      <c r="P122" s="53" t="s">
        <v>3891</v>
      </c>
      <c r="Q122" s="58"/>
      <c r="R122" s="53">
        <v>2021</v>
      </c>
      <c r="S122" s="59"/>
      <c r="T122" s="68"/>
      <c r="U122" s="68"/>
      <c r="V122" s="53" t="s">
        <v>801</v>
      </c>
      <c r="W122" s="53" t="s">
        <v>236</v>
      </c>
      <c r="X122" s="81" t="s">
        <v>4019</v>
      </c>
      <c r="Y122" s="59" t="s">
        <v>694</v>
      </c>
      <c r="Z122" s="53" t="s">
        <v>950</v>
      </c>
      <c r="AA122" s="58"/>
      <c r="AB122" s="76" t="s">
        <v>156</v>
      </c>
      <c r="AC122" s="53" t="s">
        <v>157</v>
      </c>
      <c r="AD122" s="53" t="s">
        <v>157</v>
      </c>
      <c r="AE122" s="58"/>
      <c r="AF122" s="148"/>
      <c r="AG122" s="59" t="s">
        <v>851</v>
      </c>
      <c r="AH122" s="59"/>
      <c r="AI122" s="58"/>
      <c r="AJ122" s="179" t="s">
        <v>951</v>
      </c>
      <c r="AK122" s="59" t="s">
        <v>156</v>
      </c>
      <c r="AL122" s="180" t="s">
        <v>161</v>
      </c>
      <c r="AM122" s="181" t="s">
        <v>952</v>
      </c>
      <c r="AN122" s="182" t="s">
        <v>953</v>
      </c>
      <c r="AO122" s="164" t="s">
        <v>164</v>
      </c>
      <c r="AP122" s="66"/>
      <c r="AQ122" s="183" t="s">
        <v>900</v>
      </c>
      <c r="AR122" s="38"/>
      <c r="AT122" s="40"/>
      <c r="AU122" s="40"/>
      <c r="AV122" s="54">
        <v>7140202</v>
      </c>
      <c r="AW122" s="53">
        <v>113</v>
      </c>
      <c r="AY122" s="40"/>
      <c r="AZ122" s="40"/>
      <c r="BI122" s="36"/>
      <c r="BJ122" s="36"/>
      <c r="BK122" s="37"/>
      <c r="BN122" s="16"/>
      <c r="BO122" s="16"/>
    </row>
    <row r="123" spans="1:67" s="67" customFormat="1" ht="16.5" customHeight="1" x14ac:dyDescent="0.25">
      <c r="A123" s="16"/>
      <c r="B123" s="68">
        <f>SUBTOTAL(103,$K$83:K123)</f>
        <v>41</v>
      </c>
      <c r="C123" s="59" t="s">
        <v>954</v>
      </c>
      <c r="D123" s="53" t="s">
        <v>158</v>
      </c>
      <c r="E123" s="68" t="s">
        <v>19</v>
      </c>
      <c r="F123" s="59" t="s">
        <v>639</v>
      </c>
      <c r="G123" s="53" t="s">
        <v>4519</v>
      </c>
      <c r="H123" s="68" t="s">
        <v>4560</v>
      </c>
      <c r="I123" s="58" t="s">
        <v>254</v>
      </c>
      <c r="J123" s="58" t="s">
        <v>370</v>
      </c>
      <c r="K123" s="103" t="s">
        <v>4020</v>
      </c>
      <c r="L123" s="68" t="s">
        <v>170</v>
      </c>
      <c r="M123" s="68">
        <v>1</v>
      </c>
      <c r="N123" s="68" t="s">
        <v>150</v>
      </c>
      <c r="O123" s="58" t="s">
        <v>5025</v>
      </c>
      <c r="P123" s="53" t="s">
        <v>3891</v>
      </c>
      <c r="Q123" s="58"/>
      <c r="R123" s="53">
        <v>2020</v>
      </c>
      <c r="S123" s="68"/>
      <c r="T123" s="53"/>
      <c r="U123" s="53"/>
      <c r="V123" s="53" t="s">
        <v>693</v>
      </c>
      <c r="W123" s="53" t="s">
        <v>153</v>
      </c>
      <c r="X123" s="57" t="s">
        <v>4020</v>
      </c>
      <c r="Y123" s="59" t="s">
        <v>857</v>
      </c>
      <c r="Z123" s="53">
        <v>24.1</v>
      </c>
      <c r="AA123" s="58"/>
      <c r="AB123" s="76" t="s">
        <v>156</v>
      </c>
      <c r="AC123" s="53" t="s">
        <v>157</v>
      </c>
      <c r="AD123" s="53" t="s">
        <v>157</v>
      </c>
      <c r="AE123" s="58"/>
      <c r="AF123" s="148"/>
      <c r="AG123" s="74" t="s">
        <v>955</v>
      </c>
      <c r="AH123" s="53"/>
      <c r="AI123" s="58"/>
      <c r="AJ123" s="167" t="s">
        <v>956</v>
      </c>
      <c r="AK123" s="68" t="s">
        <v>156</v>
      </c>
      <c r="AL123" s="71" t="s">
        <v>241</v>
      </c>
      <c r="AM123" s="102" t="s">
        <v>957</v>
      </c>
      <c r="AN123" s="157" t="s">
        <v>958</v>
      </c>
      <c r="AO123" s="152" t="s">
        <v>164</v>
      </c>
      <c r="AP123" s="66" t="s">
        <v>959</v>
      </c>
      <c r="AQ123" s="67" t="s">
        <v>960</v>
      </c>
      <c r="AR123" s="38"/>
      <c r="AT123" s="40"/>
      <c r="AU123" s="40"/>
      <c r="AV123" s="54">
        <v>7140202</v>
      </c>
      <c r="AW123" s="53">
        <v>114</v>
      </c>
      <c r="AY123" s="40"/>
      <c r="AZ123" s="40"/>
      <c r="BI123" s="36"/>
      <c r="BJ123" s="36"/>
      <c r="BK123" s="37"/>
      <c r="BN123" s="16"/>
      <c r="BO123" s="16"/>
    </row>
    <row r="124" spans="1:67" s="67" customFormat="1" ht="16.5" customHeight="1" x14ac:dyDescent="0.25">
      <c r="A124" s="16"/>
      <c r="B124" s="68">
        <f>SUBTOTAL(103,$K$83:K124)</f>
        <v>42</v>
      </c>
      <c r="C124" s="59" t="s">
        <v>961</v>
      </c>
      <c r="D124" s="53" t="s">
        <v>158</v>
      </c>
      <c r="E124" s="68" t="s">
        <v>19</v>
      </c>
      <c r="F124" s="53" t="s">
        <v>639</v>
      </c>
      <c r="G124" s="53" t="s">
        <v>4519</v>
      </c>
      <c r="H124" s="68" t="s">
        <v>4561</v>
      </c>
      <c r="I124" s="58" t="s">
        <v>962</v>
      </c>
      <c r="J124" s="58" t="s">
        <v>370</v>
      </c>
      <c r="K124" s="103" t="s">
        <v>4021</v>
      </c>
      <c r="L124" s="68" t="s">
        <v>170</v>
      </c>
      <c r="M124" s="68">
        <v>1</v>
      </c>
      <c r="N124" s="68" t="s">
        <v>150</v>
      </c>
      <c r="O124" s="58" t="s">
        <v>5025</v>
      </c>
      <c r="P124" s="53" t="s">
        <v>3891</v>
      </c>
      <c r="Q124" s="58"/>
      <c r="R124" s="53">
        <v>2019</v>
      </c>
      <c r="S124" s="68"/>
      <c r="T124" s="53"/>
      <c r="U124" s="53"/>
      <c r="V124" s="53" t="s">
        <v>779</v>
      </c>
      <c r="W124" s="53" t="s">
        <v>236</v>
      </c>
      <c r="X124" s="57" t="s">
        <v>4021</v>
      </c>
      <c r="Y124" s="59" t="s">
        <v>785</v>
      </c>
      <c r="Z124" s="53" t="s">
        <v>963</v>
      </c>
      <c r="AA124" s="58"/>
      <c r="AB124" s="76" t="s">
        <v>156</v>
      </c>
      <c r="AC124" s="53" t="s">
        <v>157</v>
      </c>
      <c r="AD124" s="53" t="s">
        <v>157</v>
      </c>
      <c r="AE124" s="58"/>
      <c r="AF124" s="148"/>
      <c r="AG124" s="64" t="s">
        <v>964</v>
      </c>
      <c r="AH124" s="53"/>
      <c r="AI124" s="58" t="s">
        <v>830</v>
      </c>
      <c r="AJ124" s="167" t="s">
        <v>965</v>
      </c>
      <c r="AK124" s="68" t="s">
        <v>156</v>
      </c>
      <c r="AL124" s="71" t="s">
        <v>413</v>
      </c>
      <c r="AM124" s="79" t="s">
        <v>966</v>
      </c>
      <c r="AN124" s="157" t="s">
        <v>967</v>
      </c>
      <c r="AO124" s="152" t="s">
        <v>164</v>
      </c>
      <c r="AP124" s="66"/>
      <c r="AQ124" s="67" t="s">
        <v>968</v>
      </c>
      <c r="AR124" s="38"/>
      <c r="AT124" s="40"/>
      <c r="AU124" s="40"/>
      <c r="AV124" s="54">
        <v>7140202</v>
      </c>
      <c r="AW124" s="53">
        <v>115</v>
      </c>
      <c r="AY124" s="40"/>
      <c r="AZ124" s="40"/>
      <c r="BI124" s="36"/>
      <c r="BJ124" s="36"/>
      <c r="BK124" s="37"/>
      <c r="BN124" s="16"/>
      <c r="BO124" s="16"/>
    </row>
    <row r="125" spans="1:67" s="67" customFormat="1" ht="16.5" customHeight="1" x14ac:dyDescent="0.25">
      <c r="A125" s="16"/>
      <c r="B125" s="68">
        <f>SUBTOTAL(103,$K$83:K125)</f>
        <v>43</v>
      </c>
      <c r="C125" s="59" t="s">
        <v>969</v>
      </c>
      <c r="D125" s="53" t="s">
        <v>158</v>
      </c>
      <c r="E125" s="53" t="s">
        <v>19</v>
      </c>
      <c r="F125" s="59" t="s">
        <v>639</v>
      </c>
      <c r="G125" s="53" t="s">
        <v>4519</v>
      </c>
      <c r="H125" s="68" t="s">
        <v>4562</v>
      </c>
      <c r="I125" s="58" t="s">
        <v>970</v>
      </c>
      <c r="J125" s="58" t="s">
        <v>370</v>
      </c>
      <c r="K125" s="103" t="s">
        <v>4022</v>
      </c>
      <c r="L125" s="53" t="s">
        <v>170</v>
      </c>
      <c r="M125" s="68">
        <v>1</v>
      </c>
      <c r="N125" s="53" t="s">
        <v>150</v>
      </c>
      <c r="O125" s="58" t="s">
        <v>5025</v>
      </c>
      <c r="P125" s="53" t="s">
        <v>3891</v>
      </c>
      <c r="Q125" s="58"/>
      <c r="R125" s="53">
        <v>2017</v>
      </c>
      <c r="S125" s="53"/>
      <c r="T125" s="53"/>
      <c r="U125" s="53"/>
      <c r="V125" s="53" t="s">
        <v>801</v>
      </c>
      <c r="W125" s="53" t="s">
        <v>236</v>
      </c>
      <c r="X125" s="57" t="s">
        <v>4022</v>
      </c>
      <c r="Y125" s="59" t="s">
        <v>857</v>
      </c>
      <c r="Z125" s="53" t="s">
        <v>971</v>
      </c>
      <c r="AA125" s="58"/>
      <c r="AB125" s="76" t="s">
        <v>156</v>
      </c>
      <c r="AC125" s="58" t="s">
        <v>157</v>
      </c>
      <c r="AD125" s="58" t="s">
        <v>157</v>
      </c>
      <c r="AE125" s="68"/>
      <c r="AF125" s="58"/>
      <c r="AG125" s="58" t="s">
        <v>904</v>
      </c>
      <c r="AH125" s="68"/>
      <c r="AI125" s="58"/>
      <c r="AJ125" s="167" t="s">
        <v>972</v>
      </c>
      <c r="AK125" s="68" t="s">
        <v>156</v>
      </c>
      <c r="AL125" s="63" t="s">
        <v>550</v>
      </c>
      <c r="AM125" s="64" t="s">
        <v>973</v>
      </c>
      <c r="AN125" s="157" t="s">
        <v>974</v>
      </c>
      <c r="AO125" s="152" t="s">
        <v>164</v>
      </c>
      <c r="AP125" s="66"/>
      <c r="AQ125" s="67" t="s">
        <v>975</v>
      </c>
      <c r="AR125" s="38"/>
      <c r="AT125" s="40"/>
      <c r="AU125" s="40"/>
      <c r="AV125" s="54">
        <v>7140202</v>
      </c>
      <c r="AW125" s="53">
        <v>116</v>
      </c>
      <c r="AY125" s="40"/>
      <c r="AZ125" s="40"/>
      <c r="BI125" s="36"/>
      <c r="BJ125" s="36"/>
      <c r="BK125" s="37"/>
      <c r="BN125" s="16"/>
      <c r="BO125" s="16"/>
    </row>
    <row r="126" spans="1:67" s="67" customFormat="1" ht="16.5" customHeight="1" x14ac:dyDescent="0.25">
      <c r="A126" s="16"/>
      <c r="B126" s="68">
        <f>SUBTOTAL(103,$K$83:K126)</f>
        <v>44</v>
      </c>
      <c r="C126" s="59" t="s">
        <v>976</v>
      </c>
      <c r="D126" s="53" t="s">
        <v>158</v>
      </c>
      <c r="E126" s="53" t="s">
        <v>19</v>
      </c>
      <c r="F126" s="53" t="s">
        <v>639</v>
      </c>
      <c r="G126" s="53" t="s">
        <v>4519</v>
      </c>
      <c r="H126" s="68" t="s">
        <v>4563</v>
      </c>
      <c r="I126" s="58" t="s">
        <v>977</v>
      </c>
      <c r="J126" s="58" t="s">
        <v>776</v>
      </c>
      <c r="K126" s="103" t="s">
        <v>4023</v>
      </c>
      <c r="L126" s="53" t="s">
        <v>170</v>
      </c>
      <c r="M126" s="68">
        <v>1</v>
      </c>
      <c r="N126" s="53" t="s">
        <v>150</v>
      </c>
      <c r="O126" s="58" t="s">
        <v>5025</v>
      </c>
      <c r="P126" s="53" t="s">
        <v>3891</v>
      </c>
      <c r="Q126" s="58"/>
      <c r="R126" s="53">
        <v>2021</v>
      </c>
      <c r="S126" s="53"/>
      <c r="T126" s="53"/>
      <c r="U126" s="53"/>
      <c r="V126" s="53" t="s">
        <v>607</v>
      </c>
      <c r="W126" s="53" t="s">
        <v>236</v>
      </c>
      <c r="X126" s="57" t="s">
        <v>4023</v>
      </c>
      <c r="Y126" s="53" t="s">
        <v>857</v>
      </c>
      <c r="Z126" s="53" t="s">
        <v>978</v>
      </c>
      <c r="AA126" s="58"/>
      <c r="AB126" s="76" t="s">
        <v>156</v>
      </c>
      <c r="AC126" s="58" t="s">
        <v>157</v>
      </c>
      <c r="AD126" s="58" t="s">
        <v>157</v>
      </c>
      <c r="AE126" s="58"/>
      <c r="AF126" s="58"/>
      <c r="AG126" s="64" t="s">
        <v>979</v>
      </c>
      <c r="AH126" s="53"/>
      <c r="AI126" s="58"/>
      <c r="AJ126" s="167" t="s">
        <v>980</v>
      </c>
      <c r="AK126" s="68" t="s">
        <v>156</v>
      </c>
      <c r="AL126" s="63" t="s">
        <v>436</v>
      </c>
      <c r="AM126" s="79" t="s">
        <v>981</v>
      </c>
      <c r="AN126" s="157" t="s">
        <v>982</v>
      </c>
      <c r="AO126" s="152" t="s">
        <v>164</v>
      </c>
      <c r="AP126" s="66"/>
      <c r="AQ126" s="88"/>
      <c r="AU126" s="40"/>
      <c r="AV126" s="54">
        <v>7140202</v>
      </c>
      <c r="AW126" s="53">
        <v>117</v>
      </c>
      <c r="BJ126" s="40"/>
      <c r="BK126" s="40"/>
      <c r="BN126" s="16"/>
      <c r="BO126" s="16"/>
    </row>
    <row r="127" spans="1:67" s="67" customFormat="1" ht="16.5" customHeight="1" x14ac:dyDescent="0.25">
      <c r="A127" s="16"/>
      <c r="B127" s="68">
        <f>SUBTOTAL(103,$K$83:K127)</f>
        <v>45</v>
      </c>
      <c r="C127" s="59" t="s">
        <v>983</v>
      </c>
      <c r="D127" s="53" t="s">
        <v>158</v>
      </c>
      <c r="E127" s="68" t="s">
        <v>19</v>
      </c>
      <c r="F127" s="53" t="s">
        <v>639</v>
      </c>
      <c r="G127" s="53" t="s">
        <v>4519</v>
      </c>
      <c r="H127" s="68" t="s">
        <v>4564</v>
      </c>
      <c r="I127" s="58" t="s">
        <v>984</v>
      </c>
      <c r="J127" s="58" t="s">
        <v>985</v>
      </c>
      <c r="K127" s="103" t="s">
        <v>4024</v>
      </c>
      <c r="L127" s="53" t="s">
        <v>170</v>
      </c>
      <c r="M127" s="68">
        <v>1</v>
      </c>
      <c r="N127" s="68" t="s">
        <v>150</v>
      </c>
      <c r="O127" s="58" t="s">
        <v>5025</v>
      </c>
      <c r="P127" s="53" t="s">
        <v>3891</v>
      </c>
      <c r="Q127" s="58"/>
      <c r="R127" s="53">
        <v>2020</v>
      </c>
      <c r="S127" s="68"/>
      <c r="T127" s="53"/>
      <c r="U127" s="53"/>
      <c r="V127" s="53" t="s">
        <v>986</v>
      </c>
      <c r="W127" s="53" t="s">
        <v>236</v>
      </c>
      <c r="X127" s="57" t="s">
        <v>4024</v>
      </c>
      <c r="Y127" s="59" t="s">
        <v>857</v>
      </c>
      <c r="Z127" s="53" t="s">
        <v>987</v>
      </c>
      <c r="AA127" s="58"/>
      <c r="AB127" s="98" t="s">
        <v>988</v>
      </c>
      <c r="AC127" s="58" t="s">
        <v>157</v>
      </c>
      <c r="AD127" s="53" t="s">
        <v>157</v>
      </c>
      <c r="AE127" s="53"/>
      <c r="AF127" s="148"/>
      <c r="AG127" s="58" t="s">
        <v>989</v>
      </c>
      <c r="AH127" s="53"/>
      <c r="AI127" s="58" t="s">
        <v>990</v>
      </c>
      <c r="AJ127" s="61" t="s">
        <v>991</v>
      </c>
      <c r="AK127" s="68" t="s">
        <v>988</v>
      </c>
      <c r="AL127" s="58" t="s">
        <v>992</v>
      </c>
      <c r="AM127" s="64" t="s">
        <v>993</v>
      </c>
      <c r="AN127" s="65" t="s">
        <v>994</v>
      </c>
      <c r="AO127" s="53" t="s">
        <v>164</v>
      </c>
      <c r="AP127" s="66"/>
      <c r="AQ127" s="67" t="s">
        <v>277</v>
      </c>
      <c r="AR127" s="38"/>
      <c r="AT127" s="40"/>
      <c r="AU127" s="40"/>
      <c r="AV127" s="54">
        <v>7140202</v>
      </c>
      <c r="AW127" s="53">
        <v>118</v>
      </c>
      <c r="AY127" s="40"/>
      <c r="AZ127" s="40"/>
      <c r="BI127" s="36"/>
      <c r="BJ127" s="36"/>
      <c r="BK127" s="37"/>
      <c r="BN127" s="16"/>
      <c r="BO127" s="16"/>
    </row>
    <row r="128" spans="1:67" s="67" customFormat="1" ht="16.5" customHeight="1" x14ac:dyDescent="0.25">
      <c r="A128" s="16"/>
      <c r="B128" s="53"/>
      <c r="C128" s="53"/>
      <c r="D128" s="53"/>
      <c r="E128" s="99"/>
      <c r="F128" s="49"/>
      <c r="G128" s="49"/>
      <c r="H128" s="49"/>
      <c r="I128" s="56" t="s">
        <v>2438</v>
      </c>
      <c r="J128" s="49"/>
      <c r="K128" s="103"/>
      <c r="L128" s="53"/>
      <c r="M128" s="53"/>
      <c r="N128" s="53"/>
      <c r="O128" s="100"/>
      <c r="P128" s="53"/>
      <c r="Q128" s="58"/>
      <c r="R128" s="53"/>
      <c r="S128" s="53"/>
      <c r="T128" s="53"/>
      <c r="U128" s="53"/>
      <c r="V128" s="53"/>
      <c r="W128" s="53"/>
      <c r="X128" s="57"/>
      <c r="Y128" s="68"/>
      <c r="Z128" s="68"/>
      <c r="AA128" s="58"/>
      <c r="AB128" s="60"/>
      <c r="AC128" s="58"/>
      <c r="AD128" s="58"/>
      <c r="AE128" s="58"/>
      <c r="AF128" s="68"/>
      <c r="AG128" s="64"/>
      <c r="AH128" s="53"/>
      <c r="AI128" s="64"/>
      <c r="AJ128" s="184"/>
      <c r="AK128" s="102"/>
      <c r="AL128" s="102"/>
      <c r="AM128" s="63"/>
      <c r="AN128" s="185"/>
      <c r="AO128" s="63"/>
      <c r="AP128" s="186"/>
      <c r="AQ128" s="63"/>
      <c r="AV128" s="54">
        <v>7140202</v>
      </c>
      <c r="AW128" s="53">
        <v>375</v>
      </c>
      <c r="BJ128" s="40"/>
      <c r="BK128" s="40"/>
      <c r="BN128" s="16"/>
      <c r="BO128" s="16"/>
    </row>
    <row r="129" spans="1:67" s="67" customFormat="1" ht="16.5" customHeight="1" x14ac:dyDescent="0.25">
      <c r="A129" s="16"/>
      <c r="B129" s="68">
        <f>SUBTOTAL(103,$K$83:K129)</f>
        <v>46</v>
      </c>
      <c r="C129" s="53">
        <v>1</v>
      </c>
      <c r="D129" s="53" t="s">
        <v>2118</v>
      </c>
      <c r="E129" s="110" t="s">
        <v>19</v>
      </c>
      <c r="F129" s="110" t="s">
        <v>105</v>
      </c>
      <c r="G129" s="110" t="s">
        <v>4598</v>
      </c>
      <c r="H129" s="110" t="s">
        <v>4565</v>
      </c>
      <c r="I129" s="108" t="s">
        <v>2439</v>
      </c>
      <c r="J129" s="108" t="s">
        <v>2361</v>
      </c>
      <c r="K129" s="144" t="s">
        <v>4025</v>
      </c>
      <c r="L129" s="110" t="s">
        <v>170</v>
      </c>
      <c r="M129" s="68">
        <v>1</v>
      </c>
      <c r="N129" s="110" t="s">
        <v>441</v>
      </c>
      <c r="O129" s="70" t="s">
        <v>5026</v>
      </c>
      <c r="P129" s="53" t="s">
        <v>3891</v>
      </c>
      <c r="Q129" s="108" t="s">
        <v>23</v>
      </c>
      <c r="R129" s="110">
        <v>2025</v>
      </c>
      <c r="S129" s="110" t="s">
        <v>236</v>
      </c>
      <c r="T129" s="110" t="s">
        <v>548</v>
      </c>
      <c r="U129" s="110" t="s">
        <v>461</v>
      </c>
      <c r="V129" s="110" t="s">
        <v>1183</v>
      </c>
      <c r="W129" s="110" t="s">
        <v>153</v>
      </c>
      <c r="X129" s="109" t="s">
        <v>4025</v>
      </c>
      <c r="Y129" s="110"/>
      <c r="Z129" s="110"/>
      <c r="AA129" s="58"/>
      <c r="AB129" s="187" t="s">
        <v>253</v>
      </c>
      <c r="AC129" s="108" t="s">
        <v>157</v>
      </c>
      <c r="AD129" s="108" t="s">
        <v>157</v>
      </c>
      <c r="AE129" s="108"/>
      <c r="AF129" s="53" t="s">
        <v>253</v>
      </c>
      <c r="AG129" s="108" t="s">
        <v>2139</v>
      </c>
      <c r="AH129" s="110" t="s">
        <v>155</v>
      </c>
      <c r="AI129" s="108"/>
      <c r="AJ129" s="115" t="s">
        <v>2440</v>
      </c>
      <c r="AK129" s="108" t="s">
        <v>253</v>
      </c>
      <c r="AL129" s="112" t="s">
        <v>2441</v>
      </c>
      <c r="AM129" s="112" t="s">
        <v>2442</v>
      </c>
      <c r="AN129" s="113" t="s">
        <v>2443</v>
      </c>
      <c r="AO129" s="108"/>
      <c r="AP129" s="108"/>
      <c r="AQ129" s="108"/>
      <c r="AR129" s="40"/>
      <c r="AS129" s="40"/>
      <c r="AT129" s="40"/>
      <c r="AV129" s="54">
        <v>7140202</v>
      </c>
      <c r="AW129" s="53">
        <v>376</v>
      </c>
      <c r="BJ129" s="40"/>
      <c r="BK129" s="40"/>
      <c r="BN129" s="16"/>
      <c r="BO129" s="16"/>
    </row>
    <row r="130" spans="1:67" s="67" customFormat="1" ht="16.5" customHeight="1" x14ac:dyDescent="0.25">
      <c r="A130" s="16"/>
      <c r="B130" s="68">
        <f>SUBTOTAL(103,$K$83:K130)</f>
        <v>47</v>
      </c>
      <c r="C130" s="53">
        <v>2</v>
      </c>
      <c r="D130" s="53" t="s">
        <v>2118</v>
      </c>
      <c r="E130" s="53" t="s">
        <v>19</v>
      </c>
      <c r="F130" s="53" t="s">
        <v>105</v>
      </c>
      <c r="G130" s="110" t="s">
        <v>4598</v>
      </c>
      <c r="H130" s="110" t="s">
        <v>4566</v>
      </c>
      <c r="I130" s="64" t="s">
        <v>2444</v>
      </c>
      <c r="J130" s="64" t="s">
        <v>1099</v>
      </c>
      <c r="K130" s="103" t="s">
        <v>4026</v>
      </c>
      <c r="L130" s="53" t="s">
        <v>170</v>
      </c>
      <c r="M130" s="68">
        <v>1</v>
      </c>
      <c r="N130" s="53" t="s">
        <v>509</v>
      </c>
      <c r="O130" s="70" t="s">
        <v>5026</v>
      </c>
      <c r="P130" s="53" t="s">
        <v>3891</v>
      </c>
      <c r="Q130" s="58" t="s">
        <v>2445</v>
      </c>
      <c r="R130" s="53">
        <v>2013</v>
      </c>
      <c r="S130" s="53" t="s">
        <v>153</v>
      </c>
      <c r="T130" s="123">
        <v>7.5</v>
      </c>
      <c r="U130" s="99"/>
      <c r="V130" s="99"/>
      <c r="W130" s="53"/>
      <c r="X130" s="103" t="s">
        <v>4026</v>
      </c>
      <c r="Y130" s="53"/>
      <c r="Z130" s="68"/>
      <c r="AA130" s="58"/>
      <c r="AB130" s="188" t="s">
        <v>2170</v>
      </c>
      <c r="AC130" s="58"/>
      <c r="AD130" s="58"/>
      <c r="AE130" s="58" t="s">
        <v>157</v>
      </c>
      <c r="AF130" s="58"/>
      <c r="AG130" s="58" t="s">
        <v>2217</v>
      </c>
      <c r="AH130" s="53" t="s">
        <v>155</v>
      </c>
      <c r="AI130" s="58"/>
      <c r="AJ130" s="101" t="s">
        <v>2446</v>
      </c>
      <c r="AK130" s="64" t="s">
        <v>2447</v>
      </c>
      <c r="AL130" s="102" t="s">
        <v>2448</v>
      </c>
      <c r="AM130" s="63" t="s">
        <v>2449</v>
      </c>
      <c r="AN130" s="103" t="s">
        <v>2450</v>
      </c>
      <c r="AO130" s="58"/>
      <c r="AP130" s="58"/>
      <c r="AQ130" s="58"/>
      <c r="AR130" s="66"/>
      <c r="AS130" s="66"/>
      <c r="AV130" s="54">
        <v>7140202</v>
      </c>
      <c r="AW130" s="53">
        <v>377</v>
      </c>
      <c r="BJ130" s="40"/>
      <c r="BK130" s="40"/>
      <c r="BN130" s="16"/>
      <c r="BO130" s="16"/>
    </row>
    <row r="131" spans="1:67" s="67" customFormat="1" ht="16.5" customHeight="1" x14ac:dyDescent="0.25">
      <c r="A131" s="16"/>
      <c r="B131" s="68">
        <f>SUBTOTAL(103,$K$83:K131)</f>
        <v>48</v>
      </c>
      <c r="C131" s="53">
        <v>3</v>
      </c>
      <c r="D131" s="53" t="s">
        <v>2118</v>
      </c>
      <c r="E131" s="53" t="s">
        <v>19</v>
      </c>
      <c r="F131" s="53" t="s">
        <v>105</v>
      </c>
      <c r="G131" s="110" t="s">
        <v>4598</v>
      </c>
      <c r="H131" s="110" t="s">
        <v>4567</v>
      </c>
      <c r="I131" s="58" t="s">
        <v>524</v>
      </c>
      <c r="J131" s="64" t="s">
        <v>2451</v>
      </c>
      <c r="K131" s="103" t="s">
        <v>4027</v>
      </c>
      <c r="L131" s="53" t="s">
        <v>170</v>
      </c>
      <c r="M131" s="68">
        <v>1</v>
      </c>
      <c r="N131" s="53" t="s">
        <v>150</v>
      </c>
      <c r="O131" s="70" t="s">
        <v>5026</v>
      </c>
      <c r="P131" s="53" t="s">
        <v>3891</v>
      </c>
      <c r="Q131" s="58" t="s">
        <v>26</v>
      </c>
      <c r="R131" s="53">
        <v>2012</v>
      </c>
      <c r="S131" s="53" t="s">
        <v>153</v>
      </c>
      <c r="T131" s="99" t="s">
        <v>2452</v>
      </c>
      <c r="U131" s="53"/>
      <c r="V131" s="53"/>
      <c r="W131" s="53"/>
      <c r="X131" s="103" t="s">
        <v>4027</v>
      </c>
      <c r="Y131" s="53"/>
      <c r="Z131" s="68"/>
      <c r="AA131" s="58"/>
      <c r="AB131" s="60" t="s">
        <v>2206</v>
      </c>
      <c r="AC131" s="58"/>
      <c r="AD131" s="58"/>
      <c r="AE131" s="58" t="s">
        <v>157</v>
      </c>
      <c r="AF131" s="58"/>
      <c r="AG131" s="58" t="s">
        <v>2453</v>
      </c>
      <c r="AH131" s="53" t="s">
        <v>155</v>
      </c>
      <c r="AI131" s="58" t="s">
        <v>2454</v>
      </c>
      <c r="AJ131" s="101" t="s">
        <v>2455</v>
      </c>
      <c r="AK131" s="64" t="s">
        <v>2206</v>
      </c>
      <c r="AL131" s="63" t="s">
        <v>2456</v>
      </c>
      <c r="AM131" s="63" t="s">
        <v>2457</v>
      </c>
      <c r="AN131" s="103" t="s">
        <v>2458</v>
      </c>
      <c r="AO131" s="58"/>
      <c r="AP131" s="58"/>
      <c r="AQ131" s="58"/>
      <c r="AS131" s="66"/>
      <c r="AV131" s="54">
        <v>7140202</v>
      </c>
      <c r="AW131" s="53">
        <v>378</v>
      </c>
      <c r="BJ131" s="40"/>
      <c r="BK131" s="40"/>
      <c r="BN131" s="16"/>
      <c r="BO131" s="16"/>
    </row>
    <row r="132" spans="1:67" s="67" customFormat="1" ht="16.5" customHeight="1" x14ac:dyDescent="0.25">
      <c r="A132" s="16"/>
      <c r="B132" s="68">
        <f>SUBTOTAL(103,$K$83:K132)</f>
        <v>49</v>
      </c>
      <c r="C132" s="53">
        <v>4</v>
      </c>
      <c r="D132" s="53" t="s">
        <v>2118</v>
      </c>
      <c r="E132" s="53" t="s">
        <v>19</v>
      </c>
      <c r="F132" s="53" t="s">
        <v>105</v>
      </c>
      <c r="G132" s="110" t="s">
        <v>4598</v>
      </c>
      <c r="H132" s="110" t="s">
        <v>4568</v>
      </c>
      <c r="I132" s="58" t="s">
        <v>2459</v>
      </c>
      <c r="J132" s="64" t="s">
        <v>2460</v>
      </c>
      <c r="K132" s="103" t="s">
        <v>4028</v>
      </c>
      <c r="L132" s="53" t="s">
        <v>170</v>
      </c>
      <c r="M132" s="68">
        <v>1</v>
      </c>
      <c r="N132" s="53" t="s">
        <v>150</v>
      </c>
      <c r="O132" s="70" t="s">
        <v>5026</v>
      </c>
      <c r="P132" s="53" t="s">
        <v>3891</v>
      </c>
      <c r="Q132" s="58" t="s">
        <v>2461</v>
      </c>
      <c r="R132" s="53">
        <v>2015</v>
      </c>
      <c r="S132" s="53" t="s">
        <v>153</v>
      </c>
      <c r="T132" s="53">
        <v>6.71</v>
      </c>
      <c r="U132" s="99" t="s">
        <v>2462</v>
      </c>
      <c r="V132" s="99"/>
      <c r="W132" s="53"/>
      <c r="X132" s="103" t="s">
        <v>4028</v>
      </c>
      <c r="Y132" s="53"/>
      <c r="Z132" s="68"/>
      <c r="AA132" s="58"/>
      <c r="AB132" s="60" t="s">
        <v>253</v>
      </c>
      <c r="AC132" s="58"/>
      <c r="AD132" s="58"/>
      <c r="AE132" s="58" t="s">
        <v>157</v>
      </c>
      <c r="AF132" s="58"/>
      <c r="AG132" s="58" t="s">
        <v>2463</v>
      </c>
      <c r="AH132" s="53" t="s">
        <v>155</v>
      </c>
      <c r="AI132" s="58"/>
      <c r="AJ132" s="101" t="s">
        <v>2464</v>
      </c>
      <c r="AK132" s="58" t="s">
        <v>2465</v>
      </c>
      <c r="AL132" s="63" t="s">
        <v>2441</v>
      </c>
      <c r="AM132" s="63" t="s">
        <v>2466</v>
      </c>
      <c r="AN132" s="103" t="s">
        <v>2467</v>
      </c>
      <c r="AO132" s="58" t="s">
        <v>2468</v>
      </c>
      <c r="AP132" s="58"/>
      <c r="AQ132" s="58"/>
      <c r="AR132" s="66"/>
      <c r="AS132" s="66"/>
      <c r="AV132" s="54">
        <v>7140202</v>
      </c>
      <c r="AW132" s="53">
        <v>379</v>
      </c>
      <c r="BJ132" s="40"/>
      <c r="BK132" s="40"/>
      <c r="BN132" s="16"/>
      <c r="BO132" s="16"/>
    </row>
    <row r="133" spans="1:67" s="67" customFormat="1" ht="16.5" customHeight="1" x14ac:dyDescent="0.25">
      <c r="A133" s="16"/>
      <c r="B133" s="68">
        <f>SUBTOTAL(103,$K$83:K133)</f>
        <v>50</v>
      </c>
      <c r="C133" s="53">
        <v>5</v>
      </c>
      <c r="D133" s="53" t="s">
        <v>2118</v>
      </c>
      <c r="E133" s="53" t="s">
        <v>19</v>
      </c>
      <c r="F133" s="53" t="s">
        <v>105</v>
      </c>
      <c r="G133" s="110" t="s">
        <v>4598</v>
      </c>
      <c r="H133" s="110" t="s">
        <v>4569</v>
      </c>
      <c r="I133" s="58" t="s">
        <v>2469</v>
      </c>
      <c r="J133" s="64" t="s">
        <v>2470</v>
      </c>
      <c r="K133" s="103" t="s">
        <v>4029</v>
      </c>
      <c r="L133" s="53" t="s">
        <v>170</v>
      </c>
      <c r="M133" s="68">
        <v>1</v>
      </c>
      <c r="N133" s="53" t="s">
        <v>150</v>
      </c>
      <c r="O133" s="70" t="s">
        <v>5026</v>
      </c>
      <c r="P133" s="53" t="s">
        <v>3891</v>
      </c>
      <c r="Q133" s="58" t="s">
        <v>2461</v>
      </c>
      <c r="R133" s="53">
        <v>2010</v>
      </c>
      <c r="S133" s="53" t="s">
        <v>236</v>
      </c>
      <c r="T133" s="53">
        <v>8.08</v>
      </c>
      <c r="U133" s="99"/>
      <c r="V133" s="99"/>
      <c r="W133" s="53"/>
      <c r="X133" s="103" t="s">
        <v>4029</v>
      </c>
      <c r="Y133" s="53"/>
      <c r="Z133" s="68"/>
      <c r="AA133" s="58"/>
      <c r="AB133" s="60" t="s">
        <v>2186</v>
      </c>
      <c r="AC133" s="58"/>
      <c r="AD133" s="58"/>
      <c r="AE133" s="58"/>
      <c r="AF133" s="58"/>
      <c r="AG133" s="58" t="s">
        <v>2471</v>
      </c>
      <c r="AH133" s="99" t="s">
        <v>105</v>
      </c>
      <c r="AI133" s="58"/>
      <c r="AJ133" s="101" t="s">
        <v>2472</v>
      </c>
      <c r="AK133" s="58" t="s">
        <v>2186</v>
      </c>
      <c r="AL133" s="63" t="s">
        <v>2473</v>
      </c>
      <c r="AM133" s="63" t="s">
        <v>2474</v>
      </c>
      <c r="AN133" s="189" t="s">
        <v>2475</v>
      </c>
      <c r="AO133" s="58" t="s">
        <v>2476</v>
      </c>
      <c r="AP133" s="58"/>
      <c r="AQ133" s="58"/>
      <c r="AR133" s="66"/>
      <c r="AS133" s="66"/>
      <c r="AV133" s="54">
        <v>7140202</v>
      </c>
      <c r="AW133" s="53">
        <v>380</v>
      </c>
      <c r="BJ133" s="40"/>
      <c r="BK133" s="40"/>
      <c r="BN133" s="16"/>
      <c r="BO133" s="16"/>
    </row>
    <row r="134" spans="1:67" s="67" customFormat="1" ht="16.5" customHeight="1" x14ac:dyDescent="0.25">
      <c r="A134" s="16"/>
      <c r="B134" s="68">
        <f>SUBTOTAL(103,$K$83:K134)</f>
        <v>51</v>
      </c>
      <c r="C134" s="53">
        <v>6</v>
      </c>
      <c r="D134" s="53" t="s">
        <v>2118</v>
      </c>
      <c r="E134" s="53" t="s">
        <v>19</v>
      </c>
      <c r="F134" s="53" t="s">
        <v>105</v>
      </c>
      <c r="G134" s="110" t="s">
        <v>4598</v>
      </c>
      <c r="H134" s="110" t="s">
        <v>4570</v>
      </c>
      <c r="I134" s="58" t="s">
        <v>314</v>
      </c>
      <c r="J134" s="64" t="s">
        <v>565</v>
      </c>
      <c r="K134" s="103" t="s">
        <v>4030</v>
      </c>
      <c r="L134" s="53" t="s">
        <v>170</v>
      </c>
      <c r="M134" s="68">
        <v>1</v>
      </c>
      <c r="N134" s="53" t="s">
        <v>150</v>
      </c>
      <c r="O134" s="70" t="s">
        <v>5026</v>
      </c>
      <c r="P134" s="53" t="s">
        <v>3891</v>
      </c>
      <c r="Q134" s="58" t="s">
        <v>26</v>
      </c>
      <c r="R134" s="53">
        <v>2013</v>
      </c>
      <c r="S134" s="53" t="s">
        <v>153</v>
      </c>
      <c r="T134" s="123">
        <v>7.16</v>
      </c>
      <c r="U134" s="99"/>
      <c r="V134" s="99"/>
      <c r="W134" s="53"/>
      <c r="X134" s="103" t="s">
        <v>4030</v>
      </c>
      <c r="Y134" s="53"/>
      <c r="Z134" s="68"/>
      <c r="AA134" s="58"/>
      <c r="AB134" s="188" t="s">
        <v>322</v>
      </c>
      <c r="AC134" s="64"/>
      <c r="AD134" s="64"/>
      <c r="AE134" s="64" t="s">
        <v>157</v>
      </c>
      <c r="AF134" s="64"/>
      <c r="AG134" s="58" t="s">
        <v>2477</v>
      </c>
      <c r="AH134" s="53" t="s">
        <v>155</v>
      </c>
      <c r="AI134" s="58"/>
      <c r="AJ134" s="101" t="s">
        <v>2478</v>
      </c>
      <c r="AK134" s="64" t="s">
        <v>322</v>
      </c>
      <c r="AL134" s="64" t="s">
        <v>2479</v>
      </c>
      <c r="AM134" s="58" t="s">
        <v>2480</v>
      </c>
      <c r="AN134" s="189" t="s">
        <v>2481</v>
      </c>
      <c r="AO134" s="58"/>
      <c r="AP134" s="58"/>
      <c r="AQ134" s="58"/>
      <c r="AR134" s="66"/>
      <c r="AS134" s="66"/>
      <c r="AV134" s="54">
        <v>7140202</v>
      </c>
      <c r="AW134" s="53">
        <v>381</v>
      </c>
      <c r="BJ134" s="40"/>
      <c r="BK134" s="40"/>
      <c r="BN134" s="16"/>
      <c r="BO134" s="16"/>
    </row>
    <row r="135" spans="1:67" s="67" customFormat="1" ht="16.5" customHeight="1" x14ac:dyDescent="0.25">
      <c r="A135" s="16"/>
      <c r="B135" s="68">
        <f>SUBTOTAL(103,$K$83:K135)</f>
        <v>52</v>
      </c>
      <c r="C135" s="53">
        <v>7</v>
      </c>
      <c r="D135" s="53" t="s">
        <v>2118</v>
      </c>
      <c r="E135" s="53" t="s">
        <v>19</v>
      </c>
      <c r="F135" s="53" t="s">
        <v>105</v>
      </c>
      <c r="G135" s="110" t="s">
        <v>4598</v>
      </c>
      <c r="H135" s="110" t="s">
        <v>4571</v>
      </c>
      <c r="I135" s="58" t="s">
        <v>2482</v>
      </c>
      <c r="J135" s="64" t="s">
        <v>440</v>
      </c>
      <c r="K135" s="103" t="s">
        <v>4031</v>
      </c>
      <c r="L135" s="53" t="s">
        <v>170</v>
      </c>
      <c r="M135" s="68">
        <v>1</v>
      </c>
      <c r="N135" s="53" t="s">
        <v>150</v>
      </c>
      <c r="O135" s="70" t="s">
        <v>5026</v>
      </c>
      <c r="P135" s="53" t="s">
        <v>3891</v>
      </c>
      <c r="Q135" s="58" t="s">
        <v>26</v>
      </c>
      <c r="R135" s="53">
        <v>2012</v>
      </c>
      <c r="S135" s="99" t="s">
        <v>153</v>
      </c>
      <c r="T135" s="123">
        <v>7.43</v>
      </c>
      <c r="U135" s="99"/>
      <c r="V135" s="99" t="s">
        <v>283</v>
      </c>
      <c r="W135" s="53" t="s">
        <v>248</v>
      </c>
      <c r="X135" s="103" t="s">
        <v>4031</v>
      </c>
      <c r="Y135" s="53"/>
      <c r="Z135" s="99"/>
      <c r="AA135" s="58"/>
      <c r="AB135" s="188" t="s">
        <v>858</v>
      </c>
      <c r="AC135" s="58" t="s">
        <v>157</v>
      </c>
      <c r="AD135" s="58" t="s">
        <v>157</v>
      </c>
      <c r="AE135" s="58"/>
      <c r="AF135" s="58"/>
      <c r="AG135" s="58" t="s">
        <v>2179</v>
      </c>
      <c r="AH135" s="53" t="s">
        <v>155</v>
      </c>
      <c r="AI135" s="58"/>
      <c r="AJ135" s="101" t="s">
        <v>2483</v>
      </c>
      <c r="AK135" s="64" t="s">
        <v>858</v>
      </c>
      <c r="AL135" s="63" t="s">
        <v>2484</v>
      </c>
      <c r="AM135" s="102" t="s">
        <v>2485</v>
      </c>
      <c r="AN135" s="189" t="s">
        <v>2486</v>
      </c>
      <c r="AO135" s="190" t="s">
        <v>2487</v>
      </c>
      <c r="AP135" s="64"/>
      <c r="AQ135" s="58"/>
      <c r="AT135" s="40"/>
      <c r="AU135" s="40"/>
      <c r="AV135" s="54">
        <v>7140202</v>
      </c>
      <c r="AW135" s="53">
        <v>382</v>
      </c>
      <c r="BJ135" s="40"/>
      <c r="BK135" s="40"/>
      <c r="BN135" s="16"/>
      <c r="BO135" s="16"/>
    </row>
    <row r="136" spans="1:67" s="67" customFormat="1" ht="16.5" customHeight="1" x14ac:dyDescent="0.25">
      <c r="A136" s="16"/>
      <c r="B136" s="68">
        <f>SUBTOTAL(103,$K$83:K136)</f>
        <v>53</v>
      </c>
      <c r="C136" s="53">
        <v>8</v>
      </c>
      <c r="D136" s="53" t="s">
        <v>2118</v>
      </c>
      <c r="E136" s="53" t="s">
        <v>19</v>
      </c>
      <c r="F136" s="53" t="s">
        <v>105</v>
      </c>
      <c r="G136" s="110" t="s">
        <v>4598</v>
      </c>
      <c r="H136" s="110" t="s">
        <v>4572</v>
      </c>
      <c r="I136" s="58" t="s">
        <v>2488</v>
      </c>
      <c r="J136" s="64" t="s">
        <v>1712</v>
      </c>
      <c r="K136" s="103" t="s">
        <v>4032</v>
      </c>
      <c r="L136" s="53" t="s">
        <v>170</v>
      </c>
      <c r="M136" s="68">
        <v>1</v>
      </c>
      <c r="N136" s="53" t="s">
        <v>150</v>
      </c>
      <c r="O136" s="70" t="s">
        <v>5026</v>
      </c>
      <c r="P136" s="53" t="s">
        <v>3891</v>
      </c>
      <c r="Q136" s="58" t="s">
        <v>2489</v>
      </c>
      <c r="R136" s="53">
        <v>2020</v>
      </c>
      <c r="S136" s="53" t="s">
        <v>153</v>
      </c>
      <c r="T136" s="53">
        <v>6.6</v>
      </c>
      <c r="U136" s="53">
        <v>2.64</v>
      </c>
      <c r="V136" s="53"/>
      <c r="W136" s="107" t="s">
        <v>236</v>
      </c>
      <c r="X136" s="57" t="s">
        <v>4032</v>
      </c>
      <c r="Y136" s="53"/>
      <c r="Z136" s="68"/>
      <c r="AA136" s="58"/>
      <c r="AB136" s="60" t="s">
        <v>2150</v>
      </c>
      <c r="AC136" s="58"/>
      <c r="AD136" s="58"/>
      <c r="AE136" s="58" t="s">
        <v>157</v>
      </c>
      <c r="AF136" s="58"/>
      <c r="AG136" s="58" t="s">
        <v>2198</v>
      </c>
      <c r="AH136" s="53" t="s">
        <v>155</v>
      </c>
      <c r="AI136" s="58"/>
      <c r="AJ136" s="101" t="s">
        <v>2490</v>
      </c>
      <c r="AK136" s="64" t="s">
        <v>2491</v>
      </c>
      <c r="AL136" s="102" t="s">
        <v>2492</v>
      </c>
      <c r="AM136" s="63" t="s">
        <v>2493</v>
      </c>
      <c r="AN136" s="189" t="s">
        <v>2494</v>
      </c>
      <c r="AO136" s="58"/>
      <c r="AP136" s="58"/>
      <c r="AQ136" s="58"/>
      <c r="AR136" s="66"/>
      <c r="AS136" s="66"/>
      <c r="AV136" s="54">
        <v>7140202</v>
      </c>
      <c r="AW136" s="53">
        <v>383</v>
      </c>
      <c r="BJ136" s="40"/>
      <c r="BK136" s="40"/>
      <c r="BN136" s="16"/>
      <c r="BO136" s="16"/>
    </row>
    <row r="137" spans="1:67" s="67" customFormat="1" ht="16.5" customHeight="1" x14ac:dyDescent="0.25">
      <c r="A137" s="16"/>
      <c r="B137" s="68">
        <f>SUBTOTAL(103,$K$83:K137)</f>
        <v>54</v>
      </c>
      <c r="C137" s="53">
        <v>9</v>
      </c>
      <c r="D137" s="53" t="s">
        <v>2118</v>
      </c>
      <c r="E137" s="53" t="s">
        <v>19</v>
      </c>
      <c r="F137" s="53" t="s">
        <v>105</v>
      </c>
      <c r="G137" s="110" t="s">
        <v>4598</v>
      </c>
      <c r="H137" s="110" t="s">
        <v>4573</v>
      </c>
      <c r="I137" s="58" t="s">
        <v>2495</v>
      </c>
      <c r="J137" s="64" t="s">
        <v>291</v>
      </c>
      <c r="K137" s="103" t="s">
        <v>4033</v>
      </c>
      <c r="L137" s="53" t="s">
        <v>170</v>
      </c>
      <c r="M137" s="68">
        <v>1</v>
      </c>
      <c r="N137" s="53" t="s">
        <v>150</v>
      </c>
      <c r="O137" s="70" t="s">
        <v>5026</v>
      </c>
      <c r="P137" s="53" t="s">
        <v>3891</v>
      </c>
      <c r="Q137" s="58" t="s">
        <v>26</v>
      </c>
      <c r="R137" s="53">
        <v>2014</v>
      </c>
      <c r="S137" s="53" t="s">
        <v>153</v>
      </c>
      <c r="T137" s="123">
        <v>7.33</v>
      </c>
      <c r="U137" s="99"/>
      <c r="V137" s="99"/>
      <c r="W137" s="191"/>
      <c r="X137" s="103" t="s">
        <v>4033</v>
      </c>
      <c r="Y137" s="53"/>
      <c r="Z137" s="68"/>
      <c r="AA137" s="58"/>
      <c r="AB137" s="60" t="s">
        <v>2186</v>
      </c>
      <c r="AC137" s="58"/>
      <c r="AD137" s="58"/>
      <c r="AE137" s="58" t="s">
        <v>157</v>
      </c>
      <c r="AF137" s="58"/>
      <c r="AG137" s="58" t="s">
        <v>2471</v>
      </c>
      <c r="AH137" s="53" t="s">
        <v>155</v>
      </c>
      <c r="AI137" s="58"/>
      <c r="AJ137" s="101" t="s">
        <v>2496</v>
      </c>
      <c r="AK137" s="58" t="s">
        <v>2186</v>
      </c>
      <c r="AL137" s="58" t="s">
        <v>2473</v>
      </c>
      <c r="AM137" s="58" t="s">
        <v>2497</v>
      </c>
      <c r="AN137" s="189" t="s">
        <v>2498</v>
      </c>
      <c r="AO137" s="58"/>
      <c r="AP137" s="58"/>
      <c r="AQ137" s="58"/>
      <c r="AS137" s="66"/>
      <c r="AV137" s="54">
        <v>7140202</v>
      </c>
      <c r="AW137" s="53">
        <v>384</v>
      </c>
      <c r="BJ137" s="40"/>
      <c r="BK137" s="40"/>
      <c r="BN137" s="16"/>
      <c r="BO137" s="16"/>
    </row>
    <row r="138" spans="1:67" s="67" customFormat="1" ht="16.5" customHeight="1" x14ac:dyDescent="0.25">
      <c r="A138" s="16"/>
      <c r="B138" s="68">
        <f>SUBTOTAL(103,$K$83:K138)</f>
        <v>55</v>
      </c>
      <c r="C138" s="53">
        <v>10</v>
      </c>
      <c r="D138" s="53" t="s">
        <v>2118</v>
      </c>
      <c r="E138" s="110" t="s">
        <v>19</v>
      </c>
      <c r="F138" s="110" t="s">
        <v>105</v>
      </c>
      <c r="G138" s="110" t="s">
        <v>4598</v>
      </c>
      <c r="H138" s="110" t="s">
        <v>4574</v>
      </c>
      <c r="I138" s="108" t="s">
        <v>2499</v>
      </c>
      <c r="J138" s="108" t="s">
        <v>342</v>
      </c>
      <c r="K138" s="144" t="s">
        <v>4034</v>
      </c>
      <c r="L138" s="110" t="s">
        <v>170</v>
      </c>
      <c r="M138" s="68">
        <v>1</v>
      </c>
      <c r="N138" s="110" t="s">
        <v>150</v>
      </c>
      <c r="O138" s="70" t="s">
        <v>5026</v>
      </c>
      <c r="P138" s="53" t="s">
        <v>3891</v>
      </c>
      <c r="Q138" s="108" t="s">
        <v>26</v>
      </c>
      <c r="R138" s="110">
        <v>2013</v>
      </c>
      <c r="S138" s="110" t="s">
        <v>153</v>
      </c>
      <c r="T138" s="110" t="s">
        <v>2500</v>
      </c>
      <c r="U138" s="110"/>
      <c r="V138" s="110" t="s">
        <v>411</v>
      </c>
      <c r="W138" s="110" t="s">
        <v>153</v>
      </c>
      <c r="X138" s="109" t="s">
        <v>4034</v>
      </c>
      <c r="Y138" s="110"/>
      <c r="Z138" s="110"/>
      <c r="AA138" s="58"/>
      <c r="AB138" s="187" t="s">
        <v>2501</v>
      </c>
      <c r="AC138" s="108"/>
      <c r="AD138" s="108" t="s">
        <v>157</v>
      </c>
      <c r="AE138" s="108"/>
      <c r="AF138" s="53" t="s">
        <v>253</v>
      </c>
      <c r="AG138" s="108" t="s">
        <v>2502</v>
      </c>
      <c r="AH138" s="110" t="s">
        <v>155</v>
      </c>
      <c r="AI138" s="108"/>
      <c r="AJ138" s="111" t="s">
        <v>2503</v>
      </c>
      <c r="AK138" s="108" t="s">
        <v>2501</v>
      </c>
      <c r="AL138" s="112" t="s">
        <v>2504</v>
      </c>
      <c r="AM138" s="112" t="s">
        <v>2505</v>
      </c>
      <c r="AN138" s="192" t="s">
        <v>2506</v>
      </c>
      <c r="AO138" s="108" t="s">
        <v>2507</v>
      </c>
      <c r="AP138" s="108"/>
      <c r="AQ138" s="108"/>
      <c r="AR138" s="40"/>
      <c r="AS138" s="40"/>
      <c r="AT138" s="40"/>
      <c r="AV138" s="54">
        <v>7140202</v>
      </c>
      <c r="AW138" s="53">
        <v>385</v>
      </c>
      <c r="BJ138" s="40"/>
      <c r="BK138" s="40"/>
      <c r="BN138" s="16"/>
      <c r="BO138" s="16"/>
    </row>
    <row r="139" spans="1:67" s="67" customFormat="1" ht="16.5" customHeight="1" x14ac:dyDescent="0.25">
      <c r="A139" s="16"/>
      <c r="B139" s="68">
        <f>SUBTOTAL(103,$K$83:K139)</f>
        <v>56</v>
      </c>
      <c r="C139" s="53">
        <v>11</v>
      </c>
      <c r="D139" s="53" t="s">
        <v>2118</v>
      </c>
      <c r="E139" s="53" t="s">
        <v>19</v>
      </c>
      <c r="F139" s="53" t="s">
        <v>105</v>
      </c>
      <c r="G139" s="110" t="s">
        <v>4598</v>
      </c>
      <c r="H139" s="110" t="s">
        <v>4575</v>
      </c>
      <c r="I139" s="58" t="s">
        <v>2425</v>
      </c>
      <c r="J139" s="64" t="s">
        <v>304</v>
      </c>
      <c r="K139" s="103" t="s">
        <v>4035</v>
      </c>
      <c r="L139" s="53" t="s">
        <v>170</v>
      </c>
      <c r="M139" s="68">
        <v>1</v>
      </c>
      <c r="N139" s="53" t="s">
        <v>150</v>
      </c>
      <c r="O139" s="70" t="s">
        <v>5026</v>
      </c>
      <c r="P139" s="53" t="s">
        <v>3891</v>
      </c>
      <c r="Q139" s="58" t="s">
        <v>23</v>
      </c>
      <c r="R139" s="53">
        <v>2025</v>
      </c>
      <c r="S139" s="99" t="s">
        <v>236</v>
      </c>
      <c r="T139" s="123">
        <v>7.87</v>
      </c>
      <c r="U139" s="99" t="s">
        <v>1077</v>
      </c>
      <c r="V139" s="99"/>
      <c r="W139" s="53"/>
      <c r="X139" s="103" t="s">
        <v>4035</v>
      </c>
      <c r="Y139" s="53"/>
      <c r="Z139" s="124"/>
      <c r="AA139" s="58"/>
      <c r="AB139" s="60" t="s">
        <v>156</v>
      </c>
      <c r="AC139" s="64"/>
      <c r="AD139" s="64"/>
      <c r="AE139" s="64"/>
      <c r="AF139" s="64"/>
      <c r="AG139" s="58" t="s">
        <v>2139</v>
      </c>
      <c r="AH139" s="53" t="s">
        <v>155</v>
      </c>
      <c r="AI139" s="58"/>
      <c r="AJ139" s="101" t="s">
        <v>2508</v>
      </c>
      <c r="AK139" s="58" t="s">
        <v>156</v>
      </c>
      <c r="AL139" s="64" t="s">
        <v>2509</v>
      </c>
      <c r="AM139" s="58" t="s">
        <v>2510</v>
      </c>
      <c r="AN139" s="189" t="s">
        <v>2511</v>
      </c>
      <c r="AO139" s="190" t="s">
        <v>2512</v>
      </c>
      <c r="AP139" s="60"/>
      <c r="AQ139" s="193"/>
      <c r="AS139" s="66"/>
      <c r="AV139" s="54">
        <v>7140202</v>
      </c>
      <c r="AW139" s="53">
        <v>386</v>
      </c>
      <c r="BJ139" s="40"/>
      <c r="BK139" s="40"/>
      <c r="BN139" s="16"/>
      <c r="BO139" s="16"/>
    </row>
    <row r="140" spans="1:67" s="67" customFormat="1" ht="16.5" customHeight="1" x14ac:dyDescent="0.25">
      <c r="A140" s="16"/>
      <c r="B140" s="68">
        <f>SUBTOTAL(103,$K$83:K140)</f>
        <v>57</v>
      </c>
      <c r="C140" s="53">
        <v>12</v>
      </c>
      <c r="D140" s="53" t="s">
        <v>2118</v>
      </c>
      <c r="E140" s="53" t="s">
        <v>19</v>
      </c>
      <c r="F140" s="53" t="s">
        <v>105</v>
      </c>
      <c r="G140" s="110" t="s">
        <v>4598</v>
      </c>
      <c r="H140" s="110" t="s">
        <v>4576</v>
      </c>
      <c r="I140" s="58" t="s">
        <v>843</v>
      </c>
      <c r="J140" s="58" t="s">
        <v>2513</v>
      </c>
      <c r="K140" s="103" t="s">
        <v>4036</v>
      </c>
      <c r="L140" s="53" t="s">
        <v>170</v>
      </c>
      <c r="M140" s="68">
        <v>1</v>
      </c>
      <c r="N140" s="53" t="s">
        <v>2434</v>
      </c>
      <c r="O140" s="70" t="s">
        <v>5026</v>
      </c>
      <c r="P140" s="53" t="s">
        <v>3891</v>
      </c>
      <c r="Q140" s="58" t="s">
        <v>23</v>
      </c>
      <c r="R140" s="53">
        <v>2013</v>
      </c>
      <c r="S140" s="53" t="s">
        <v>197</v>
      </c>
      <c r="T140" s="123">
        <v>6.77</v>
      </c>
      <c r="U140" s="99"/>
      <c r="V140" s="99"/>
      <c r="W140" s="53"/>
      <c r="X140" s="57" t="s">
        <v>4036</v>
      </c>
      <c r="Y140" s="53"/>
      <c r="Z140" s="68"/>
      <c r="AA140" s="58"/>
      <c r="AB140" s="188" t="s">
        <v>322</v>
      </c>
      <c r="AC140" s="58"/>
      <c r="AD140" s="58"/>
      <c r="AE140" s="58" t="s">
        <v>157</v>
      </c>
      <c r="AF140" s="58">
        <v>3</v>
      </c>
      <c r="AG140" s="58" t="s">
        <v>2234</v>
      </c>
      <c r="AH140" s="53" t="s">
        <v>155</v>
      </c>
      <c r="AI140" s="58"/>
      <c r="AJ140" s="140" t="s">
        <v>2514</v>
      </c>
      <c r="AK140" s="58" t="s">
        <v>253</v>
      </c>
      <c r="AL140" s="58" t="s">
        <v>254</v>
      </c>
      <c r="AM140" s="58" t="s">
        <v>2515</v>
      </c>
      <c r="AN140" s="194">
        <v>983959892</v>
      </c>
      <c r="AO140" s="58"/>
      <c r="AP140" s="195"/>
      <c r="AR140" s="66"/>
      <c r="AS140" s="66"/>
      <c r="AV140" s="54">
        <v>7140202</v>
      </c>
      <c r="AW140" s="53">
        <v>387</v>
      </c>
      <c r="BJ140" s="40"/>
      <c r="BK140" s="40"/>
      <c r="BN140" s="16"/>
      <c r="BO140" s="16"/>
    </row>
    <row r="141" spans="1:67" s="67" customFormat="1" ht="16.5" customHeight="1" x14ac:dyDescent="0.25">
      <c r="A141" s="16"/>
      <c r="B141" s="68">
        <f>SUBTOTAL(103,$K$83:K141)</f>
        <v>58</v>
      </c>
      <c r="C141" s="53">
        <v>13</v>
      </c>
      <c r="D141" s="53" t="s">
        <v>2118</v>
      </c>
      <c r="E141" s="53" t="s">
        <v>19</v>
      </c>
      <c r="F141" s="53" t="s">
        <v>105</v>
      </c>
      <c r="G141" s="110" t="s">
        <v>4598</v>
      </c>
      <c r="H141" s="110" t="s">
        <v>4577</v>
      </c>
      <c r="I141" s="58" t="s">
        <v>2178</v>
      </c>
      <c r="J141" s="64" t="s">
        <v>500</v>
      </c>
      <c r="K141" s="99" t="s">
        <v>4037</v>
      </c>
      <c r="L141" s="53" t="s">
        <v>170</v>
      </c>
      <c r="M141" s="68">
        <v>1</v>
      </c>
      <c r="N141" s="53" t="s">
        <v>150</v>
      </c>
      <c r="O141" s="70" t="s">
        <v>5026</v>
      </c>
      <c r="P141" s="53" t="s">
        <v>3891</v>
      </c>
      <c r="Q141" s="58" t="s">
        <v>23</v>
      </c>
      <c r="R141" s="53">
        <v>2025</v>
      </c>
      <c r="S141" s="99" t="s">
        <v>1255</v>
      </c>
      <c r="T141" s="99" t="s">
        <v>2516</v>
      </c>
      <c r="U141" s="53">
        <v>3.79</v>
      </c>
      <c r="V141" s="53"/>
      <c r="W141" s="53"/>
      <c r="X141" s="99" t="s">
        <v>4037</v>
      </c>
      <c r="Y141" s="53"/>
      <c r="Z141" s="68"/>
      <c r="AA141" s="58"/>
      <c r="AB141" s="60" t="s">
        <v>156</v>
      </c>
      <c r="AC141" s="58"/>
      <c r="AD141" s="58"/>
      <c r="AE141" s="58" t="s">
        <v>157</v>
      </c>
      <c r="AF141" s="58"/>
      <c r="AG141" s="58" t="s">
        <v>2139</v>
      </c>
      <c r="AH141" s="53" t="s">
        <v>155</v>
      </c>
      <c r="AI141" s="58"/>
      <c r="AJ141" s="101" t="s">
        <v>2517</v>
      </c>
      <c r="AK141" s="58" t="s">
        <v>156</v>
      </c>
      <c r="AL141" s="58" t="s">
        <v>2518</v>
      </c>
      <c r="AM141" s="58" t="s">
        <v>2519</v>
      </c>
      <c r="AN141" s="189" t="s">
        <v>2520</v>
      </c>
      <c r="AO141" s="58"/>
      <c r="AP141" s="60"/>
      <c r="AS141" s="66"/>
      <c r="AV141" s="54">
        <v>7140202</v>
      </c>
      <c r="AW141" s="53">
        <v>388</v>
      </c>
      <c r="BJ141" s="40"/>
      <c r="BK141" s="40"/>
      <c r="BN141" s="16"/>
      <c r="BO141" s="16"/>
    </row>
    <row r="142" spans="1:67" s="67" customFormat="1" ht="16.5" customHeight="1" x14ac:dyDescent="0.25">
      <c r="A142" s="16"/>
      <c r="B142" s="68">
        <f>SUBTOTAL(103,$K$83:K142)</f>
        <v>59</v>
      </c>
      <c r="C142" s="53">
        <v>14</v>
      </c>
      <c r="D142" s="53" t="s">
        <v>2118</v>
      </c>
      <c r="E142" s="53" t="s">
        <v>19</v>
      </c>
      <c r="F142" s="53" t="s">
        <v>105</v>
      </c>
      <c r="G142" s="110" t="s">
        <v>4598</v>
      </c>
      <c r="H142" s="110" t="s">
        <v>4578</v>
      </c>
      <c r="I142" s="58" t="s">
        <v>314</v>
      </c>
      <c r="J142" s="58" t="s">
        <v>2521</v>
      </c>
      <c r="K142" s="103" t="s">
        <v>4038</v>
      </c>
      <c r="L142" s="53" t="s">
        <v>170</v>
      </c>
      <c r="M142" s="68">
        <v>1</v>
      </c>
      <c r="N142" s="53" t="s">
        <v>150</v>
      </c>
      <c r="O142" s="70" t="s">
        <v>5026</v>
      </c>
      <c r="P142" s="53" t="s">
        <v>3891</v>
      </c>
      <c r="Q142" s="58" t="s">
        <v>23</v>
      </c>
      <c r="R142" s="53">
        <v>2025</v>
      </c>
      <c r="S142" s="99" t="s">
        <v>236</v>
      </c>
      <c r="T142" s="53">
        <v>7.93</v>
      </c>
      <c r="U142" s="53">
        <v>3.33</v>
      </c>
      <c r="V142" s="53"/>
      <c r="W142" s="53"/>
      <c r="X142" s="57" t="s">
        <v>4038</v>
      </c>
      <c r="Y142" s="53"/>
      <c r="Z142" s="68"/>
      <c r="AA142" s="58"/>
      <c r="AB142" s="60" t="s">
        <v>2298</v>
      </c>
      <c r="AC142" s="58"/>
      <c r="AD142" s="58"/>
      <c r="AE142" s="58" t="s">
        <v>157</v>
      </c>
      <c r="AF142" s="58"/>
      <c r="AG142" s="58" t="s">
        <v>2139</v>
      </c>
      <c r="AH142" s="53" t="s">
        <v>155</v>
      </c>
      <c r="AI142" s="58"/>
      <c r="AJ142" s="140" t="s">
        <v>2522</v>
      </c>
      <c r="AK142" s="58" t="s">
        <v>2298</v>
      </c>
      <c r="AL142" s="58" t="s">
        <v>2298</v>
      </c>
      <c r="AM142" s="58" t="s">
        <v>2523</v>
      </c>
      <c r="AN142" s="196" t="s">
        <v>2524</v>
      </c>
      <c r="AO142" s="58"/>
      <c r="AP142" s="60"/>
      <c r="AS142" s="66"/>
      <c r="AV142" s="54">
        <v>7140202</v>
      </c>
      <c r="AW142" s="53">
        <v>389</v>
      </c>
      <c r="BJ142" s="40"/>
      <c r="BK142" s="40"/>
      <c r="BN142" s="16"/>
      <c r="BO142" s="16"/>
    </row>
    <row r="143" spans="1:67" s="67" customFormat="1" ht="16.5" customHeight="1" x14ac:dyDescent="0.25">
      <c r="A143" s="16"/>
      <c r="B143" s="68">
        <f>SUBTOTAL(103,$K$83:K143)</f>
        <v>60</v>
      </c>
      <c r="C143" s="53">
        <v>15</v>
      </c>
      <c r="D143" s="53" t="s">
        <v>2118</v>
      </c>
      <c r="E143" s="53" t="s">
        <v>19</v>
      </c>
      <c r="F143" s="53" t="s">
        <v>105</v>
      </c>
      <c r="G143" s="110" t="s">
        <v>4598</v>
      </c>
      <c r="H143" s="110" t="s">
        <v>4579</v>
      </c>
      <c r="I143" s="58" t="s">
        <v>2444</v>
      </c>
      <c r="J143" s="58" t="s">
        <v>722</v>
      </c>
      <c r="K143" s="103" t="s">
        <v>4039</v>
      </c>
      <c r="L143" s="53" t="s">
        <v>170</v>
      </c>
      <c r="M143" s="68">
        <v>1</v>
      </c>
      <c r="N143" s="53" t="s">
        <v>150</v>
      </c>
      <c r="O143" s="70" t="s">
        <v>5026</v>
      </c>
      <c r="P143" s="53" t="s">
        <v>3891</v>
      </c>
      <c r="Q143" s="58" t="s">
        <v>2525</v>
      </c>
      <c r="R143" s="53">
        <v>2012</v>
      </c>
      <c r="S143" s="99" t="s">
        <v>153</v>
      </c>
      <c r="T143" s="99" t="s">
        <v>2526</v>
      </c>
      <c r="U143" s="53">
        <v>2.94</v>
      </c>
      <c r="V143" s="53"/>
      <c r="W143" s="53"/>
      <c r="X143" s="197" t="s">
        <v>4039</v>
      </c>
      <c r="Y143" s="53"/>
      <c r="Z143" s="68"/>
      <c r="AA143" s="58"/>
      <c r="AB143" s="60" t="s">
        <v>2527</v>
      </c>
      <c r="AC143" s="58"/>
      <c r="AD143" s="58"/>
      <c r="AE143" s="58" t="s">
        <v>157</v>
      </c>
      <c r="AF143" s="58"/>
      <c r="AG143" s="58" t="s">
        <v>2371</v>
      </c>
      <c r="AH143" s="53" t="s">
        <v>155</v>
      </c>
      <c r="AI143" s="58"/>
      <c r="AJ143" s="156" t="s">
        <v>2528</v>
      </c>
      <c r="AK143" s="63" t="s">
        <v>2529</v>
      </c>
      <c r="AL143" s="63" t="s">
        <v>2530</v>
      </c>
      <c r="AM143" s="63" t="s">
        <v>2531</v>
      </c>
      <c r="AN143" s="198" t="s">
        <v>2532</v>
      </c>
      <c r="AO143" s="58" t="s">
        <v>2533</v>
      </c>
      <c r="AP143" s="122"/>
      <c r="AS143" s="66"/>
      <c r="AV143" s="54">
        <v>7140202</v>
      </c>
      <c r="AW143" s="53">
        <v>390</v>
      </c>
      <c r="BJ143" s="40"/>
      <c r="BK143" s="40"/>
      <c r="BN143" s="16"/>
      <c r="BO143" s="16"/>
    </row>
    <row r="144" spans="1:67" s="67" customFormat="1" ht="16.5" customHeight="1" x14ac:dyDescent="0.25">
      <c r="A144" s="16"/>
      <c r="B144" s="68">
        <f>SUBTOTAL(103,$K$83:K144)</f>
        <v>61</v>
      </c>
      <c r="C144" s="53">
        <v>16</v>
      </c>
      <c r="D144" s="53" t="s">
        <v>2118</v>
      </c>
      <c r="E144" s="53" t="s">
        <v>19</v>
      </c>
      <c r="F144" s="53" t="s">
        <v>105</v>
      </c>
      <c r="G144" s="110" t="s">
        <v>4598</v>
      </c>
      <c r="H144" s="110" t="s">
        <v>4580</v>
      </c>
      <c r="I144" s="58" t="s">
        <v>1560</v>
      </c>
      <c r="J144" s="64" t="s">
        <v>722</v>
      </c>
      <c r="K144" s="103" t="s">
        <v>4040</v>
      </c>
      <c r="L144" s="53" t="s">
        <v>170</v>
      </c>
      <c r="M144" s="68">
        <v>1</v>
      </c>
      <c r="N144" s="53" t="s">
        <v>150</v>
      </c>
      <c r="O144" s="70" t="s">
        <v>5026</v>
      </c>
      <c r="P144" s="53" t="s">
        <v>3891</v>
      </c>
      <c r="Q144" s="58" t="s">
        <v>26</v>
      </c>
      <c r="R144" s="53">
        <v>2006</v>
      </c>
      <c r="S144" s="53" t="s">
        <v>153</v>
      </c>
      <c r="T144" s="53"/>
      <c r="U144" s="53"/>
      <c r="V144" s="53"/>
      <c r="W144" s="53"/>
      <c r="X144" s="103" t="s">
        <v>4040</v>
      </c>
      <c r="Y144" s="53"/>
      <c r="Z144" s="68"/>
      <c r="AA144" s="58"/>
      <c r="AB144" s="60" t="s">
        <v>2298</v>
      </c>
      <c r="AC144" s="58"/>
      <c r="AD144" s="58"/>
      <c r="AE144" s="58" t="s">
        <v>157</v>
      </c>
      <c r="AF144" s="58"/>
      <c r="AG144" s="58" t="s">
        <v>2534</v>
      </c>
      <c r="AH144" s="53" t="s">
        <v>155</v>
      </c>
      <c r="AI144" s="58"/>
      <c r="AJ144" s="101" t="s">
        <v>2535</v>
      </c>
      <c r="AK144" s="58" t="s">
        <v>2536</v>
      </c>
      <c r="AL144" s="58" t="s">
        <v>2537</v>
      </c>
      <c r="AM144" s="58" t="s">
        <v>2538</v>
      </c>
      <c r="AN144" s="189" t="s">
        <v>2539</v>
      </c>
      <c r="AO144" s="58" t="s">
        <v>2540</v>
      </c>
      <c r="AP144" s="60"/>
      <c r="AR144" s="66"/>
      <c r="AS144" s="66"/>
      <c r="AV144" s="54">
        <v>7140202</v>
      </c>
      <c r="AW144" s="53">
        <v>391</v>
      </c>
      <c r="BJ144" s="40"/>
      <c r="BK144" s="40"/>
      <c r="BN144" s="16"/>
      <c r="BO144" s="16"/>
    </row>
    <row r="145" spans="1:67" s="67" customFormat="1" ht="16.5" customHeight="1" x14ac:dyDescent="0.25">
      <c r="A145" s="16"/>
      <c r="B145" s="68">
        <f>SUBTOTAL(103,$K$83:K145)</f>
        <v>62</v>
      </c>
      <c r="C145" s="53">
        <v>17</v>
      </c>
      <c r="D145" s="53" t="s">
        <v>2118</v>
      </c>
      <c r="E145" s="53" t="s">
        <v>19</v>
      </c>
      <c r="F145" s="53" t="s">
        <v>105</v>
      </c>
      <c r="G145" s="110" t="s">
        <v>4598</v>
      </c>
      <c r="H145" s="110" t="s">
        <v>4581</v>
      </c>
      <c r="I145" s="58" t="s">
        <v>2541</v>
      </c>
      <c r="J145" s="64" t="s">
        <v>2542</v>
      </c>
      <c r="K145" s="103" t="s">
        <v>4041</v>
      </c>
      <c r="L145" s="53" t="s">
        <v>149</v>
      </c>
      <c r="M145" s="53">
        <v>0</v>
      </c>
      <c r="N145" s="53" t="s">
        <v>2305</v>
      </c>
      <c r="O145" s="70" t="s">
        <v>5026</v>
      </c>
      <c r="P145" s="53" t="s">
        <v>3891</v>
      </c>
      <c r="Q145" s="58" t="s">
        <v>26</v>
      </c>
      <c r="R145" s="53">
        <v>2016</v>
      </c>
      <c r="S145" s="53" t="s">
        <v>153</v>
      </c>
      <c r="T145" s="53">
        <v>7.4</v>
      </c>
      <c r="U145" s="99"/>
      <c r="V145" s="99"/>
      <c r="W145" s="53"/>
      <c r="X145" s="103" t="s">
        <v>4041</v>
      </c>
      <c r="Y145" s="53"/>
      <c r="Z145" s="68"/>
      <c r="AA145" s="58"/>
      <c r="AB145" s="188" t="s">
        <v>2543</v>
      </c>
      <c r="AC145" s="58"/>
      <c r="AD145" s="58"/>
      <c r="AE145" s="58" t="s">
        <v>157</v>
      </c>
      <c r="AF145" s="58"/>
      <c r="AG145" s="58" t="s">
        <v>2544</v>
      </c>
      <c r="AH145" s="53" t="s">
        <v>19</v>
      </c>
      <c r="AI145" s="58"/>
      <c r="AJ145" s="140" t="s">
        <v>2545</v>
      </c>
      <c r="AK145" s="64" t="s">
        <v>2543</v>
      </c>
      <c r="AL145" s="58" t="s">
        <v>2546</v>
      </c>
      <c r="AM145" s="58" t="s">
        <v>2547</v>
      </c>
      <c r="AN145" s="199" t="s">
        <v>2548</v>
      </c>
      <c r="AO145" s="58"/>
      <c r="AP145" s="60"/>
      <c r="AS145" s="66"/>
      <c r="AV145" s="54">
        <v>7140202</v>
      </c>
      <c r="AW145" s="53">
        <v>392</v>
      </c>
      <c r="BJ145" s="40"/>
      <c r="BK145" s="40"/>
      <c r="BN145" s="16"/>
      <c r="BO145" s="16"/>
    </row>
    <row r="146" spans="1:67" s="67" customFormat="1" ht="16.5" customHeight="1" x14ac:dyDescent="0.25">
      <c r="A146" s="16"/>
      <c r="B146" s="68">
        <f>SUBTOTAL(103,$K$83:K146)</f>
        <v>63</v>
      </c>
      <c r="C146" s="53">
        <v>18</v>
      </c>
      <c r="D146" s="53" t="s">
        <v>2118</v>
      </c>
      <c r="E146" s="110" t="s">
        <v>19</v>
      </c>
      <c r="F146" s="110" t="s">
        <v>105</v>
      </c>
      <c r="G146" s="110" t="s">
        <v>4598</v>
      </c>
      <c r="H146" s="110" t="s">
        <v>4582</v>
      </c>
      <c r="I146" s="108" t="s">
        <v>2549</v>
      </c>
      <c r="J146" s="108" t="s">
        <v>2542</v>
      </c>
      <c r="K146" s="144" t="s">
        <v>4042</v>
      </c>
      <c r="L146" s="110" t="s">
        <v>170</v>
      </c>
      <c r="M146" s="68">
        <v>1</v>
      </c>
      <c r="N146" s="110" t="s">
        <v>150</v>
      </c>
      <c r="O146" s="70" t="s">
        <v>5026</v>
      </c>
      <c r="P146" s="53" t="s">
        <v>3891</v>
      </c>
      <c r="Q146" s="108" t="s">
        <v>23</v>
      </c>
      <c r="R146" s="110">
        <v>2025</v>
      </c>
      <c r="S146" s="110" t="s">
        <v>1255</v>
      </c>
      <c r="T146" s="110" t="s">
        <v>2550</v>
      </c>
      <c r="U146" s="110" t="s">
        <v>2551</v>
      </c>
      <c r="V146" s="110" t="s">
        <v>453</v>
      </c>
      <c r="W146" s="110" t="s">
        <v>153</v>
      </c>
      <c r="X146" s="109" t="s">
        <v>4042</v>
      </c>
      <c r="Y146" s="110"/>
      <c r="Z146" s="110"/>
      <c r="AA146" s="58"/>
      <c r="AB146" s="187" t="s">
        <v>322</v>
      </c>
      <c r="AC146" s="108" t="s">
        <v>157</v>
      </c>
      <c r="AD146" s="108" t="s">
        <v>157</v>
      </c>
      <c r="AE146" s="108"/>
      <c r="AF146" s="53" t="s">
        <v>253</v>
      </c>
      <c r="AG146" s="108" t="s">
        <v>2139</v>
      </c>
      <c r="AH146" s="110" t="s">
        <v>155</v>
      </c>
      <c r="AI146" s="108"/>
      <c r="AJ146" s="111" t="s">
        <v>2552</v>
      </c>
      <c r="AK146" s="108" t="s">
        <v>322</v>
      </c>
      <c r="AL146" s="108" t="s">
        <v>2553</v>
      </c>
      <c r="AM146" s="108" t="s">
        <v>2554</v>
      </c>
      <c r="AN146" s="192" t="s">
        <v>2555</v>
      </c>
      <c r="AO146" s="108"/>
      <c r="AP146" s="187"/>
      <c r="AQ146" s="114"/>
      <c r="AR146" s="40"/>
      <c r="AS146" s="40"/>
      <c r="AT146" s="40"/>
      <c r="AV146" s="54">
        <v>7140202</v>
      </c>
      <c r="AW146" s="53">
        <v>393</v>
      </c>
      <c r="BJ146" s="40"/>
      <c r="BK146" s="40"/>
      <c r="BN146" s="16"/>
      <c r="BO146" s="16"/>
    </row>
    <row r="147" spans="1:67" s="67" customFormat="1" ht="16.5" customHeight="1" x14ac:dyDescent="0.25">
      <c r="A147" s="16"/>
      <c r="B147" s="68">
        <f>SUBTOTAL(103,$K$83:K147)</f>
        <v>64</v>
      </c>
      <c r="C147" s="53">
        <v>19</v>
      </c>
      <c r="D147" s="53" t="s">
        <v>2118</v>
      </c>
      <c r="E147" s="53" t="s">
        <v>19</v>
      </c>
      <c r="F147" s="53" t="s">
        <v>105</v>
      </c>
      <c r="G147" s="110" t="s">
        <v>4598</v>
      </c>
      <c r="H147" s="110" t="s">
        <v>4583</v>
      </c>
      <c r="I147" s="58" t="s">
        <v>314</v>
      </c>
      <c r="J147" s="64" t="s">
        <v>183</v>
      </c>
      <c r="K147" s="99" t="s">
        <v>4043</v>
      </c>
      <c r="L147" s="53" t="s">
        <v>170</v>
      </c>
      <c r="M147" s="68">
        <v>1</v>
      </c>
      <c r="N147" s="53" t="s">
        <v>150</v>
      </c>
      <c r="O147" s="70" t="s">
        <v>5026</v>
      </c>
      <c r="P147" s="53" t="s">
        <v>3891</v>
      </c>
      <c r="Q147" s="58" t="s">
        <v>23</v>
      </c>
      <c r="R147" s="53">
        <v>2019</v>
      </c>
      <c r="S147" s="99" t="s">
        <v>153</v>
      </c>
      <c r="T147" s="123">
        <v>7.79</v>
      </c>
      <c r="U147" s="99" t="s">
        <v>2556</v>
      </c>
      <c r="V147" s="99"/>
      <c r="W147" s="53"/>
      <c r="X147" s="99" t="s">
        <v>4043</v>
      </c>
      <c r="Y147" s="53"/>
      <c r="Z147" s="124"/>
      <c r="AA147" s="58"/>
      <c r="AB147" s="188" t="s">
        <v>1136</v>
      </c>
      <c r="AC147" s="64"/>
      <c r="AD147" s="64"/>
      <c r="AE147" s="64" t="s">
        <v>157</v>
      </c>
      <c r="AF147" s="64"/>
      <c r="AG147" s="58" t="s">
        <v>2557</v>
      </c>
      <c r="AH147" s="53" t="s">
        <v>155</v>
      </c>
      <c r="AI147" s="58"/>
      <c r="AJ147" s="101" t="s">
        <v>2558</v>
      </c>
      <c r="AK147" s="64" t="s">
        <v>1136</v>
      </c>
      <c r="AL147" s="58" t="s">
        <v>2559</v>
      </c>
      <c r="AM147" s="58" t="s">
        <v>2560</v>
      </c>
      <c r="AN147" s="189" t="s">
        <v>2561</v>
      </c>
      <c r="AO147" s="190" t="s">
        <v>2562</v>
      </c>
      <c r="AP147" s="60"/>
      <c r="AQ147" s="193"/>
      <c r="AR147" s="66"/>
      <c r="AS147" s="66"/>
      <c r="AV147" s="54">
        <v>7140202</v>
      </c>
      <c r="AW147" s="53">
        <v>394</v>
      </c>
      <c r="BJ147" s="40"/>
      <c r="BK147" s="40"/>
      <c r="BN147" s="16"/>
      <c r="BO147" s="16"/>
    </row>
    <row r="148" spans="1:67" s="67" customFormat="1" ht="16.5" customHeight="1" x14ac:dyDescent="0.25">
      <c r="A148" s="16"/>
      <c r="B148" s="68">
        <f>SUBTOTAL(103,$K$83:K148)</f>
        <v>65</v>
      </c>
      <c r="C148" s="53">
        <v>20</v>
      </c>
      <c r="D148" s="53" t="s">
        <v>2118</v>
      </c>
      <c r="E148" s="110" t="s">
        <v>19</v>
      </c>
      <c r="F148" s="110" t="s">
        <v>105</v>
      </c>
      <c r="G148" s="110" t="s">
        <v>4598</v>
      </c>
      <c r="H148" s="110" t="s">
        <v>4584</v>
      </c>
      <c r="I148" s="108" t="s">
        <v>182</v>
      </c>
      <c r="J148" s="108" t="s">
        <v>183</v>
      </c>
      <c r="K148" s="144" t="s">
        <v>4044</v>
      </c>
      <c r="L148" s="110" t="s">
        <v>170</v>
      </c>
      <c r="M148" s="68">
        <v>1</v>
      </c>
      <c r="N148" s="110" t="s">
        <v>150</v>
      </c>
      <c r="O148" s="70" t="s">
        <v>5026</v>
      </c>
      <c r="P148" s="53" t="s">
        <v>3891</v>
      </c>
      <c r="Q148" s="58" t="s">
        <v>26</v>
      </c>
      <c r="R148" s="110">
        <v>2003</v>
      </c>
      <c r="S148" s="110" t="s">
        <v>248</v>
      </c>
      <c r="T148" s="110" t="s">
        <v>2563</v>
      </c>
      <c r="U148" s="110"/>
      <c r="V148" s="110"/>
      <c r="W148" s="110"/>
      <c r="X148" s="109" t="s">
        <v>4044</v>
      </c>
      <c r="Y148" s="110"/>
      <c r="Z148" s="110"/>
      <c r="AA148" s="58"/>
      <c r="AB148" s="187" t="s">
        <v>2163</v>
      </c>
      <c r="AC148" s="108" t="s">
        <v>157</v>
      </c>
      <c r="AD148" s="108"/>
      <c r="AE148" s="108"/>
      <c r="AF148" s="53" t="s">
        <v>253</v>
      </c>
      <c r="AG148" s="108" t="s">
        <v>2564</v>
      </c>
      <c r="AH148" s="110" t="s">
        <v>1337</v>
      </c>
      <c r="AI148" s="108" t="s">
        <v>2565</v>
      </c>
      <c r="AJ148" s="115" t="s">
        <v>2566</v>
      </c>
      <c r="AK148" s="108" t="s">
        <v>2163</v>
      </c>
      <c r="AL148" s="108" t="s">
        <v>2567</v>
      </c>
      <c r="AM148" s="108" t="s">
        <v>2568</v>
      </c>
      <c r="AN148" s="192" t="s">
        <v>2569</v>
      </c>
      <c r="AO148" s="108" t="s">
        <v>2570</v>
      </c>
      <c r="AP148" s="187"/>
      <c r="AQ148" s="114"/>
      <c r="AR148" s="40"/>
      <c r="AS148" s="40"/>
      <c r="AT148" s="40"/>
      <c r="AV148" s="54">
        <v>7140202</v>
      </c>
      <c r="AW148" s="53">
        <v>395</v>
      </c>
      <c r="BJ148" s="40"/>
      <c r="BK148" s="40"/>
      <c r="BN148" s="16"/>
      <c r="BO148" s="16"/>
    </row>
    <row r="149" spans="1:67" s="67" customFormat="1" ht="16.5" customHeight="1" x14ac:dyDescent="0.25">
      <c r="A149" s="16"/>
      <c r="B149" s="68">
        <f>SUBTOTAL(103,$K$83:K149)</f>
        <v>66</v>
      </c>
      <c r="C149" s="53">
        <v>21</v>
      </c>
      <c r="D149" s="53" t="s">
        <v>2118</v>
      </c>
      <c r="E149" s="53" t="s">
        <v>19</v>
      </c>
      <c r="F149" s="53" t="s">
        <v>105</v>
      </c>
      <c r="G149" s="110" t="s">
        <v>4598</v>
      </c>
      <c r="H149" s="110" t="s">
        <v>4585</v>
      </c>
      <c r="I149" s="58" t="s">
        <v>2571</v>
      </c>
      <c r="J149" s="64" t="s">
        <v>400</v>
      </c>
      <c r="K149" s="103" t="s">
        <v>4045</v>
      </c>
      <c r="L149" s="53" t="s">
        <v>170</v>
      </c>
      <c r="M149" s="68">
        <v>1</v>
      </c>
      <c r="N149" s="53" t="s">
        <v>150</v>
      </c>
      <c r="O149" s="70" t="s">
        <v>5026</v>
      </c>
      <c r="P149" s="53" t="s">
        <v>3891</v>
      </c>
      <c r="Q149" s="58" t="s">
        <v>26</v>
      </c>
      <c r="R149" s="53">
        <v>2014</v>
      </c>
      <c r="S149" s="53" t="s">
        <v>153</v>
      </c>
      <c r="T149" s="123">
        <v>7.6</v>
      </c>
      <c r="U149" s="99"/>
      <c r="V149" s="99"/>
      <c r="W149" s="53"/>
      <c r="X149" s="103" t="s">
        <v>4045</v>
      </c>
      <c r="Y149" s="53"/>
      <c r="Z149" s="68"/>
      <c r="AA149" s="58"/>
      <c r="AB149" s="60" t="s">
        <v>322</v>
      </c>
      <c r="AC149" s="58"/>
      <c r="AD149" s="58"/>
      <c r="AE149" s="58" t="s">
        <v>157</v>
      </c>
      <c r="AF149" s="58"/>
      <c r="AG149" s="58" t="s">
        <v>2198</v>
      </c>
      <c r="AH149" s="53" t="s">
        <v>155</v>
      </c>
      <c r="AI149" s="58"/>
      <c r="AJ149" s="101" t="s">
        <v>2572</v>
      </c>
      <c r="AK149" s="58" t="s">
        <v>322</v>
      </c>
      <c r="AL149" s="58" t="s">
        <v>322</v>
      </c>
      <c r="AM149" s="58" t="s">
        <v>2573</v>
      </c>
      <c r="AN149" s="189" t="s">
        <v>2574</v>
      </c>
      <c r="AO149" s="200"/>
      <c r="AS149" s="66"/>
      <c r="AV149" s="54">
        <v>7140202</v>
      </c>
      <c r="AW149" s="53">
        <v>396</v>
      </c>
      <c r="BJ149" s="40"/>
      <c r="BK149" s="40"/>
      <c r="BN149" s="16"/>
      <c r="BO149" s="16"/>
    </row>
    <row r="150" spans="1:67" s="67" customFormat="1" ht="16.5" customHeight="1" x14ac:dyDescent="0.25">
      <c r="A150" s="16"/>
      <c r="B150" s="68">
        <f>SUBTOTAL(103,$K$83:K150)</f>
        <v>67</v>
      </c>
      <c r="C150" s="53">
        <v>22</v>
      </c>
      <c r="D150" s="53" t="s">
        <v>2118</v>
      </c>
      <c r="E150" s="110" t="s">
        <v>19</v>
      </c>
      <c r="F150" s="110" t="s">
        <v>105</v>
      </c>
      <c r="G150" s="110" t="s">
        <v>4598</v>
      </c>
      <c r="H150" s="110" t="s">
        <v>4586</v>
      </c>
      <c r="I150" s="108" t="s">
        <v>2575</v>
      </c>
      <c r="J150" s="108" t="s">
        <v>400</v>
      </c>
      <c r="K150" s="144" t="s">
        <v>4046</v>
      </c>
      <c r="L150" s="110" t="s">
        <v>170</v>
      </c>
      <c r="M150" s="68">
        <v>1</v>
      </c>
      <c r="N150" s="110" t="s">
        <v>150</v>
      </c>
      <c r="O150" s="70" t="s">
        <v>5026</v>
      </c>
      <c r="P150" s="53" t="s">
        <v>3891</v>
      </c>
      <c r="Q150" s="108" t="s">
        <v>2576</v>
      </c>
      <c r="R150" s="110">
        <v>1997</v>
      </c>
      <c r="S150" s="110" t="s">
        <v>248</v>
      </c>
      <c r="T150" s="110"/>
      <c r="U150" s="110"/>
      <c r="V150" s="110"/>
      <c r="W150" s="110"/>
      <c r="X150" s="109" t="s">
        <v>4046</v>
      </c>
      <c r="Y150" s="110"/>
      <c r="Z150" s="110"/>
      <c r="AA150" s="58"/>
      <c r="AB150" s="187" t="s">
        <v>2163</v>
      </c>
      <c r="AC150" s="108" t="s">
        <v>157</v>
      </c>
      <c r="AD150" s="108"/>
      <c r="AE150" s="108"/>
      <c r="AF150" s="53" t="s">
        <v>253</v>
      </c>
      <c r="AG150" s="108" t="s">
        <v>2577</v>
      </c>
      <c r="AH150" s="110" t="s">
        <v>2578</v>
      </c>
      <c r="AI150" s="108"/>
      <c r="AJ150" s="115" t="s">
        <v>2579</v>
      </c>
      <c r="AK150" s="108" t="s">
        <v>2298</v>
      </c>
      <c r="AL150" s="108" t="s">
        <v>2567</v>
      </c>
      <c r="AM150" s="108" t="s">
        <v>2568</v>
      </c>
      <c r="AN150" s="192" t="s">
        <v>2580</v>
      </c>
      <c r="AO150" s="108" t="s">
        <v>2581</v>
      </c>
      <c r="AP150" s="187"/>
      <c r="AQ150" s="114"/>
      <c r="AR150" s="40"/>
      <c r="AS150" s="40"/>
      <c r="AT150" s="40"/>
      <c r="AV150" s="54">
        <v>7140202</v>
      </c>
      <c r="AW150" s="53">
        <v>397</v>
      </c>
      <c r="BJ150" s="40"/>
      <c r="BK150" s="40"/>
      <c r="BN150" s="16"/>
      <c r="BO150" s="16"/>
    </row>
    <row r="151" spans="1:67" s="67" customFormat="1" ht="16.5" customHeight="1" x14ac:dyDescent="0.25">
      <c r="A151" s="16"/>
      <c r="B151" s="68">
        <f>SUBTOTAL(103,$K$83:K151)</f>
        <v>68</v>
      </c>
      <c r="C151" s="53">
        <v>23</v>
      </c>
      <c r="D151" s="53" t="s">
        <v>2118</v>
      </c>
      <c r="E151" s="53" t="s">
        <v>19</v>
      </c>
      <c r="F151" s="53" t="s">
        <v>105</v>
      </c>
      <c r="G151" s="110" t="s">
        <v>4598</v>
      </c>
      <c r="H151" s="110" t="s">
        <v>4587</v>
      </c>
      <c r="I151" s="58" t="s">
        <v>2582</v>
      </c>
      <c r="J151" s="58" t="s">
        <v>2583</v>
      </c>
      <c r="K151" s="99" t="s">
        <v>4431</v>
      </c>
      <c r="L151" s="53" t="s">
        <v>170</v>
      </c>
      <c r="M151" s="68">
        <v>1</v>
      </c>
      <c r="N151" s="53" t="s">
        <v>2584</v>
      </c>
      <c r="O151" s="70" t="s">
        <v>5026</v>
      </c>
      <c r="P151" s="53" t="s">
        <v>3891</v>
      </c>
      <c r="Q151" s="58" t="s">
        <v>23</v>
      </c>
      <c r="R151" s="53">
        <v>2017</v>
      </c>
      <c r="S151" s="53" t="s">
        <v>236</v>
      </c>
      <c r="T151" s="123">
        <v>8.68</v>
      </c>
      <c r="U151" s="99" t="s">
        <v>2585</v>
      </c>
      <c r="V151" s="99"/>
      <c r="W151" s="53"/>
      <c r="X151" s="139">
        <v>34648</v>
      </c>
      <c r="Y151" s="53"/>
      <c r="Z151" s="124"/>
      <c r="AA151" s="58"/>
      <c r="AB151" s="60" t="s">
        <v>2325</v>
      </c>
      <c r="AC151" s="58"/>
      <c r="AD151" s="58"/>
      <c r="AE151" s="58" t="s">
        <v>157</v>
      </c>
      <c r="AF151" s="58">
        <v>6</v>
      </c>
      <c r="AG151" s="58" t="s">
        <v>2179</v>
      </c>
      <c r="AH151" s="99" t="s">
        <v>155</v>
      </c>
      <c r="AI151" s="58"/>
      <c r="AJ151" s="140" t="s">
        <v>2586</v>
      </c>
      <c r="AK151" s="58" t="s">
        <v>2587</v>
      </c>
      <c r="AL151" s="58" t="s">
        <v>2588</v>
      </c>
      <c r="AM151" s="58" t="s">
        <v>2589</v>
      </c>
      <c r="AN151" s="57" t="s">
        <v>2590</v>
      </c>
      <c r="AO151" s="58"/>
      <c r="AQ151" s="190"/>
      <c r="AR151" s="64"/>
      <c r="AS151" s="64"/>
      <c r="AT151" s="58"/>
      <c r="AU151" s="201"/>
      <c r="AV151" s="54">
        <v>7140202</v>
      </c>
      <c r="AW151" s="53">
        <v>398</v>
      </c>
      <c r="AX151" s="60"/>
      <c r="BJ151" s="40"/>
      <c r="BK151" s="40"/>
      <c r="BN151" s="16"/>
      <c r="BO151" s="16"/>
    </row>
    <row r="152" spans="1:67" s="67" customFormat="1" ht="16.5" customHeight="1" x14ac:dyDescent="0.25">
      <c r="A152" s="16"/>
      <c r="B152" s="68">
        <f>SUBTOTAL(103,$K$83:K152)</f>
        <v>69</v>
      </c>
      <c r="C152" s="53">
        <v>24</v>
      </c>
      <c r="D152" s="53" t="s">
        <v>2118</v>
      </c>
      <c r="E152" s="110" t="s">
        <v>19</v>
      </c>
      <c r="F152" s="110" t="s">
        <v>105</v>
      </c>
      <c r="G152" s="110" t="s">
        <v>4598</v>
      </c>
      <c r="H152" s="110" t="s">
        <v>4588</v>
      </c>
      <c r="I152" s="108" t="s">
        <v>472</v>
      </c>
      <c r="J152" s="108" t="s">
        <v>1474</v>
      </c>
      <c r="K152" s="144" t="s">
        <v>4047</v>
      </c>
      <c r="L152" s="110" t="s">
        <v>170</v>
      </c>
      <c r="M152" s="68">
        <v>1</v>
      </c>
      <c r="N152" s="110" t="s">
        <v>150</v>
      </c>
      <c r="O152" s="70" t="s">
        <v>5026</v>
      </c>
      <c r="P152" s="53" t="s">
        <v>3891</v>
      </c>
      <c r="Q152" s="58" t="s">
        <v>23</v>
      </c>
      <c r="R152" s="110">
        <v>2025</v>
      </c>
      <c r="S152" s="110" t="s">
        <v>236</v>
      </c>
      <c r="T152" s="110" t="s">
        <v>2144</v>
      </c>
      <c r="U152" s="110" t="s">
        <v>2257</v>
      </c>
      <c r="V152" s="110" t="s">
        <v>434</v>
      </c>
      <c r="W152" s="110" t="s">
        <v>153</v>
      </c>
      <c r="X152" s="109" t="s">
        <v>4047</v>
      </c>
      <c r="Y152" s="110"/>
      <c r="Z152" s="110"/>
      <c r="AA152" s="58"/>
      <c r="AB152" s="187" t="s">
        <v>156</v>
      </c>
      <c r="AC152" s="108" t="s">
        <v>157</v>
      </c>
      <c r="AD152" s="108" t="s">
        <v>157</v>
      </c>
      <c r="AE152" s="108"/>
      <c r="AF152" s="53" t="s">
        <v>253</v>
      </c>
      <c r="AG152" s="108" t="s">
        <v>2139</v>
      </c>
      <c r="AH152" s="110" t="s">
        <v>155</v>
      </c>
      <c r="AI152" s="108"/>
      <c r="AJ152" s="115" t="s">
        <v>2258</v>
      </c>
      <c r="AK152" s="108" t="s">
        <v>156</v>
      </c>
      <c r="AL152" s="108" t="s">
        <v>297</v>
      </c>
      <c r="AM152" s="108" t="s">
        <v>2259</v>
      </c>
      <c r="AN152" s="113" t="s">
        <v>2260</v>
      </c>
      <c r="AO152" s="108"/>
      <c r="AP152" s="114"/>
      <c r="AQ152" s="108"/>
      <c r="AR152" s="53"/>
      <c r="AS152" s="53"/>
      <c r="AT152" s="53"/>
      <c r="AU152" s="201"/>
      <c r="AV152" s="54">
        <v>7140201</v>
      </c>
      <c r="AW152" s="53">
        <v>336</v>
      </c>
      <c r="AX152" s="60"/>
      <c r="BJ152" s="40"/>
      <c r="BK152" s="40"/>
      <c r="BN152" s="16"/>
      <c r="BO152" s="16"/>
    </row>
    <row r="153" spans="1:67" s="67" customFormat="1" ht="16.5" customHeight="1" x14ac:dyDescent="0.25">
      <c r="A153" s="16"/>
      <c r="B153" s="68">
        <f>SUBTOTAL(103,$K$83:K153)</f>
        <v>70</v>
      </c>
      <c r="C153" s="53">
        <v>25</v>
      </c>
      <c r="D153" s="53" t="s">
        <v>2118</v>
      </c>
      <c r="E153" s="110" t="s">
        <v>19</v>
      </c>
      <c r="F153" s="110" t="s">
        <v>105</v>
      </c>
      <c r="G153" s="110" t="s">
        <v>4598</v>
      </c>
      <c r="H153" s="110" t="s">
        <v>4589</v>
      </c>
      <c r="I153" s="108" t="s">
        <v>2591</v>
      </c>
      <c r="J153" s="108" t="s">
        <v>246</v>
      </c>
      <c r="K153" s="144" t="s">
        <v>4048</v>
      </c>
      <c r="L153" s="110" t="s">
        <v>149</v>
      </c>
      <c r="M153" s="53">
        <v>0</v>
      </c>
      <c r="N153" s="110" t="s">
        <v>150</v>
      </c>
      <c r="O153" s="70" t="s">
        <v>5026</v>
      </c>
      <c r="P153" s="53" t="s">
        <v>3891</v>
      </c>
      <c r="Q153" s="108" t="s">
        <v>2525</v>
      </c>
      <c r="R153" s="110">
        <v>2016</v>
      </c>
      <c r="S153" s="110" t="s">
        <v>153</v>
      </c>
      <c r="T153" s="110" t="s">
        <v>2316</v>
      </c>
      <c r="U153" s="110" t="s">
        <v>2592</v>
      </c>
      <c r="V153" s="110" t="s">
        <v>548</v>
      </c>
      <c r="W153" s="110" t="s">
        <v>153</v>
      </c>
      <c r="X153" s="109" t="s">
        <v>4048</v>
      </c>
      <c r="Y153" s="110"/>
      <c r="Z153" s="110"/>
      <c r="AA153" s="58"/>
      <c r="AB153" s="187" t="s">
        <v>2501</v>
      </c>
      <c r="AC153" s="108" t="s">
        <v>157</v>
      </c>
      <c r="AD153" s="108" t="s">
        <v>157</v>
      </c>
      <c r="AE153" s="108"/>
      <c r="AF153" s="53" t="s">
        <v>253</v>
      </c>
      <c r="AG153" s="108" t="s">
        <v>2593</v>
      </c>
      <c r="AH153" s="110" t="s">
        <v>155</v>
      </c>
      <c r="AI153" s="108"/>
      <c r="AJ153" s="115" t="s">
        <v>2594</v>
      </c>
      <c r="AK153" s="108" t="s">
        <v>2501</v>
      </c>
      <c r="AL153" s="112" t="s">
        <v>2595</v>
      </c>
      <c r="AM153" s="108" t="s">
        <v>2596</v>
      </c>
      <c r="AN153" s="113" t="s">
        <v>2597</v>
      </c>
      <c r="AO153" s="108" t="s">
        <v>1041</v>
      </c>
      <c r="AP153" s="114"/>
      <c r="AQ153" s="108"/>
      <c r="AR153" s="53"/>
      <c r="AS153" s="53"/>
      <c r="AT153" s="53"/>
      <c r="AU153" s="201"/>
      <c r="AV153" s="54">
        <v>7140202</v>
      </c>
      <c r="AW153" s="53">
        <v>399</v>
      </c>
      <c r="AX153" s="60"/>
      <c r="BJ153" s="40"/>
      <c r="BK153" s="40"/>
      <c r="BN153" s="16"/>
      <c r="BO153" s="16"/>
    </row>
    <row r="154" spans="1:67" s="67" customFormat="1" ht="16.5" customHeight="1" x14ac:dyDescent="0.25">
      <c r="A154" s="16"/>
      <c r="B154" s="68">
        <f>SUBTOTAL(103,$K$83:K154)</f>
        <v>71</v>
      </c>
      <c r="C154" s="53">
        <v>26</v>
      </c>
      <c r="D154" s="53" t="s">
        <v>2118</v>
      </c>
      <c r="E154" s="110" t="s">
        <v>19</v>
      </c>
      <c r="F154" s="110" t="s">
        <v>105</v>
      </c>
      <c r="G154" s="110" t="s">
        <v>4598</v>
      </c>
      <c r="H154" s="110" t="s">
        <v>4590</v>
      </c>
      <c r="I154" s="108" t="s">
        <v>1745</v>
      </c>
      <c r="J154" s="108" t="s">
        <v>1547</v>
      </c>
      <c r="K154" s="144" t="s">
        <v>4049</v>
      </c>
      <c r="L154" s="110" t="s">
        <v>170</v>
      </c>
      <c r="M154" s="68">
        <v>1</v>
      </c>
      <c r="N154" s="110" t="s">
        <v>150</v>
      </c>
      <c r="O154" s="70" t="s">
        <v>5026</v>
      </c>
      <c r="P154" s="53" t="s">
        <v>3891</v>
      </c>
      <c r="Q154" s="58" t="s">
        <v>23</v>
      </c>
      <c r="R154" s="110">
        <v>2025</v>
      </c>
      <c r="S154" s="110" t="s">
        <v>236</v>
      </c>
      <c r="T154" s="110" t="s">
        <v>1056</v>
      </c>
      <c r="U154" s="110" t="s">
        <v>2598</v>
      </c>
      <c r="V154" s="110" t="s">
        <v>154</v>
      </c>
      <c r="W154" s="110" t="s">
        <v>153</v>
      </c>
      <c r="X154" s="109" t="s">
        <v>4049</v>
      </c>
      <c r="Y154" s="110"/>
      <c r="Z154" s="110"/>
      <c r="AA154" s="58"/>
      <c r="AB154" s="187" t="s">
        <v>253</v>
      </c>
      <c r="AC154" s="108" t="s">
        <v>157</v>
      </c>
      <c r="AD154" s="108" t="s">
        <v>157</v>
      </c>
      <c r="AE154" s="108"/>
      <c r="AF154" s="53" t="s">
        <v>253</v>
      </c>
      <c r="AG154" s="108" t="s">
        <v>2139</v>
      </c>
      <c r="AH154" s="110" t="s">
        <v>155</v>
      </c>
      <c r="AI154" s="108"/>
      <c r="AJ154" s="115" t="s">
        <v>2599</v>
      </c>
      <c r="AK154" s="112" t="s">
        <v>253</v>
      </c>
      <c r="AL154" s="112" t="s">
        <v>2254</v>
      </c>
      <c r="AM154" s="112" t="s">
        <v>2600</v>
      </c>
      <c r="AN154" s="129" t="s">
        <v>2601</v>
      </c>
      <c r="AO154" s="112"/>
      <c r="AP154" s="114"/>
      <c r="AQ154" s="114"/>
      <c r="AR154" s="40"/>
      <c r="AS154" s="40"/>
      <c r="AT154" s="40"/>
      <c r="AV154" s="54">
        <v>7140202</v>
      </c>
      <c r="AW154" s="53">
        <v>400</v>
      </c>
      <c r="BJ154" s="40"/>
      <c r="BK154" s="40"/>
      <c r="BN154" s="16"/>
      <c r="BO154" s="16"/>
    </row>
    <row r="155" spans="1:67" s="67" customFormat="1" ht="16.5" customHeight="1" x14ac:dyDescent="0.25">
      <c r="A155" s="16"/>
      <c r="B155" s="68">
        <f>SUBTOTAL(103,$K$83:K155)</f>
        <v>72</v>
      </c>
      <c r="C155" s="53">
        <v>27</v>
      </c>
      <c r="D155" s="53" t="s">
        <v>2118</v>
      </c>
      <c r="E155" s="53" t="s">
        <v>19</v>
      </c>
      <c r="F155" s="53" t="s">
        <v>105</v>
      </c>
      <c r="G155" s="110" t="s">
        <v>4598</v>
      </c>
      <c r="H155" s="110" t="s">
        <v>4591</v>
      </c>
      <c r="I155" s="58" t="s">
        <v>2602</v>
      </c>
      <c r="J155" s="64" t="s">
        <v>269</v>
      </c>
      <c r="K155" s="103" t="s">
        <v>4050</v>
      </c>
      <c r="L155" s="53" t="s">
        <v>170</v>
      </c>
      <c r="M155" s="68">
        <v>1</v>
      </c>
      <c r="N155" s="53" t="s">
        <v>150</v>
      </c>
      <c r="O155" s="70" t="s">
        <v>5026</v>
      </c>
      <c r="P155" s="53" t="s">
        <v>3891</v>
      </c>
      <c r="Q155" s="58" t="s">
        <v>23</v>
      </c>
      <c r="R155" s="53">
        <v>2025</v>
      </c>
      <c r="S155" s="99" t="s">
        <v>236</v>
      </c>
      <c r="T155" s="53">
        <v>8.1999999999999993</v>
      </c>
      <c r="U155" s="53">
        <v>3.52</v>
      </c>
      <c r="V155" s="53"/>
      <c r="W155" s="53"/>
      <c r="X155" s="57" t="s">
        <v>4050</v>
      </c>
      <c r="Y155" s="53"/>
      <c r="Z155" s="68"/>
      <c r="AA155" s="58"/>
      <c r="AB155" s="60" t="s">
        <v>156</v>
      </c>
      <c r="AC155" s="58"/>
      <c r="AD155" s="58"/>
      <c r="AE155" s="58" t="s">
        <v>157</v>
      </c>
      <c r="AF155" s="58"/>
      <c r="AG155" s="58" t="s">
        <v>2139</v>
      </c>
      <c r="AH155" s="53" t="s">
        <v>155</v>
      </c>
      <c r="AI155" s="58"/>
      <c r="AJ155" s="131" t="s">
        <v>2603</v>
      </c>
      <c r="AK155" s="93" t="s">
        <v>156</v>
      </c>
      <c r="AL155" s="93" t="s">
        <v>413</v>
      </c>
      <c r="AM155" s="93" t="s">
        <v>2604</v>
      </c>
      <c r="AN155" s="133" t="s">
        <v>2605</v>
      </c>
      <c r="AO155" s="94"/>
      <c r="AS155" s="66"/>
      <c r="AV155" s="54">
        <v>7140202</v>
      </c>
      <c r="AW155" s="53">
        <v>401</v>
      </c>
      <c r="BJ155" s="40"/>
      <c r="BK155" s="40"/>
      <c r="BN155" s="16"/>
      <c r="BO155" s="16"/>
    </row>
    <row r="156" spans="1:67" s="67" customFormat="1" ht="16.5" customHeight="1" x14ac:dyDescent="0.25">
      <c r="A156" s="16"/>
      <c r="B156" s="68">
        <f>SUBTOTAL(103,$K$83:K156)</f>
        <v>73</v>
      </c>
      <c r="C156" s="53">
        <v>28</v>
      </c>
      <c r="D156" s="53" t="s">
        <v>2118</v>
      </c>
      <c r="E156" s="53" t="s">
        <v>19</v>
      </c>
      <c r="F156" s="53" t="s">
        <v>105</v>
      </c>
      <c r="G156" s="110" t="s">
        <v>4598</v>
      </c>
      <c r="H156" s="110" t="s">
        <v>4592</v>
      </c>
      <c r="I156" s="58" t="s">
        <v>2606</v>
      </c>
      <c r="J156" s="64" t="s">
        <v>269</v>
      </c>
      <c r="K156" s="103" t="s">
        <v>3978</v>
      </c>
      <c r="L156" s="53" t="s">
        <v>170</v>
      </c>
      <c r="M156" s="68">
        <v>1</v>
      </c>
      <c r="N156" s="53" t="s">
        <v>150</v>
      </c>
      <c r="O156" s="70" t="s">
        <v>5026</v>
      </c>
      <c r="P156" s="53" t="s">
        <v>3891</v>
      </c>
      <c r="Q156" s="58" t="s">
        <v>23</v>
      </c>
      <c r="R156" s="53">
        <v>2025</v>
      </c>
      <c r="S156" s="99" t="s">
        <v>236</v>
      </c>
      <c r="T156" s="53">
        <v>8.0500000000000007</v>
      </c>
      <c r="U156" s="53">
        <v>3.22</v>
      </c>
      <c r="V156" s="53"/>
      <c r="W156" s="53"/>
      <c r="X156" s="57" t="s">
        <v>3978</v>
      </c>
      <c r="Y156" s="53"/>
      <c r="Z156" s="68"/>
      <c r="AA156" s="58"/>
      <c r="AB156" s="60" t="s">
        <v>2163</v>
      </c>
      <c r="AC156" s="58"/>
      <c r="AD156" s="58"/>
      <c r="AE156" s="58" t="s">
        <v>157</v>
      </c>
      <c r="AF156" s="68"/>
      <c r="AG156" s="58" t="s">
        <v>2139</v>
      </c>
      <c r="AH156" s="53" t="s">
        <v>155</v>
      </c>
      <c r="AI156" s="58"/>
      <c r="AJ156" s="131" t="s">
        <v>2607</v>
      </c>
      <c r="AK156" s="132" t="s">
        <v>2163</v>
      </c>
      <c r="AL156" s="94" t="s">
        <v>2608</v>
      </c>
      <c r="AM156" s="93" t="s">
        <v>2609</v>
      </c>
      <c r="AN156" s="202"/>
      <c r="AO156" s="93"/>
      <c r="AP156" s="67" t="s">
        <v>2610</v>
      </c>
      <c r="AR156" s="66"/>
      <c r="AV156" s="54">
        <v>7140202</v>
      </c>
      <c r="AW156" s="53">
        <v>402</v>
      </c>
      <c r="BJ156" s="40"/>
      <c r="BK156" s="40"/>
      <c r="BN156" s="16"/>
      <c r="BO156" s="16"/>
    </row>
    <row r="157" spans="1:67" s="67" customFormat="1" ht="16.5" customHeight="1" x14ac:dyDescent="0.25">
      <c r="A157" s="16"/>
      <c r="B157" s="68">
        <f>SUBTOTAL(103,$K$83:K157)</f>
        <v>74</v>
      </c>
      <c r="C157" s="53">
        <v>29</v>
      </c>
      <c r="D157" s="53" t="s">
        <v>2118</v>
      </c>
      <c r="E157" s="53" t="s">
        <v>19</v>
      </c>
      <c r="F157" s="53" t="s">
        <v>105</v>
      </c>
      <c r="G157" s="110" t="s">
        <v>4598</v>
      </c>
      <c r="H157" s="110" t="s">
        <v>4593</v>
      </c>
      <c r="I157" s="58" t="s">
        <v>768</v>
      </c>
      <c r="J157" s="64" t="s">
        <v>1799</v>
      </c>
      <c r="K157" s="99" t="s">
        <v>4051</v>
      </c>
      <c r="L157" s="53" t="s">
        <v>170</v>
      </c>
      <c r="M157" s="68">
        <v>1</v>
      </c>
      <c r="N157" s="53" t="s">
        <v>150</v>
      </c>
      <c r="O157" s="70" t="s">
        <v>5026</v>
      </c>
      <c r="P157" s="53" t="s">
        <v>3891</v>
      </c>
      <c r="Q157" s="58" t="s">
        <v>23</v>
      </c>
      <c r="R157" s="99" t="s">
        <v>2104</v>
      </c>
      <c r="S157" s="53" t="s">
        <v>153</v>
      </c>
      <c r="T157" s="53">
        <v>7.72</v>
      </c>
      <c r="U157" s="99"/>
      <c r="V157" s="99"/>
      <c r="W157" s="53"/>
      <c r="X157" s="99" t="s">
        <v>4051</v>
      </c>
      <c r="Y157" s="53"/>
      <c r="Z157" s="124"/>
      <c r="AA157" s="58"/>
      <c r="AB157" s="188" t="s">
        <v>2233</v>
      </c>
      <c r="AC157" s="64"/>
      <c r="AD157" s="64"/>
      <c r="AE157" s="64" t="s">
        <v>157</v>
      </c>
      <c r="AF157" s="158">
        <v>8</v>
      </c>
      <c r="AG157" s="58" t="s">
        <v>2234</v>
      </c>
      <c r="AH157" s="99" t="s">
        <v>155</v>
      </c>
      <c r="AI157" s="58"/>
      <c r="AJ157" s="131" t="s">
        <v>2611</v>
      </c>
      <c r="AK157" s="203" t="s">
        <v>2233</v>
      </c>
      <c r="AL157" s="204" t="s">
        <v>2612</v>
      </c>
      <c r="AM157" s="204" t="s">
        <v>2589</v>
      </c>
      <c r="AN157" s="133" t="s">
        <v>2613</v>
      </c>
      <c r="AO157" s="93"/>
      <c r="AQ157" s="193"/>
      <c r="AR157" s="66"/>
      <c r="AS157" s="66"/>
      <c r="AV157" s="54">
        <v>7140202</v>
      </c>
      <c r="AW157" s="53">
        <v>403</v>
      </c>
      <c r="BJ157" s="40"/>
      <c r="BK157" s="40"/>
      <c r="BN157" s="16"/>
      <c r="BO157" s="16"/>
    </row>
    <row r="158" spans="1:67" s="67" customFormat="1" ht="16.5" customHeight="1" x14ac:dyDescent="0.25">
      <c r="A158" s="16"/>
      <c r="B158" s="68">
        <f>SUBTOTAL(103,$K$83:K158)</f>
        <v>75</v>
      </c>
      <c r="C158" s="53">
        <v>30</v>
      </c>
      <c r="D158" s="53" t="s">
        <v>2118</v>
      </c>
      <c r="E158" s="53" t="s">
        <v>19</v>
      </c>
      <c r="F158" s="53" t="s">
        <v>105</v>
      </c>
      <c r="G158" s="110" t="s">
        <v>4598</v>
      </c>
      <c r="H158" s="110" t="s">
        <v>4594</v>
      </c>
      <c r="I158" s="58" t="s">
        <v>314</v>
      </c>
      <c r="J158" s="64" t="s">
        <v>934</v>
      </c>
      <c r="K158" s="103" t="s">
        <v>4052</v>
      </c>
      <c r="L158" s="53" t="s">
        <v>170</v>
      </c>
      <c r="M158" s="68">
        <v>1</v>
      </c>
      <c r="N158" s="53" t="s">
        <v>150</v>
      </c>
      <c r="O158" s="70" t="s">
        <v>5026</v>
      </c>
      <c r="P158" s="53" t="s">
        <v>3891</v>
      </c>
      <c r="Q158" s="58" t="s">
        <v>26</v>
      </c>
      <c r="R158" s="53">
        <v>2002</v>
      </c>
      <c r="S158" s="53" t="s">
        <v>248</v>
      </c>
      <c r="T158" s="123"/>
      <c r="U158" s="99"/>
      <c r="V158" s="99"/>
      <c r="W158" s="53"/>
      <c r="X158" s="103" t="s">
        <v>4052</v>
      </c>
      <c r="Y158" s="53"/>
      <c r="Z158" s="68"/>
      <c r="AA158" s="58"/>
      <c r="AB158" s="60" t="s">
        <v>253</v>
      </c>
      <c r="AC158" s="58"/>
      <c r="AD158" s="58"/>
      <c r="AE158" s="58" t="s">
        <v>157</v>
      </c>
      <c r="AF158" s="58"/>
      <c r="AG158" s="58" t="s">
        <v>2453</v>
      </c>
      <c r="AH158" s="53" t="s">
        <v>1337</v>
      </c>
      <c r="AI158" s="58"/>
      <c r="AJ158" s="131" t="s">
        <v>2614</v>
      </c>
      <c r="AK158" s="204" t="s">
        <v>253</v>
      </c>
      <c r="AL158" s="204" t="s">
        <v>2236</v>
      </c>
      <c r="AM158" s="204" t="s">
        <v>2615</v>
      </c>
      <c r="AN158" s="133" t="s">
        <v>2616</v>
      </c>
      <c r="AO158" s="93" t="s">
        <v>2617</v>
      </c>
      <c r="AR158" s="66"/>
      <c r="AS158" s="66"/>
      <c r="AV158" s="54">
        <v>7140202</v>
      </c>
      <c r="AW158" s="53">
        <v>404</v>
      </c>
      <c r="BJ158" s="40"/>
      <c r="BK158" s="40"/>
      <c r="BN158" s="16"/>
      <c r="BO158" s="16"/>
    </row>
    <row r="159" spans="1:67" s="67" customFormat="1" ht="16.5" customHeight="1" x14ac:dyDescent="0.25">
      <c r="A159" s="16"/>
      <c r="B159" s="68">
        <f>SUBTOTAL(103,$K$83:K159)</f>
        <v>76</v>
      </c>
      <c r="C159" s="53">
        <v>31</v>
      </c>
      <c r="D159" s="53" t="s">
        <v>2118</v>
      </c>
      <c r="E159" s="110" t="s">
        <v>19</v>
      </c>
      <c r="F159" s="110" t="s">
        <v>105</v>
      </c>
      <c r="G159" s="110" t="s">
        <v>4598</v>
      </c>
      <c r="H159" s="110" t="s">
        <v>4595</v>
      </c>
      <c r="I159" s="108" t="s">
        <v>420</v>
      </c>
      <c r="J159" s="108" t="s">
        <v>532</v>
      </c>
      <c r="K159" s="144" t="s">
        <v>4053</v>
      </c>
      <c r="L159" s="110" t="s">
        <v>170</v>
      </c>
      <c r="M159" s="68">
        <v>1</v>
      </c>
      <c r="N159" s="110" t="s">
        <v>150</v>
      </c>
      <c r="O159" s="70" t="s">
        <v>5026</v>
      </c>
      <c r="P159" s="53" t="s">
        <v>3891</v>
      </c>
      <c r="Q159" s="58" t="s">
        <v>23</v>
      </c>
      <c r="R159" s="110">
        <v>2025</v>
      </c>
      <c r="S159" s="110" t="s">
        <v>2618</v>
      </c>
      <c r="T159" s="110"/>
      <c r="U159" s="110" t="s">
        <v>2619</v>
      </c>
      <c r="V159" s="110" t="s">
        <v>186</v>
      </c>
      <c r="W159" s="110" t="s">
        <v>153</v>
      </c>
      <c r="X159" s="109" t="s">
        <v>4053</v>
      </c>
      <c r="Y159" s="110"/>
      <c r="Z159" s="110"/>
      <c r="AA159" s="58"/>
      <c r="AB159" s="187" t="s">
        <v>2298</v>
      </c>
      <c r="AC159" s="108" t="s">
        <v>157</v>
      </c>
      <c r="AD159" s="108" t="s">
        <v>157</v>
      </c>
      <c r="AE159" s="108">
        <v>4</v>
      </c>
      <c r="AF159" s="53" t="s">
        <v>253</v>
      </c>
      <c r="AG159" s="108" t="s">
        <v>2234</v>
      </c>
      <c r="AH159" s="110" t="s">
        <v>19</v>
      </c>
      <c r="AI159" s="108" t="s">
        <v>2172</v>
      </c>
      <c r="AJ159" s="135" t="s">
        <v>2620</v>
      </c>
      <c r="AK159" s="136" t="s">
        <v>2298</v>
      </c>
      <c r="AL159" s="136" t="s">
        <v>2621</v>
      </c>
      <c r="AM159" s="136" t="s">
        <v>2622</v>
      </c>
      <c r="AN159" s="137" t="s">
        <v>2623</v>
      </c>
      <c r="AO159" s="136"/>
      <c r="AP159" s="114"/>
      <c r="AQ159" s="114"/>
      <c r="AR159" s="40"/>
      <c r="AS159" s="40"/>
      <c r="AT159" s="40"/>
      <c r="AV159" s="54">
        <v>7140202</v>
      </c>
      <c r="AW159" s="53">
        <v>405</v>
      </c>
      <c r="BJ159" s="40"/>
      <c r="BK159" s="40"/>
      <c r="BN159" s="16"/>
      <c r="BO159" s="16"/>
    </row>
    <row r="160" spans="1:67" s="67" customFormat="1" ht="16.5" customHeight="1" x14ac:dyDescent="0.25">
      <c r="A160" s="16"/>
      <c r="B160" s="68">
        <f>SUBTOTAL(103,$K$83:K160)</f>
        <v>77</v>
      </c>
      <c r="C160" s="53">
        <v>32</v>
      </c>
      <c r="D160" s="53" t="s">
        <v>2118</v>
      </c>
      <c r="E160" s="53" t="s">
        <v>19</v>
      </c>
      <c r="F160" s="53" t="s">
        <v>105</v>
      </c>
      <c r="G160" s="110" t="s">
        <v>4598</v>
      </c>
      <c r="H160" s="110" t="s">
        <v>4596</v>
      </c>
      <c r="I160" s="64" t="s">
        <v>2624</v>
      </c>
      <c r="J160" s="64" t="s">
        <v>2625</v>
      </c>
      <c r="K160" s="103" t="s">
        <v>4054</v>
      </c>
      <c r="L160" s="53" t="s">
        <v>170</v>
      </c>
      <c r="M160" s="68">
        <v>1</v>
      </c>
      <c r="N160" s="53" t="s">
        <v>2434</v>
      </c>
      <c r="O160" s="70" t="s">
        <v>5026</v>
      </c>
      <c r="P160" s="53" t="s">
        <v>3891</v>
      </c>
      <c r="Q160" s="58" t="s">
        <v>23</v>
      </c>
      <c r="R160" s="53">
        <v>2021</v>
      </c>
      <c r="S160" s="53" t="s">
        <v>153</v>
      </c>
      <c r="T160" s="123">
        <v>7.48</v>
      </c>
      <c r="U160" s="99" t="s">
        <v>527</v>
      </c>
      <c r="V160" s="99"/>
      <c r="W160" s="53"/>
      <c r="X160" s="103" t="s">
        <v>4054</v>
      </c>
      <c r="Y160" s="53"/>
      <c r="Z160" s="68"/>
      <c r="AA160" s="58"/>
      <c r="AB160" s="188" t="s">
        <v>2626</v>
      </c>
      <c r="AC160" s="58"/>
      <c r="AD160" s="58"/>
      <c r="AE160" s="58" t="s">
        <v>157</v>
      </c>
      <c r="AF160" s="58"/>
      <c r="AG160" s="58" t="s">
        <v>2627</v>
      </c>
      <c r="AH160" s="53" t="s">
        <v>155</v>
      </c>
      <c r="AI160" s="58"/>
      <c r="AJ160" s="131" t="s">
        <v>2628</v>
      </c>
      <c r="AK160" s="203" t="s">
        <v>2626</v>
      </c>
      <c r="AL160" s="203" t="s">
        <v>2629</v>
      </c>
      <c r="AM160" s="204" t="s">
        <v>2630</v>
      </c>
      <c r="AN160" s="133" t="s">
        <v>2631</v>
      </c>
      <c r="AO160" s="93" t="s">
        <v>2632</v>
      </c>
      <c r="AR160" s="66"/>
      <c r="AS160" s="66"/>
      <c r="AV160" s="54">
        <v>7140202</v>
      </c>
      <c r="AW160" s="53">
        <v>406</v>
      </c>
      <c r="BJ160" s="40"/>
      <c r="BK160" s="40"/>
      <c r="BN160" s="16"/>
      <c r="BO160" s="16"/>
    </row>
    <row r="161" spans="1:67" s="67" customFormat="1" ht="16.5" customHeight="1" x14ac:dyDescent="0.25">
      <c r="A161" s="16"/>
      <c r="B161" s="68">
        <f>SUBTOTAL(103,$K$83:K161)</f>
        <v>78</v>
      </c>
      <c r="C161" s="53">
        <v>33</v>
      </c>
      <c r="D161" s="53" t="s">
        <v>2118</v>
      </c>
      <c r="E161" s="53" t="s">
        <v>19</v>
      </c>
      <c r="F161" s="53" t="s">
        <v>105</v>
      </c>
      <c r="G161" s="110" t="s">
        <v>4598</v>
      </c>
      <c r="H161" s="110" t="s">
        <v>4597</v>
      </c>
      <c r="I161" s="58" t="s">
        <v>314</v>
      </c>
      <c r="J161" s="64" t="s">
        <v>556</v>
      </c>
      <c r="K161" s="103" t="s">
        <v>4055</v>
      </c>
      <c r="L161" s="53" t="s">
        <v>170</v>
      </c>
      <c r="M161" s="68">
        <v>1</v>
      </c>
      <c r="N161" s="53" t="s">
        <v>150</v>
      </c>
      <c r="O161" s="70" t="s">
        <v>5026</v>
      </c>
      <c r="P161" s="53" t="s">
        <v>3891</v>
      </c>
      <c r="Q161" s="58" t="s">
        <v>2461</v>
      </c>
      <c r="R161" s="53">
        <v>2015</v>
      </c>
      <c r="S161" s="123" t="s">
        <v>153</v>
      </c>
      <c r="T161" s="99" t="s">
        <v>738</v>
      </c>
      <c r="U161" s="53">
        <v>3.17</v>
      </c>
      <c r="V161" s="53"/>
      <c r="W161" s="53"/>
      <c r="X161" s="103" t="s">
        <v>4055</v>
      </c>
      <c r="Y161" s="53"/>
      <c r="Z161" s="68"/>
      <c r="AA161" s="58"/>
      <c r="AB161" s="60" t="s">
        <v>253</v>
      </c>
      <c r="AC161" s="58"/>
      <c r="AD161" s="58"/>
      <c r="AE161" s="58" t="s">
        <v>157</v>
      </c>
      <c r="AF161" s="58"/>
      <c r="AG161" s="58" t="s">
        <v>2633</v>
      </c>
      <c r="AH161" s="53" t="s">
        <v>155</v>
      </c>
      <c r="AI161" s="58"/>
      <c r="AJ161" s="131" t="s">
        <v>2634</v>
      </c>
      <c r="AK161" s="204" t="s">
        <v>253</v>
      </c>
      <c r="AL161" s="203" t="s">
        <v>2242</v>
      </c>
      <c r="AM161" s="204" t="s">
        <v>2635</v>
      </c>
      <c r="AN161" s="133" t="s">
        <v>2636</v>
      </c>
      <c r="AO161" s="93"/>
      <c r="AR161" s="66"/>
      <c r="AS161" s="66"/>
      <c r="AV161" s="54">
        <v>7140202</v>
      </c>
      <c r="AW161" s="53">
        <v>407</v>
      </c>
      <c r="BJ161" s="40"/>
      <c r="BK161" s="40"/>
      <c r="BN161" s="16"/>
      <c r="BO161" s="16"/>
    </row>
    <row r="162" spans="1:67" s="67" customFormat="1" ht="16.5" customHeight="1" x14ac:dyDescent="0.25">
      <c r="A162" s="16"/>
      <c r="B162" s="68">
        <f>SUBTOTAL(103,$K$83:K162)</f>
        <v>79</v>
      </c>
      <c r="C162" s="53">
        <v>34</v>
      </c>
      <c r="D162" s="53" t="s">
        <v>2118</v>
      </c>
      <c r="E162" s="53" t="s">
        <v>19</v>
      </c>
      <c r="F162" s="53" t="s">
        <v>106</v>
      </c>
      <c r="G162" s="110" t="s">
        <v>4598</v>
      </c>
      <c r="H162" s="53" t="s">
        <v>4599</v>
      </c>
      <c r="I162" s="58" t="s">
        <v>2637</v>
      </c>
      <c r="J162" s="58" t="s">
        <v>676</v>
      </c>
      <c r="K162" s="103" t="s">
        <v>4056</v>
      </c>
      <c r="L162" s="53" t="s">
        <v>170</v>
      </c>
      <c r="M162" s="68">
        <v>1</v>
      </c>
      <c r="N162" s="53" t="s">
        <v>2638</v>
      </c>
      <c r="O162" s="70" t="s">
        <v>5026</v>
      </c>
      <c r="P162" s="53" t="s">
        <v>3891</v>
      </c>
      <c r="Q162" s="58" t="s">
        <v>2639</v>
      </c>
      <c r="R162" s="53">
        <v>2025</v>
      </c>
      <c r="S162" s="53" t="s">
        <v>153</v>
      </c>
      <c r="T162" s="123">
        <v>7.74</v>
      </c>
      <c r="U162" s="99" t="s">
        <v>216</v>
      </c>
      <c r="V162" s="99"/>
      <c r="W162" s="53" t="s">
        <v>236</v>
      </c>
      <c r="X162" s="103" t="s">
        <v>4056</v>
      </c>
      <c r="Y162" s="53"/>
      <c r="Z162" s="68"/>
      <c r="AA162" s="58"/>
      <c r="AB162" s="60" t="s">
        <v>2206</v>
      </c>
      <c r="AC162" s="58"/>
      <c r="AD162" s="58"/>
      <c r="AE162" s="58" t="s">
        <v>157</v>
      </c>
      <c r="AF162" s="58"/>
      <c r="AG162" s="58" t="s">
        <v>2640</v>
      </c>
      <c r="AH162" s="53" t="s">
        <v>155</v>
      </c>
      <c r="AI162" s="58"/>
      <c r="AJ162" s="131" t="s">
        <v>2641</v>
      </c>
      <c r="AK162" s="204" t="s">
        <v>2206</v>
      </c>
      <c r="AL162" s="204" t="s">
        <v>2642</v>
      </c>
      <c r="AM162" s="204" t="s">
        <v>2643</v>
      </c>
      <c r="AN162" s="131" t="s">
        <v>2644</v>
      </c>
      <c r="AO162" s="205"/>
      <c r="AR162" s="66"/>
      <c r="AS162" s="66"/>
      <c r="AV162" s="54">
        <v>7140202</v>
      </c>
      <c r="AW162" s="53">
        <v>408</v>
      </c>
      <c r="BJ162" s="40"/>
      <c r="BK162" s="40"/>
      <c r="BN162" s="16"/>
      <c r="BO162" s="16"/>
    </row>
    <row r="163" spans="1:67" s="67" customFormat="1" ht="16.5" customHeight="1" x14ac:dyDescent="0.25">
      <c r="A163" s="16"/>
      <c r="B163" s="68">
        <f>SUBTOTAL(103,$K$83:K163)</f>
        <v>80</v>
      </c>
      <c r="C163" s="53">
        <v>35</v>
      </c>
      <c r="D163" s="53" t="s">
        <v>2118</v>
      </c>
      <c r="E163" s="53" t="s">
        <v>19</v>
      </c>
      <c r="F163" s="53" t="s">
        <v>106</v>
      </c>
      <c r="G163" s="110" t="s">
        <v>4598</v>
      </c>
      <c r="H163" s="53" t="s">
        <v>4600</v>
      </c>
      <c r="I163" s="64" t="s">
        <v>2645</v>
      </c>
      <c r="J163" s="64" t="s">
        <v>676</v>
      </c>
      <c r="K163" s="103" t="s">
        <v>4057</v>
      </c>
      <c r="L163" s="53" t="s">
        <v>170</v>
      </c>
      <c r="M163" s="68">
        <v>1</v>
      </c>
      <c r="N163" s="53" t="s">
        <v>150</v>
      </c>
      <c r="O163" s="70" t="s">
        <v>5026</v>
      </c>
      <c r="P163" s="53" t="s">
        <v>3891</v>
      </c>
      <c r="Q163" s="58" t="s">
        <v>2646</v>
      </c>
      <c r="R163" s="53">
        <v>2025</v>
      </c>
      <c r="S163" s="53" t="s">
        <v>153</v>
      </c>
      <c r="T163" s="123">
        <v>7.73</v>
      </c>
      <c r="U163" s="99" t="s">
        <v>2647</v>
      </c>
      <c r="V163" s="99"/>
      <c r="W163" s="53" t="s">
        <v>236</v>
      </c>
      <c r="X163" s="103" t="s">
        <v>4057</v>
      </c>
      <c r="Y163" s="53"/>
      <c r="Z163" s="68"/>
      <c r="AA163" s="58"/>
      <c r="AB163" s="188" t="s">
        <v>253</v>
      </c>
      <c r="AC163" s="64"/>
      <c r="AD163" s="64"/>
      <c r="AE163" s="64" t="s">
        <v>157</v>
      </c>
      <c r="AF163" s="64"/>
      <c r="AG163" s="64" t="s">
        <v>2640</v>
      </c>
      <c r="AH163" s="53" t="s">
        <v>155</v>
      </c>
      <c r="AI163" s="58"/>
      <c r="AJ163" s="131" t="s">
        <v>2648</v>
      </c>
      <c r="AK163" s="94" t="s">
        <v>253</v>
      </c>
      <c r="AL163" s="94" t="s">
        <v>2411</v>
      </c>
      <c r="AM163" s="94" t="s">
        <v>2649</v>
      </c>
      <c r="AN163" s="133" t="s">
        <v>2650</v>
      </c>
      <c r="AO163" s="94"/>
      <c r="AR163" s="66"/>
      <c r="AS163" s="66"/>
      <c r="AV163" s="54">
        <v>7140202</v>
      </c>
      <c r="AW163" s="53">
        <v>409</v>
      </c>
      <c r="BJ163" s="40"/>
      <c r="BK163" s="40"/>
      <c r="BN163" s="16"/>
      <c r="BO163" s="16"/>
    </row>
    <row r="164" spans="1:67" s="67" customFormat="1" ht="16.5" customHeight="1" x14ac:dyDescent="0.25">
      <c r="A164" s="16"/>
      <c r="B164" s="68">
        <f>SUBTOTAL(103,$K$83:K164)</f>
        <v>81</v>
      </c>
      <c r="C164" s="53">
        <v>36</v>
      </c>
      <c r="D164" s="53" t="s">
        <v>2118</v>
      </c>
      <c r="E164" s="53" t="s">
        <v>19</v>
      </c>
      <c r="F164" s="53" t="s">
        <v>106</v>
      </c>
      <c r="G164" s="110" t="s">
        <v>4598</v>
      </c>
      <c r="H164" s="53" t="s">
        <v>4601</v>
      </c>
      <c r="I164" s="58" t="s">
        <v>1115</v>
      </c>
      <c r="J164" s="64" t="s">
        <v>1316</v>
      </c>
      <c r="K164" s="103" t="s">
        <v>4058</v>
      </c>
      <c r="L164" s="53" t="s">
        <v>170</v>
      </c>
      <c r="M164" s="68">
        <v>1</v>
      </c>
      <c r="N164" s="53" t="s">
        <v>150</v>
      </c>
      <c r="O164" s="70" t="s">
        <v>5026</v>
      </c>
      <c r="P164" s="53" t="s">
        <v>3891</v>
      </c>
      <c r="Q164" s="58" t="s">
        <v>23</v>
      </c>
      <c r="R164" s="53">
        <v>2025</v>
      </c>
      <c r="S164" s="53" t="s">
        <v>153</v>
      </c>
      <c r="T164" s="123">
        <v>7.3</v>
      </c>
      <c r="U164" s="99" t="s">
        <v>2651</v>
      </c>
      <c r="V164" s="99"/>
      <c r="W164" s="53" t="s">
        <v>236</v>
      </c>
      <c r="X164" s="57" t="s">
        <v>4058</v>
      </c>
      <c r="Y164" s="53"/>
      <c r="Z164" s="68"/>
      <c r="AA164" s="58"/>
      <c r="AB164" s="188" t="s">
        <v>1136</v>
      </c>
      <c r="AC164" s="58"/>
      <c r="AD164" s="58"/>
      <c r="AE164" s="58" t="s">
        <v>157</v>
      </c>
      <c r="AF164" s="58"/>
      <c r="AG164" s="58" t="s">
        <v>2652</v>
      </c>
      <c r="AH164" s="53" t="s">
        <v>155</v>
      </c>
      <c r="AI164" s="58"/>
      <c r="AJ164" s="131" t="s">
        <v>2653</v>
      </c>
      <c r="AK164" s="94" t="s">
        <v>1136</v>
      </c>
      <c r="AL164" s="94" t="s">
        <v>2559</v>
      </c>
      <c r="AM164" s="93" t="s">
        <v>2654</v>
      </c>
      <c r="AN164" s="133" t="s">
        <v>2655</v>
      </c>
      <c r="AO164" s="93" t="s">
        <v>2656</v>
      </c>
      <c r="AR164" s="66"/>
      <c r="AS164" s="66"/>
      <c r="AV164" s="54">
        <v>7140202</v>
      </c>
      <c r="AW164" s="53">
        <v>410</v>
      </c>
      <c r="BJ164" s="40"/>
      <c r="BK164" s="40"/>
      <c r="BN164" s="16"/>
      <c r="BO164" s="16"/>
    </row>
    <row r="165" spans="1:67" s="67" customFormat="1" ht="16.5" customHeight="1" x14ac:dyDescent="0.25">
      <c r="A165" s="16"/>
      <c r="B165" s="68">
        <f>SUBTOTAL(103,$K$83:K165)</f>
        <v>82</v>
      </c>
      <c r="C165" s="53">
        <v>37</v>
      </c>
      <c r="D165" s="53" t="s">
        <v>2118</v>
      </c>
      <c r="E165" s="53" t="s">
        <v>19</v>
      </c>
      <c r="F165" s="53" t="s">
        <v>106</v>
      </c>
      <c r="G165" s="110" t="s">
        <v>4598</v>
      </c>
      <c r="H165" s="53" t="s">
        <v>4602</v>
      </c>
      <c r="I165" s="58" t="s">
        <v>524</v>
      </c>
      <c r="J165" s="58" t="s">
        <v>2657</v>
      </c>
      <c r="K165" s="103" t="s">
        <v>4059</v>
      </c>
      <c r="L165" s="68" t="s">
        <v>170</v>
      </c>
      <c r="M165" s="68">
        <v>1</v>
      </c>
      <c r="N165" s="68" t="s">
        <v>150</v>
      </c>
      <c r="O165" s="70" t="s">
        <v>5026</v>
      </c>
      <c r="P165" s="53" t="s">
        <v>3891</v>
      </c>
      <c r="Q165" s="58" t="s">
        <v>23</v>
      </c>
      <c r="R165" s="53">
        <v>2021</v>
      </c>
      <c r="S165" s="53" t="s">
        <v>153</v>
      </c>
      <c r="T165" s="53">
        <v>7.43</v>
      </c>
      <c r="U165" s="53">
        <v>2.97</v>
      </c>
      <c r="V165" s="53" t="s">
        <v>250</v>
      </c>
      <c r="W165" s="53" t="s">
        <v>153</v>
      </c>
      <c r="X165" s="197" t="s">
        <v>4059</v>
      </c>
      <c r="Y165" s="53"/>
      <c r="Z165" s="53"/>
      <c r="AA165" s="58"/>
      <c r="AB165" s="60" t="s">
        <v>2658</v>
      </c>
      <c r="AC165" s="58" t="s">
        <v>157</v>
      </c>
      <c r="AD165" s="58" t="s">
        <v>157</v>
      </c>
      <c r="AE165" s="58"/>
      <c r="AF165" s="58"/>
      <c r="AG165" s="58" t="s">
        <v>762</v>
      </c>
      <c r="AH165" s="53" t="s">
        <v>155</v>
      </c>
      <c r="AI165" s="58"/>
      <c r="AJ165" s="206" t="s">
        <v>2659</v>
      </c>
      <c r="AK165" s="93" t="s">
        <v>156</v>
      </c>
      <c r="AL165" s="93" t="s">
        <v>436</v>
      </c>
      <c r="AM165" s="94" t="s">
        <v>2660</v>
      </c>
      <c r="AN165" s="207" t="s">
        <v>2661</v>
      </c>
      <c r="AO165" s="93" t="s">
        <v>2662</v>
      </c>
      <c r="AP165" s="66"/>
      <c r="AT165" s="40"/>
      <c r="AU165" s="40"/>
      <c r="AV165" s="54">
        <v>7140202</v>
      </c>
      <c r="AW165" s="53">
        <v>411</v>
      </c>
      <c r="BJ165" s="40"/>
      <c r="BK165" s="40"/>
      <c r="BN165" s="16"/>
      <c r="BO165" s="16"/>
    </row>
    <row r="166" spans="1:67" s="67" customFormat="1" ht="16.5" customHeight="1" x14ac:dyDescent="0.25">
      <c r="A166" s="16"/>
      <c r="B166" s="68">
        <f>SUBTOTAL(103,$K$83:K166)</f>
        <v>83</v>
      </c>
      <c r="C166" s="53">
        <v>38</v>
      </c>
      <c r="D166" s="53" t="s">
        <v>2118</v>
      </c>
      <c r="E166" s="53" t="s">
        <v>19</v>
      </c>
      <c r="F166" s="53" t="s">
        <v>106</v>
      </c>
      <c r="G166" s="110" t="s">
        <v>4598</v>
      </c>
      <c r="H166" s="53" t="s">
        <v>4603</v>
      </c>
      <c r="I166" s="58" t="s">
        <v>2663</v>
      </c>
      <c r="J166" s="58" t="s">
        <v>1712</v>
      </c>
      <c r="K166" s="103" t="s">
        <v>4060</v>
      </c>
      <c r="L166" s="68" t="s">
        <v>170</v>
      </c>
      <c r="M166" s="68">
        <v>1</v>
      </c>
      <c r="N166" s="68" t="s">
        <v>150</v>
      </c>
      <c r="O166" s="70" t="s">
        <v>5026</v>
      </c>
      <c r="P166" s="53" t="s">
        <v>3891</v>
      </c>
      <c r="Q166" s="58" t="s">
        <v>2664</v>
      </c>
      <c r="R166" s="53">
        <v>2025</v>
      </c>
      <c r="S166" s="53" t="s">
        <v>153</v>
      </c>
      <c r="T166" s="53">
        <v>7.69</v>
      </c>
      <c r="U166" s="53"/>
      <c r="V166" s="53" t="s">
        <v>647</v>
      </c>
      <c r="W166" s="53" t="s">
        <v>2665</v>
      </c>
      <c r="X166" s="57" t="s">
        <v>4060</v>
      </c>
      <c r="Y166" s="53"/>
      <c r="Z166" s="53"/>
      <c r="AA166" s="58"/>
      <c r="AB166" s="60" t="s">
        <v>253</v>
      </c>
      <c r="AC166" s="58" t="s">
        <v>157</v>
      </c>
      <c r="AD166" s="58" t="s">
        <v>157</v>
      </c>
      <c r="AE166" s="58"/>
      <c r="AF166" s="58"/>
      <c r="AG166" s="58" t="s">
        <v>2640</v>
      </c>
      <c r="AH166" s="53" t="s">
        <v>155</v>
      </c>
      <c r="AI166" s="58"/>
      <c r="AJ166" s="206" t="s">
        <v>2666</v>
      </c>
      <c r="AK166" s="93" t="s">
        <v>253</v>
      </c>
      <c r="AL166" s="93" t="s">
        <v>2667</v>
      </c>
      <c r="AM166" s="93" t="s">
        <v>2668</v>
      </c>
      <c r="AN166" s="207" t="s">
        <v>2669</v>
      </c>
      <c r="AO166" s="93"/>
      <c r="AP166" s="66"/>
      <c r="AT166" s="40"/>
      <c r="AU166" s="40"/>
      <c r="AV166" s="54">
        <v>7140202</v>
      </c>
      <c r="AW166" s="53">
        <v>412</v>
      </c>
      <c r="BJ166" s="40"/>
      <c r="BK166" s="40"/>
      <c r="BN166" s="16"/>
      <c r="BO166" s="16"/>
    </row>
    <row r="167" spans="1:67" s="67" customFormat="1" ht="16.5" customHeight="1" x14ac:dyDescent="0.25">
      <c r="A167" s="16"/>
      <c r="B167" s="68">
        <f>SUBTOTAL(103,$K$83:K167)</f>
        <v>84</v>
      </c>
      <c r="C167" s="53">
        <v>39</v>
      </c>
      <c r="D167" s="53" t="s">
        <v>2118</v>
      </c>
      <c r="E167" s="53" t="s">
        <v>19</v>
      </c>
      <c r="F167" s="53" t="s">
        <v>106</v>
      </c>
      <c r="G167" s="110" t="s">
        <v>4598</v>
      </c>
      <c r="H167" s="53" t="s">
        <v>4604</v>
      </c>
      <c r="I167" s="58" t="s">
        <v>2670</v>
      </c>
      <c r="J167" s="64" t="s">
        <v>1625</v>
      </c>
      <c r="K167" s="103" t="s">
        <v>4061</v>
      </c>
      <c r="L167" s="53" t="s">
        <v>170</v>
      </c>
      <c r="M167" s="68">
        <v>1</v>
      </c>
      <c r="N167" s="53" t="s">
        <v>150</v>
      </c>
      <c r="O167" s="70" t="s">
        <v>5026</v>
      </c>
      <c r="P167" s="53" t="s">
        <v>3891</v>
      </c>
      <c r="Q167" s="58" t="s">
        <v>2671</v>
      </c>
      <c r="R167" s="53">
        <v>2016</v>
      </c>
      <c r="S167" s="123" t="s">
        <v>153</v>
      </c>
      <c r="T167" s="99" t="s">
        <v>1422</v>
      </c>
      <c r="U167" s="53">
        <v>2.5</v>
      </c>
      <c r="V167" s="53"/>
      <c r="W167" s="53"/>
      <c r="X167" s="103" t="s">
        <v>4061</v>
      </c>
      <c r="Y167" s="53"/>
      <c r="Z167" s="68"/>
      <c r="AA167" s="58"/>
      <c r="AB167" s="60" t="s">
        <v>253</v>
      </c>
      <c r="AC167" s="64"/>
      <c r="AD167" s="64"/>
      <c r="AE167" s="64" t="s">
        <v>157</v>
      </c>
      <c r="AF167" s="58"/>
      <c r="AG167" s="58" t="s">
        <v>2672</v>
      </c>
      <c r="AH167" s="53" t="s">
        <v>155</v>
      </c>
      <c r="AI167" s="58"/>
      <c r="AJ167" s="131" t="s">
        <v>2673</v>
      </c>
      <c r="AK167" s="204" t="s">
        <v>253</v>
      </c>
      <c r="AL167" s="204" t="s">
        <v>2411</v>
      </c>
      <c r="AM167" s="204" t="s">
        <v>2674</v>
      </c>
      <c r="AN167" s="133" t="s">
        <v>2675</v>
      </c>
      <c r="AO167" s="208" t="s">
        <v>2676</v>
      </c>
      <c r="AQ167" s="193"/>
      <c r="AS167" s="66"/>
      <c r="AV167" s="54">
        <v>7140202</v>
      </c>
      <c r="AW167" s="53">
        <v>413</v>
      </c>
      <c r="BJ167" s="40"/>
      <c r="BK167" s="40"/>
      <c r="BN167" s="16"/>
      <c r="BO167" s="16"/>
    </row>
    <row r="168" spans="1:67" s="67" customFormat="1" ht="16.5" customHeight="1" x14ac:dyDescent="0.25">
      <c r="A168" s="16"/>
      <c r="B168" s="68">
        <f>SUBTOTAL(103,$K$83:K168)</f>
        <v>85</v>
      </c>
      <c r="C168" s="53">
        <v>40</v>
      </c>
      <c r="D168" s="53" t="s">
        <v>2118</v>
      </c>
      <c r="E168" s="53" t="s">
        <v>19</v>
      </c>
      <c r="F168" s="53" t="s">
        <v>106</v>
      </c>
      <c r="G168" s="110" t="s">
        <v>4598</v>
      </c>
      <c r="H168" s="53" t="s">
        <v>4605</v>
      </c>
      <c r="I168" s="64" t="s">
        <v>2677</v>
      </c>
      <c r="J168" s="64" t="s">
        <v>2678</v>
      </c>
      <c r="K168" s="103" t="s">
        <v>4062</v>
      </c>
      <c r="L168" s="53" t="s">
        <v>170</v>
      </c>
      <c r="M168" s="68">
        <v>1</v>
      </c>
      <c r="N168" s="53" t="s">
        <v>150</v>
      </c>
      <c r="O168" s="70" t="s">
        <v>5026</v>
      </c>
      <c r="P168" s="53" t="s">
        <v>3891</v>
      </c>
      <c r="Q168" s="58" t="s">
        <v>2679</v>
      </c>
      <c r="R168" s="53">
        <v>2008</v>
      </c>
      <c r="S168" s="53" t="s">
        <v>153</v>
      </c>
      <c r="T168" s="123">
        <v>7.57</v>
      </c>
      <c r="U168" s="99"/>
      <c r="V168" s="99"/>
      <c r="W168" s="191"/>
      <c r="X168" s="103" t="s">
        <v>4062</v>
      </c>
      <c r="Y168" s="53"/>
      <c r="Z168" s="68"/>
      <c r="AA168" s="58"/>
      <c r="AB168" s="188" t="s">
        <v>858</v>
      </c>
      <c r="AC168" s="58"/>
      <c r="AD168" s="58"/>
      <c r="AE168" s="58" t="s">
        <v>157</v>
      </c>
      <c r="AF168" s="58"/>
      <c r="AG168" s="58" t="s">
        <v>2680</v>
      </c>
      <c r="AH168" s="53" t="s">
        <v>155</v>
      </c>
      <c r="AI168" s="58"/>
      <c r="AJ168" s="131" t="s">
        <v>2681</v>
      </c>
      <c r="AK168" s="203" t="s">
        <v>858</v>
      </c>
      <c r="AL168" s="203" t="s">
        <v>2484</v>
      </c>
      <c r="AM168" s="204" t="s">
        <v>2682</v>
      </c>
      <c r="AN168" s="133" t="s">
        <v>2683</v>
      </c>
      <c r="AO168" s="93"/>
      <c r="AR168" s="66"/>
      <c r="AS168" s="66"/>
      <c r="AV168" s="54">
        <v>7140202</v>
      </c>
      <c r="AW168" s="53">
        <v>414</v>
      </c>
      <c r="BJ168" s="40"/>
      <c r="BK168" s="40"/>
      <c r="BN168" s="16"/>
      <c r="BO168" s="16"/>
    </row>
    <row r="169" spans="1:67" s="67" customFormat="1" ht="16.5" customHeight="1" x14ac:dyDescent="0.25">
      <c r="A169" s="16"/>
      <c r="B169" s="68">
        <f>SUBTOTAL(103,$K$83:K169)</f>
        <v>86</v>
      </c>
      <c r="C169" s="53">
        <v>41</v>
      </c>
      <c r="D169" s="53" t="s">
        <v>2118</v>
      </c>
      <c r="E169" s="53" t="s">
        <v>19</v>
      </c>
      <c r="F169" s="53" t="s">
        <v>106</v>
      </c>
      <c r="G169" s="110" t="s">
        <v>4598</v>
      </c>
      <c r="H169" s="53" t="s">
        <v>4606</v>
      </c>
      <c r="I169" s="64" t="s">
        <v>2684</v>
      </c>
      <c r="J169" s="64" t="s">
        <v>2431</v>
      </c>
      <c r="K169" s="103" t="s">
        <v>4063</v>
      </c>
      <c r="L169" s="53" t="s">
        <v>170</v>
      </c>
      <c r="M169" s="68">
        <v>1</v>
      </c>
      <c r="N169" s="53" t="s">
        <v>150</v>
      </c>
      <c r="O169" s="70" t="s">
        <v>5026</v>
      </c>
      <c r="P169" s="53" t="s">
        <v>3891</v>
      </c>
      <c r="Q169" s="58" t="s">
        <v>2679</v>
      </c>
      <c r="R169" s="53">
        <v>2005</v>
      </c>
      <c r="S169" s="53" t="s">
        <v>197</v>
      </c>
      <c r="T169" s="123">
        <v>6.92</v>
      </c>
      <c r="U169" s="99"/>
      <c r="V169" s="99"/>
      <c r="W169" s="191"/>
      <c r="X169" s="103" t="s">
        <v>4063</v>
      </c>
      <c r="Y169" s="53"/>
      <c r="Z169" s="68"/>
      <c r="AA169" s="58"/>
      <c r="AB169" s="188" t="s">
        <v>2527</v>
      </c>
      <c r="AC169" s="58"/>
      <c r="AD169" s="58"/>
      <c r="AE169" s="58" t="s">
        <v>157</v>
      </c>
      <c r="AF169" s="58">
        <v>5</v>
      </c>
      <c r="AG169" s="58" t="s">
        <v>2680</v>
      </c>
      <c r="AH169" s="53" t="s">
        <v>155</v>
      </c>
      <c r="AI169" s="58"/>
      <c r="AJ169" s="131" t="s">
        <v>2685</v>
      </c>
      <c r="AK169" s="94" t="s">
        <v>2686</v>
      </c>
      <c r="AL169" s="93" t="s">
        <v>2687</v>
      </c>
      <c r="AM169" s="93" t="s">
        <v>2688</v>
      </c>
      <c r="AN169" s="207" t="s">
        <v>2689</v>
      </c>
      <c r="AO169" s="93"/>
      <c r="AS169" s="66"/>
      <c r="AV169" s="54">
        <v>7140202</v>
      </c>
      <c r="AW169" s="53">
        <v>415</v>
      </c>
      <c r="BJ169" s="40"/>
      <c r="BK169" s="40"/>
      <c r="BN169" s="16"/>
      <c r="BO169" s="16"/>
    </row>
    <row r="170" spans="1:67" s="67" customFormat="1" ht="16.5" customHeight="1" x14ac:dyDescent="0.25">
      <c r="A170" s="16"/>
      <c r="B170" s="68">
        <f>SUBTOTAL(103,$K$83:K170)</f>
        <v>87</v>
      </c>
      <c r="C170" s="53">
        <v>42</v>
      </c>
      <c r="D170" s="53" t="s">
        <v>2118</v>
      </c>
      <c r="E170" s="53" t="s">
        <v>19</v>
      </c>
      <c r="F170" s="53" t="s">
        <v>106</v>
      </c>
      <c r="G170" s="110" t="s">
        <v>4598</v>
      </c>
      <c r="H170" s="53" t="s">
        <v>4607</v>
      </c>
      <c r="I170" s="58" t="s">
        <v>2690</v>
      </c>
      <c r="J170" s="64" t="s">
        <v>730</v>
      </c>
      <c r="K170" s="103" t="s">
        <v>4064</v>
      </c>
      <c r="L170" s="53" t="s">
        <v>170</v>
      </c>
      <c r="M170" s="68">
        <v>1</v>
      </c>
      <c r="N170" s="53" t="s">
        <v>150</v>
      </c>
      <c r="O170" s="70" t="s">
        <v>5026</v>
      </c>
      <c r="P170" s="53" t="s">
        <v>3891</v>
      </c>
      <c r="Q170" s="58" t="s">
        <v>2525</v>
      </c>
      <c r="R170" s="53">
        <v>2025</v>
      </c>
      <c r="S170" s="99" t="s">
        <v>153</v>
      </c>
      <c r="T170" s="123">
        <v>7.8</v>
      </c>
      <c r="U170" s="99" t="s">
        <v>2691</v>
      </c>
      <c r="V170" s="99"/>
      <c r="W170" s="53" t="s">
        <v>236</v>
      </c>
      <c r="X170" s="103" t="s">
        <v>4064</v>
      </c>
      <c r="Y170" s="53"/>
      <c r="Z170" s="124"/>
      <c r="AA170" s="58"/>
      <c r="AB170" s="188" t="s">
        <v>253</v>
      </c>
      <c r="AC170" s="64"/>
      <c r="AD170" s="64"/>
      <c r="AE170" s="64" t="s">
        <v>157</v>
      </c>
      <c r="AF170" s="64"/>
      <c r="AG170" s="58" t="s">
        <v>2633</v>
      </c>
      <c r="AH170" s="53" t="s">
        <v>155</v>
      </c>
      <c r="AI170" s="58"/>
      <c r="AJ170" s="131" t="s">
        <v>2692</v>
      </c>
      <c r="AK170" s="94" t="s">
        <v>253</v>
      </c>
      <c r="AL170" s="93" t="s">
        <v>2693</v>
      </c>
      <c r="AM170" s="93" t="s">
        <v>2694</v>
      </c>
      <c r="AN170" s="133" t="s">
        <v>2695</v>
      </c>
      <c r="AO170" s="93"/>
      <c r="AQ170" s="193"/>
      <c r="AR170" s="66"/>
      <c r="AS170" s="66"/>
      <c r="AV170" s="54">
        <v>7140202</v>
      </c>
      <c r="AW170" s="53">
        <v>416</v>
      </c>
      <c r="BJ170" s="40"/>
      <c r="BK170" s="40"/>
      <c r="BN170" s="16"/>
      <c r="BO170" s="16"/>
    </row>
    <row r="171" spans="1:67" s="67" customFormat="1" ht="16.5" customHeight="1" x14ac:dyDescent="0.25">
      <c r="A171" s="16"/>
      <c r="B171" s="68">
        <f>SUBTOTAL(103,$K$83:K171)</f>
        <v>88</v>
      </c>
      <c r="C171" s="53">
        <v>43</v>
      </c>
      <c r="D171" s="53" t="s">
        <v>2118</v>
      </c>
      <c r="E171" s="53" t="s">
        <v>19</v>
      </c>
      <c r="F171" s="53" t="s">
        <v>106</v>
      </c>
      <c r="G171" s="110" t="s">
        <v>4598</v>
      </c>
      <c r="H171" s="53" t="s">
        <v>4608</v>
      </c>
      <c r="I171" s="58" t="s">
        <v>2696</v>
      </c>
      <c r="J171" s="64" t="s">
        <v>2697</v>
      </c>
      <c r="K171" s="103" t="s">
        <v>4065</v>
      </c>
      <c r="L171" s="53" t="s">
        <v>170</v>
      </c>
      <c r="M171" s="68">
        <v>1</v>
      </c>
      <c r="N171" s="53" t="s">
        <v>150</v>
      </c>
      <c r="O171" s="70" t="s">
        <v>5026</v>
      </c>
      <c r="P171" s="53" t="s">
        <v>3891</v>
      </c>
      <c r="Q171" s="58" t="s">
        <v>23</v>
      </c>
      <c r="R171" s="53">
        <v>2025</v>
      </c>
      <c r="S171" s="53" t="s">
        <v>153</v>
      </c>
      <c r="T171" s="53">
        <v>7.9</v>
      </c>
      <c r="U171" s="99" t="s">
        <v>2698</v>
      </c>
      <c r="V171" s="99"/>
      <c r="W171" s="53" t="s">
        <v>236</v>
      </c>
      <c r="X171" s="103" t="s">
        <v>4065</v>
      </c>
      <c r="Y171" s="53"/>
      <c r="Z171" s="68"/>
      <c r="AA171" s="58"/>
      <c r="AB171" s="60" t="s">
        <v>253</v>
      </c>
      <c r="AC171" s="58"/>
      <c r="AD171" s="58"/>
      <c r="AE171" s="58" t="s">
        <v>157</v>
      </c>
      <c r="AF171" s="58"/>
      <c r="AG171" s="58" t="s">
        <v>2633</v>
      </c>
      <c r="AH171" s="53" t="s">
        <v>155</v>
      </c>
      <c r="AI171" s="58"/>
      <c r="AJ171" s="131" t="s">
        <v>2699</v>
      </c>
      <c r="AK171" s="93" t="s">
        <v>2194</v>
      </c>
      <c r="AL171" s="93" t="s">
        <v>2195</v>
      </c>
      <c r="AM171" s="93" t="s">
        <v>2700</v>
      </c>
      <c r="AN171" s="133" t="s">
        <v>2701</v>
      </c>
      <c r="AO171" s="93"/>
      <c r="AR171" s="66"/>
      <c r="AS171" s="66"/>
      <c r="AV171" s="54">
        <v>7140202</v>
      </c>
      <c r="AW171" s="53">
        <v>417</v>
      </c>
      <c r="BJ171" s="40"/>
      <c r="BK171" s="40"/>
      <c r="BN171" s="16"/>
      <c r="BO171" s="16"/>
    </row>
    <row r="172" spans="1:67" s="67" customFormat="1" ht="16.5" customHeight="1" x14ac:dyDescent="0.25">
      <c r="A172" s="16"/>
      <c r="B172" s="68">
        <f>SUBTOTAL(103,$K$83:K172)</f>
        <v>89</v>
      </c>
      <c r="C172" s="53">
        <v>44</v>
      </c>
      <c r="D172" s="53" t="s">
        <v>2118</v>
      </c>
      <c r="E172" s="53" t="s">
        <v>19</v>
      </c>
      <c r="F172" s="53" t="s">
        <v>106</v>
      </c>
      <c r="G172" s="110" t="s">
        <v>4598</v>
      </c>
      <c r="H172" s="53" t="s">
        <v>4609</v>
      </c>
      <c r="I172" s="58" t="s">
        <v>2495</v>
      </c>
      <c r="J172" s="64" t="s">
        <v>269</v>
      </c>
      <c r="K172" s="103" t="s">
        <v>4066</v>
      </c>
      <c r="L172" s="53" t="s">
        <v>170</v>
      </c>
      <c r="M172" s="68">
        <v>1</v>
      </c>
      <c r="N172" s="53" t="s">
        <v>150</v>
      </c>
      <c r="O172" s="70" t="s">
        <v>5026</v>
      </c>
      <c r="P172" s="53" t="s">
        <v>3891</v>
      </c>
      <c r="Q172" s="58" t="s">
        <v>23</v>
      </c>
      <c r="R172" s="53">
        <v>2018</v>
      </c>
      <c r="S172" s="53" t="s">
        <v>153</v>
      </c>
      <c r="T172" s="53">
        <v>7.87</v>
      </c>
      <c r="U172" s="99" t="s">
        <v>181</v>
      </c>
      <c r="V172" s="99"/>
      <c r="W172" s="53" t="s">
        <v>236</v>
      </c>
      <c r="X172" s="103" t="s">
        <v>4066</v>
      </c>
      <c r="Y172" s="53"/>
      <c r="Z172" s="68"/>
      <c r="AA172" s="58"/>
      <c r="AB172" s="188" t="s">
        <v>2298</v>
      </c>
      <c r="AC172" s="58"/>
      <c r="AD172" s="58"/>
      <c r="AE172" s="58" t="s">
        <v>157</v>
      </c>
      <c r="AF172" s="58"/>
      <c r="AG172" s="58" t="s">
        <v>2534</v>
      </c>
      <c r="AH172" s="53" t="s">
        <v>155</v>
      </c>
      <c r="AI172" s="58"/>
      <c r="AJ172" s="147" t="s">
        <v>2702</v>
      </c>
      <c r="AK172" s="94" t="s">
        <v>2298</v>
      </c>
      <c r="AL172" s="67" t="s">
        <v>2703</v>
      </c>
      <c r="AM172" s="67" t="s">
        <v>2704</v>
      </c>
      <c r="AN172" s="147" t="s">
        <v>2705</v>
      </c>
      <c r="AO172" s="93"/>
      <c r="AR172" s="66"/>
      <c r="AS172" s="66"/>
      <c r="AV172" s="54">
        <v>7140202</v>
      </c>
      <c r="AW172" s="53">
        <v>418</v>
      </c>
      <c r="BJ172" s="40"/>
      <c r="BK172" s="40"/>
      <c r="BN172" s="16"/>
      <c r="BO172" s="16"/>
    </row>
    <row r="173" spans="1:67" s="67" customFormat="1" ht="16.5" customHeight="1" x14ac:dyDescent="0.25">
      <c r="A173" s="16"/>
      <c r="B173" s="68">
        <f>SUBTOTAL(103,$K$83:K173)</f>
        <v>90</v>
      </c>
      <c r="C173" s="53">
        <v>45</v>
      </c>
      <c r="D173" s="53" t="s">
        <v>2118</v>
      </c>
      <c r="E173" s="110" t="s">
        <v>19</v>
      </c>
      <c r="F173" s="110" t="s">
        <v>106</v>
      </c>
      <c r="G173" s="110" t="s">
        <v>4598</v>
      </c>
      <c r="H173" s="53" t="s">
        <v>4610</v>
      </c>
      <c r="I173" s="108" t="s">
        <v>2706</v>
      </c>
      <c r="J173" s="108" t="s">
        <v>1576</v>
      </c>
      <c r="K173" s="144" t="s">
        <v>4067</v>
      </c>
      <c r="L173" s="110" t="s">
        <v>170</v>
      </c>
      <c r="M173" s="68">
        <v>1</v>
      </c>
      <c r="N173" s="110" t="s">
        <v>150</v>
      </c>
      <c r="O173" s="70" t="s">
        <v>5026</v>
      </c>
      <c r="P173" s="53" t="s">
        <v>3891</v>
      </c>
      <c r="Q173" s="108" t="s">
        <v>2707</v>
      </c>
      <c r="R173" s="110">
        <v>2025</v>
      </c>
      <c r="S173" s="110" t="s">
        <v>153</v>
      </c>
      <c r="T173" s="110" t="s">
        <v>2708</v>
      </c>
      <c r="U173" s="110"/>
      <c r="V173" s="110" t="s">
        <v>685</v>
      </c>
      <c r="W173" s="110" t="s">
        <v>236</v>
      </c>
      <c r="X173" s="109" t="s">
        <v>4067</v>
      </c>
      <c r="Y173" s="110" t="s">
        <v>2709</v>
      </c>
      <c r="Z173" s="110" t="s">
        <v>2710</v>
      </c>
      <c r="AA173" s="58"/>
      <c r="AB173" s="187" t="s">
        <v>253</v>
      </c>
      <c r="AC173" s="108" t="s">
        <v>157</v>
      </c>
      <c r="AD173" s="108" t="s">
        <v>157</v>
      </c>
      <c r="AE173" s="108"/>
      <c r="AF173" s="53" t="s">
        <v>253</v>
      </c>
      <c r="AG173" s="108" t="s">
        <v>2711</v>
      </c>
      <c r="AH173" s="110" t="s">
        <v>155</v>
      </c>
      <c r="AI173" s="108"/>
      <c r="AJ173" s="135" t="s">
        <v>2712</v>
      </c>
      <c r="AK173" s="209" t="s">
        <v>253</v>
      </c>
      <c r="AL173" s="209" t="s">
        <v>2713</v>
      </c>
      <c r="AM173" s="209" t="s">
        <v>2714</v>
      </c>
      <c r="AN173" s="137" t="s">
        <v>2715</v>
      </c>
      <c r="AO173" s="136" t="s">
        <v>2716</v>
      </c>
      <c r="AP173" s="114"/>
      <c r="AQ173" s="114"/>
      <c r="AR173" s="40"/>
      <c r="AS173" s="40"/>
      <c r="AT173" s="40"/>
      <c r="AV173" s="54">
        <v>7140202</v>
      </c>
      <c r="AW173" s="53">
        <v>419</v>
      </c>
      <c r="BJ173" s="40"/>
      <c r="BK173" s="40"/>
      <c r="BN173" s="16"/>
      <c r="BO173" s="16"/>
    </row>
    <row r="174" spans="1:67" s="67" customFormat="1" ht="16.5" customHeight="1" x14ac:dyDescent="0.25">
      <c r="A174" s="16"/>
      <c r="B174" s="68">
        <f>SUBTOTAL(103,$K$83:K174)</f>
        <v>91</v>
      </c>
      <c r="C174" s="53">
        <v>46</v>
      </c>
      <c r="D174" s="53" t="s">
        <v>2118</v>
      </c>
      <c r="E174" s="53" t="s">
        <v>19</v>
      </c>
      <c r="F174" s="53" t="s">
        <v>104</v>
      </c>
      <c r="G174" s="110" t="s">
        <v>4598</v>
      </c>
      <c r="H174" s="53" t="s">
        <v>4611</v>
      </c>
      <c r="I174" s="58" t="s">
        <v>2717</v>
      </c>
      <c r="J174" s="64" t="s">
        <v>676</v>
      </c>
      <c r="K174" s="103" t="s">
        <v>4068</v>
      </c>
      <c r="L174" s="53" t="s">
        <v>170</v>
      </c>
      <c r="M174" s="68">
        <v>1</v>
      </c>
      <c r="N174" s="53" t="s">
        <v>150</v>
      </c>
      <c r="O174" s="70" t="s">
        <v>5026</v>
      </c>
      <c r="P174" s="53" t="s">
        <v>3891</v>
      </c>
      <c r="Q174" s="58" t="s">
        <v>2378</v>
      </c>
      <c r="R174" s="53">
        <v>2025</v>
      </c>
      <c r="S174" s="99" t="s">
        <v>236</v>
      </c>
      <c r="T174" s="53">
        <v>8.1</v>
      </c>
      <c r="U174" s="99"/>
      <c r="V174" s="99"/>
      <c r="W174" s="53"/>
      <c r="X174" s="103" t="s">
        <v>4068</v>
      </c>
      <c r="Y174" s="53"/>
      <c r="Z174" s="68"/>
      <c r="AA174" s="58"/>
      <c r="AB174" s="188" t="s">
        <v>253</v>
      </c>
      <c r="AC174" s="58"/>
      <c r="AD174" s="58"/>
      <c r="AE174" s="58" t="s">
        <v>157</v>
      </c>
      <c r="AF174" s="58"/>
      <c r="AG174" s="58" t="s">
        <v>2633</v>
      </c>
      <c r="AH174" s="53" t="s">
        <v>155</v>
      </c>
      <c r="AI174" s="58"/>
      <c r="AJ174" s="131" t="s">
        <v>2718</v>
      </c>
      <c r="AK174" s="204" t="s">
        <v>2465</v>
      </c>
      <c r="AL174" s="204" t="s">
        <v>2242</v>
      </c>
      <c r="AM174" s="204" t="s">
        <v>2719</v>
      </c>
      <c r="AN174" s="133" t="s">
        <v>2720</v>
      </c>
      <c r="AO174" s="93"/>
      <c r="AR174" s="66"/>
      <c r="AS174" s="66"/>
      <c r="AV174" s="54">
        <v>7140202</v>
      </c>
      <c r="AW174" s="53">
        <v>420</v>
      </c>
      <c r="BJ174" s="40"/>
      <c r="BK174" s="40"/>
      <c r="BN174" s="16"/>
      <c r="BO174" s="16"/>
    </row>
    <row r="175" spans="1:67" s="67" customFormat="1" ht="16.5" customHeight="1" x14ac:dyDescent="0.25">
      <c r="A175" s="16"/>
      <c r="B175" s="68">
        <f>SUBTOTAL(103,$K$83:K175)</f>
        <v>92</v>
      </c>
      <c r="C175" s="53">
        <v>47</v>
      </c>
      <c r="D175" s="53" t="s">
        <v>2118</v>
      </c>
      <c r="E175" s="110" t="s">
        <v>19</v>
      </c>
      <c r="F175" s="110" t="s">
        <v>104</v>
      </c>
      <c r="G175" s="110" t="s">
        <v>4598</v>
      </c>
      <c r="H175" s="53" t="s">
        <v>4612</v>
      </c>
      <c r="I175" s="108" t="s">
        <v>933</v>
      </c>
      <c r="J175" s="108" t="s">
        <v>2361</v>
      </c>
      <c r="K175" s="144" t="s">
        <v>4069</v>
      </c>
      <c r="L175" s="110" t="s">
        <v>170</v>
      </c>
      <c r="M175" s="68">
        <v>1</v>
      </c>
      <c r="N175" s="110" t="s">
        <v>150</v>
      </c>
      <c r="O175" s="70" t="s">
        <v>5026</v>
      </c>
      <c r="P175" s="53" t="s">
        <v>3891</v>
      </c>
      <c r="Q175" s="58" t="s">
        <v>26</v>
      </c>
      <c r="R175" s="110">
        <v>2021</v>
      </c>
      <c r="S175" s="110" t="s">
        <v>153</v>
      </c>
      <c r="T175" s="110" t="s">
        <v>282</v>
      </c>
      <c r="U175" s="110"/>
      <c r="V175" s="110" t="s">
        <v>654</v>
      </c>
      <c r="W175" s="110" t="s">
        <v>248</v>
      </c>
      <c r="X175" s="109" t="s">
        <v>4069</v>
      </c>
      <c r="Y175" s="110"/>
      <c r="Z175" s="110"/>
      <c r="AA175" s="58"/>
      <c r="AB175" s="187" t="s">
        <v>1759</v>
      </c>
      <c r="AC175" s="108" t="s">
        <v>157</v>
      </c>
      <c r="AD175" s="108" t="s">
        <v>157</v>
      </c>
      <c r="AE175" s="108"/>
      <c r="AF175" s="53" t="s">
        <v>253</v>
      </c>
      <c r="AG175" s="108" t="s">
        <v>2721</v>
      </c>
      <c r="AH175" s="110" t="s">
        <v>155</v>
      </c>
      <c r="AI175" s="108"/>
      <c r="AJ175" s="135" t="s">
        <v>2722</v>
      </c>
      <c r="AK175" s="136" t="s">
        <v>1759</v>
      </c>
      <c r="AL175" s="136" t="s">
        <v>2723</v>
      </c>
      <c r="AM175" s="136" t="s">
        <v>2724</v>
      </c>
      <c r="AN175" s="137" t="s">
        <v>2725</v>
      </c>
      <c r="AO175" s="136"/>
      <c r="AP175" s="114"/>
      <c r="AQ175" s="114"/>
      <c r="AS175" s="40"/>
      <c r="AT175" s="40"/>
      <c r="AV175" s="54">
        <v>7140202</v>
      </c>
      <c r="AW175" s="53">
        <v>421</v>
      </c>
      <c r="BJ175" s="40"/>
      <c r="BK175" s="40"/>
      <c r="BN175" s="16"/>
      <c r="BO175" s="16"/>
    </row>
    <row r="176" spans="1:67" s="67" customFormat="1" ht="16.5" customHeight="1" x14ac:dyDescent="0.25">
      <c r="A176" s="16"/>
      <c r="B176" s="68">
        <f>SUBTOTAL(103,$K$83:K176)</f>
        <v>93</v>
      </c>
      <c r="C176" s="53">
        <v>48</v>
      </c>
      <c r="D176" s="53" t="s">
        <v>2118</v>
      </c>
      <c r="E176" s="110" t="s">
        <v>19</v>
      </c>
      <c r="F176" s="110" t="s">
        <v>104</v>
      </c>
      <c r="G176" s="110" t="s">
        <v>4598</v>
      </c>
      <c r="H176" s="53" t="s">
        <v>4613</v>
      </c>
      <c r="I176" s="108" t="s">
        <v>2726</v>
      </c>
      <c r="J176" s="108" t="s">
        <v>2143</v>
      </c>
      <c r="K176" s="144" t="s">
        <v>4070</v>
      </c>
      <c r="L176" s="110" t="s">
        <v>170</v>
      </c>
      <c r="M176" s="68">
        <v>1</v>
      </c>
      <c r="N176" s="110" t="s">
        <v>150</v>
      </c>
      <c r="O176" s="70" t="s">
        <v>5026</v>
      </c>
      <c r="P176" s="53" t="s">
        <v>3891</v>
      </c>
      <c r="Q176" s="108" t="s">
        <v>2727</v>
      </c>
      <c r="R176" s="110">
        <v>2012</v>
      </c>
      <c r="S176" s="110" t="s">
        <v>197</v>
      </c>
      <c r="T176" s="110" t="s">
        <v>654</v>
      </c>
      <c r="U176" s="110"/>
      <c r="V176" s="110"/>
      <c r="W176" s="110"/>
      <c r="X176" s="109" t="s">
        <v>4070</v>
      </c>
      <c r="Y176" s="110"/>
      <c r="Z176" s="110"/>
      <c r="AA176" s="58"/>
      <c r="AB176" s="187" t="s">
        <v>253</v>
      </c>
      <c r="AC176" s="108"/>
      <c r="AD176" s="108"/>
      <c r="AE176" s="108"/>
      <c r="AF176" s="53" t="s">
        <v>253</v>
      </c>
      <c r="AG176" s="108" t="s">
        <v>2234</v>
      </c>
      <c r="AH176" s="110" t="s">
        <v>155</v>
      </c>
      <c r="AI176" s="108"/>
      <c r="AJ176" s="210" t="s">
        <v>2728</v>
      </c>
      <c r="AK176" s="108" t="s">
        <v>253</v>
      </c>
      <c r="AL176" s="108" t="s">
        <v>254</v>
      </c>
      <c r="AM176" s="108" t="s">
        <v>2729</v>
      </c>
      <c r="AN176" s="113" t="s">
        <v>2730</v>
      </c>
      <c r="AO176" s="108" t="s">
        <v>2731</v>
      </c>
      <c r="AP176" s="108"/>
      <c r="AQ176" s="114"/>
      <c r="AR176" s="40"/>
      <c r="AS176" s="40"/>
      <c r="AT176" s="40"/>
      <c r="AV176" s="40">
        <v>7140202</v>
      </c>
      <c r="AW176" s="53">
        <v>422</v>
      </c>
      <c r="BJ176" s="40"/>
      <c r="BK176" s="40"/>
      <c r="BN176" s="16"/>
      <c r="BO176" s="16"/>
    </row>
    <row r="177" spans="1:67" s="67" customFormat="1" ht="16.5" customHeight="1" x14ac:dyDescent="0.25">
      <c r="A177" s="16"/>
      <c r="B177" s="68">
        <f>SUBTOTAL(103,$K$83:K177)</f>
        <v>94</v>
      </c>
      <c r="C177" s="53">
        <v>49</v>
      </c>
      <c r="D177" s="53" t="s">
        <v>2118</v>
      </c>
      <c r="E177" s="110" t="s">
        <v>19</v>
      </c>
      <c r="F177" s="110" t="s">
        <v>104</v>
      </c>
      <c r="G177" s="110" t="s">
        <v>4598</v>
      </c>
      <c r="H177" s="53" t="s">
        <v>4614</v>
      </c>
      <c r="I177" s="108" t="s">
        <v>2732</v>
      </c>
      <c r="J177" s="108" t="s">
        <v>2733</v>
      </c>
      <c r="K177" s="144" t="s">
        <v>4071</v>
      </c>
      <c r="L177" s="110" t="s">
        <v>149</v>
      </c>
      <c r="M177" s="53">
        <v>0</v>
      </c>
      <c r="N177" s="110" t="s">
        <v>2734</v>
      </c>
      <c r="O177" s="70" t="s">
        <v>5026</v>
      </c>
      <c r="P177" s="53" t="s">
        <v>3891</v>
      </c>
      <c r="Q177" s="108" t="s">
        <v>2727</v>
      </c>
      <c r="R177" s="110">
        <v>2018</v>
      </c>
      <c r="S177" s="110" t="s">
        <v>236</v>
      </c>
      <c r="T177" s="110" t="s">
        <v>685</v>
      </c>
      <c r="U177" s="110"/>
      <c r="V177" s="110"/>
      <c r="W177" s="110"/>
      <c r="X177" s="109" t="s">
        <v>4071</v>
      </c>
      <c r="Y177" s="110"/>
      <c r="Z177" s="110"/>
      <c r="AA177" s="58"/>
      <c r="AB177" s="187" t="s">
        <v>2117</v>
      </c>
      <c r="AC177" s="108"/>
      <c r="AD177" s="108"/>
      <c r="AE177" s="108"/>
      <c r="AF177" s="53" t="s">
        <v>253</v>
      </c>
      <c r="AG177" s="108" t="s">
        <v>2119</v>
      </c>
      <c r="AH177" s="110" t="s">
        <v>155</v>
      </c>
      <c r="AI177" s="108"/>
      <c r="AJ177" s="115" t="s">
        <v>2735</v>
      </c>
      <c r="AK177" s="108" t="s">
        <v>2117</v>
      </c>
      <c r="AL177" s="108" t="s">
        <v>2433</v>
      </c>
      <c r="AM177" s="108" t="s">
        <v>2736</v>
      </c>
      <c r="AN177" s="113" t="s">
        <v>2737</v>
      </c>
      <c r="AO177" s="108" t="s">
        <v>2738</v>
      </c>
      <c r="AP177" s="108" t="s">
        <v>2739</v>
      </c>
      <c r="AQ177" s="114"/>
      <c r="AR177" s="40"/>
      <c r="AS177" s="40"/>
      <c r="AT177" s="40"/>
      <c r="AV177" s="40">
        <v>7140202</v>
      </c>
      <c r="AW177" s="53">
        <v>423</v>
      </c>
      <c r="BJ177" s="40"/>
      <c r="BK177" s="40"/>
      <c r="BN177" s="16"/>
      <c r="BO177" s="16"/>
    </row>
    <row r="178" spans="1:67" s="67" customFormat="1" ht="16.5" customHeight="1" x14ac:dyDescent="0.25">
      <c r="A178" s="16"/>
      <c r="B178" s="68">
        <f>SUBTOTAL(103,$K$83:K178)</f>
        <v>95</v>
      </c>
      <c r="C178" s="53">
        <v>50</v>
      </c>
      <c r="D178" s="53" t="s">
        <v>2118</v>
      </c>
      <c r="E178" s="53" t="s">
        <v>19</v>
      </c>
      <c r="F178" s="53" t="s">
        <v>104</v>
      </c>
      <c r="G178" s="110" t="s">
        <v>4598</v>
      </c>
      <c r="H178" s="53" t="s">
        <v>4615</v>
      </c>
      <c r="I178" s="58" t="s">
        <v>2740</v>
      </c>
      <c r="J178" s="64" t="s">
        <v>473</v>
      </c>
      <c r="K178" s="103" t="s">
        <v>4072</v>
      </c>
      <c r="L178" s="53" t="s">
        <v>170</v>
      </c>
      <c r="M178" s="68">
        <v>1</v>
      </c>
      <c r="N178" s="53" t="s">
        <v>150</v>
      </c>
      <c r="O178" s="70" t="s">
        <v>5026</v>
      </c>
      <c r="P178" s="53" t="s">
        <v>3891</v>
      </c>
      <c r="Q178" s="58" t="s">
        <v>26</v>
      </c>
      <c r="R178" s="53">
        <v>2017</v>
      </c>
      <c r="S178" s="53" t="s">
        <v>153</v>
      </c>
      <c r="T178" s="53">
        <v>8</v>
      </c>
      <c r="U178" s="99"/>
      <c r="V178" s="99"/>
      <c r="W178" s="53"/>
      <c r="X178" s="103" t="s">
        <v>4072</v>
      </c>
      <c r="Y178" s="53"/>
      <c r="Z178" s="68"/>
      <c r="AA178" s="58"/>
      <c r="AB178" s="60" t="s">
        <v>253</v>
      </c>
      <c r="AC178" s="58"/>
      <c r="AD178" s="58"/>
      <c r="AE178" s="58" t="s">
        <v>157</v>
      </c>
      <c r="AF178" s="58"/>
      <c r="AG178" s="58" t="s">
        <v>2633</v>
      </c>
      <c r="AH178" s="53" t="s">
        <v>155</v>
      </c>
      <c r="AI178" s="58"/>
      <c r="AJ178" s="101" t="s">
        <v>2741</v>
      </c>
      <c r="AK178" s="58" t="s">
        <v>253</v>
      </c>
      <c r="AL178" s="58" t="s">
        <v>2742</v>
      </c>
      <c r="AM178" s="58" t="s">
        <v>2743</v>
      </c>
      <c r="AN178" s="103" t="s">
        <v>2744</v>
      </c>
      <c r="AO178" s="58" t="s">
        <v>2745</v>
      </c>
      <c r="AP178" s="58"/>
      <c r="AR178" s="66"/>
      <c r="AS178" s="66"/>
      <c r="AV178" s="40">
        <v>7140202</v>
      </c>
      <c r="AW178" s="53">
        <v>424</v>
      </c>
      <c r="BJ178" s="40"/>
      <c r="BK178" s="40"/>
      <c r="BN178" s="16"/>
      <c r="BO178" s="16"/>
    </row>
    <row r="179" spans="1:67" s="67" customFormat="1" ht="16.5" customHeight="1" x14ac:dyDescent="0.25">
      <c r="A179" s="16"/>
      <c r="B179" s="68">
        <f>SUBTOTAL(103,$K$83:K179)</f>
        <v>96</v>
      </c>
      <c r="C179" s="53">
        <v>51</v>
      </c>
      <c r="D179" s="53" t="s">
        <v>2118</v>
      </c>
      <c r="E179" s="110" t="s">
        <v>19</v>
      </c>
      <c r="F179" s="110" t="s">
        <v>104</v>
      </c>
      <c r="G179" s="110" t="s">
        <v>4598</v>
      </c>
      <c r="H179" s="53" t="s">
        <v>4616</v>
      </c>
      <c r="I179" s="108" t="s">
        <v>369</v>
      </c>
      <c r="J179" s="108" t="s">
        <v>473</v>
      </c>
      <c r="K179" s="144" t="s">
        <v>4073</v>
      </c>
      <c r="L179" s="110" t="s">
        <v>170</v>
      </c>
      <c r="M179" s="68">
        <v>1</v>
      </c>
      <c r="N179" s="110" t="s">
        <v>509</v>
      </c>
      <c r="O179" s="70" t="s">
        <v>5026</v>
      </c>
      <c r="P179" s="53" t="s">
        <v>3891</v>
      </c>
      <c r="Q179" s="108" t="s">
        <v>2746</v>
      </c>
      <c r="R179" s="110">
        <v>2021</v>
      </c>
      <c r="S179" s="110" t="s">
        <v>153</v>
      </c>
      <c r="T179" s="110" t="s">
        <v>173</v>
      </c>
      <c r="U179" s="110"/>
      <c r="V179" s="110" t="s">
        <v>328</v>
      </c>
      <c r="W179" s="110" t="s">
        <v>236</v>
      </c>
      <c r="X179" s="109" t="s">
        <v>4073</v>
      </c>
      <c r="Y179" s="110"/>
      <c r="Z179" s="110"/>
      <c r="AA179" s="58"/>
      <c r="AB179" s="187" t="s">
        <v>156</v>
      </c>
      <c r="AC179" s="108" t="s">
        <v>157</v>
      </c>
      <c r="AD179" s="108" t="s">
        <v>157</v>
      </c>
      <c r="AE179" s="108"/>
      <c r="AF179" s="53" t="s">
        <v>253</v>
      </c>
      <c r="AG179" s="108" t="s">
        <v>2721</v>
      </c>
      <c r="AH179" s="110" t="s">
        <v>155</v>
      </c>
      <c r="AI179" s="108"/>
      <c r="AJ179" s="145" t="s">
        <v>2747</v>
      </c>
      <c r="AK179" s="108" t="s">
        <v>156</v>
      </c>
      <c r="AL179" s="108" t="s">
        <v>804</v>
      </c>
      <c r="AM179" s="108" t="s">
        <v>2748</v>
      </c>
      <c r="AN179" s="146" t="s">
        <v>2749</v>
      </c>
      <c r="AO179" s="108"/>
      <c r="AP179" s="114"/>
      <c r="AQ179" s="114"/>
      <c r="AR179" s="40"/>
      <c r="AS179" s="40"/>
      <c r="AT179" s="40"/>
      <c r="AV179" s="40">
        <v>7140202</v>
      </c>
      <c r="AW179" s="53">
        <v>425</v>
      </c>
      <c r="BJ179" s="40"/>
      <c r="BK179" s="40"/>
      <c r="BN179" s="16"/>
      <c r="BO179" s="16"/>
    </row>
    <row r="180" spans="1:67" s="67" customFormat="1" ht="16.5" customHeight="1" x14ac:dyDescent="0.25">
      <c r="A180" s="16"/>
      <c r="B180" s="68">
        <f>SUBTOTAL(103,$K$83:K180)</f>
        <v>97</v>
      </c>
      <c r="C180" s="53">
        <v>52</v>
      </c>
      <c r="D180" s="53" t="s">
        <v>2118</v>
      </c>
      <c r="E180" s="53" t="s">
        <v>19</v>
      </c>
      <c r="F180" s="53" t="s">
        <v>104</v>
      </c>
      <c r="G180" s="110" t="s">
        <v>4598</v>
      </c>
      <c r="H180" s="53" t="s">
        <v>4617</v>
      </c>
      <c r="I180" s="58" t="s">
        <v>2750</v>
      </c>
      <c r="J180" s="64" t="s">
        <v>342</v>
      </c>
      <c r="K180" s="103" t="s">
        <v>4074</v>
      </c>
      <c r="L180" s="53" t="s">
        <v>170</v>
      </c>
      <c r="M180" s="68">
        <v>1</v>
      </c>
      <c r="N180" s="53" t="s">
        <v>2305</v>
      </c>
      <c r="O180" s="70" t="s">
        <v>5026</v>
      </c>
      <c r="P180" s="53" t="s">
        <v>3891</v>
      </c>
      <c r="Q180" s="58" t="s">
        <v>2378</v>
      </c>
      <c r="R180" s="99" t="s">
        <v>343</v>
      </c>
      <c r="S180" s="53" t="s">
        <v>153</v>
      </c>
      <c r="T180" s="53">
        <v>7</v>
      </c>
      <c r="U180" s="99"/>
      <c r="V180" s="99"/>
      <c r="W180" s="53"/>
      <c r="X180" s="103" t="s">
        <v>4074</v>
      </c>
      <c r="Y180" s="53"/>
      <c r="Z180" s="124"/>
      <c r="AA180" s="58"/>
      <c r="AB180" s="188" t="s">
        <v>2626</v>
      </c>
      <c r="AC180" s="64"/>
      <c r="AD180" s="64"/>
      <c r="AE180" s="64" t="s">
        <v>157</v>
      </c>
      <c r="AF180" s="64"/>
      <c r="AG180" s="58" t="s">
        <v>2751</v>
      </c>
      <c r="AH180" s="53" t="s">
        <v>155</v>
      </c>
      <c r="AI180" s="58"/>
      <c r="AJ180" s="147" t="s">
        <v>2752</v>
      </c>
      <c r="AK180" s="64" t="s">
        <v>2626</v>
      </c>
      <c r="AL180" s="58" t="s">
        <v>2753</v>
      </c>
      <c r="AM180" s="58" t="s">
        <v>2754</v>
      </c>
      <c r="AN180" s="147" t="s">
        <v>2755</v>
      </c>
      <c r="AO180" s="190"/>
      <c r="AQ180" s="193"/>
      <c r="AR180" s="66"/>
      <c r="AS180" s="66"/>
      <c r="AV180" s="40">
        <v>7140202</v>
      </c>
      <c r="AW180" s="53">
        <v>426</v>
      </c>
      <c r="BJ180" s="40"/>
      <c r="BK180" s="40"/>
      <c r="BN180" s="16"/>
      <c r="BO180" s="16"/>
    </row>
    <row r="181" spans="1:67" s="67" customFormat="1" ht="16.5" customHeight="1" x14ac:dyDescent="0.25">
      <c r="A181" s="16"/>
      <c r="B181" s="68">
        <f>SUBTOTAL(103,$K$83:K181)</f>
        <v>98</v>
      </c>
      <c r="C181" s="53">
        <v>53</v>
      </c>
      <c r="D181" s="53" t="s">
        <v>2118</v>
      </c>
      <c r="E181" s="53" t="s">
        <v>19</v>
      </c>
      <c r="F181" s="53" t="s">
        <v>104</v>
      </c>
      <c r="G181" s="110" t="s">
        <v>4598</v>
      </c>
      <c r="H181" s="53" t="s">
        <v>4618</v>
      </c>
      <c r="I181" s="58" t="s">
        <v>564</v>
      </c>
      <c r="J181" s="64" t="s">
        <v>2431</v>
      </c>
      <c r="K181" s="103" t="s">
        <v>4075</v>
      </c>
      <c r="L181" s="68" t="s">
        <v>170</v>
      </c>
      <c r="M181" s="68">
        <v>1</v>
      </c>
      <c r="N181" s="68" t="s">
        <v>150</v>
      </c>
      <c r="O181" s="70" t="s">
        <v>5026</v>
      </c>
      <c r="P181" s="53" t="s">
        <v>3891</v>
      </c>
      <c r="Q181" s="58" t="s">
        <v>23</v>
      </c>
      <c r="R181" s="53">
        <v>2021</v>
      </c>
      <c r="S181" s="53" t="s">
        <v>153</v>
      </c>
      <c r="T181" s="53">
        <v>7.1</v>
      </c>
      <c r="U181" s="53"/>
      <c r="V181" s="53" t="s">
        <v>154</v>
      </c>
      <c r="W181" s="53" t="s">
        <v>153</v>
      </c>
      <c r="X181" s="197" t="s">
        <v>4075</v>
      </c>
      <c r="Y181" s="53"/>
      <c r="Z181" s="53"/>
      <c r="AA181" s="58"/>
      <c r="AB181" s="188" t="s">
        <v>858</v>
      </c>
      <c r="AC181" s="58" t="s">
        <v>157</v>
      </c>
      <c r="AD181" s="58" t="s">
        <v>157</v>
      </c>
      <c r="AE181" s="58"/>
      <c r="AF181" s="58"/>
      <c r="AG181" s="58" t="s">
        <v>2751</v>
      </c>
      <c r="AH181" s="53"/>
      <c r="AI181" s="58"/>
      <c r="AJ181" s="151" t="s">
        <v>2756</v>
      </c>
      <c r="AK181" s="58" t="s">
        <v>858</v>
      </c>
      <c r="AL181" s="58" t="s">
        <v>2484</v>
      </c>
      <c r="AM181" s="58" t="s">
        <v>2757</v>
      </c>
      <c r="AN181" s="151" t="s">
        <v>2758</v>
      </c>
      <c r="AO181" s="58"/>
      <c r="AP181" s="66"/>
      <c r="AT181" s="40"/>
      <c r="AU181" s="40"/>
      <c r="AV181" s="40">
        <v>7140202</v>
      </c>
      <c r="AW181" s="53">
        <v>427</v>
      </c>
      <c r="BJ181" s="40"/>
      <c r="BK181" s="40"/>
      <c r="BN181" s="16"/>
      <c r="BO181" s="16"/>
    </row>
    <row r="182" spans="1:67" s="67" customFormat="1" ht="16.5" customHeight="1" x14ac:dyDescent="0.25">
      <c r="A182" s="16"/>
      <c r="B182" s="68">
        <f>SUBTOTAL(103,$K$83:K182)</f>
        <v>99</v>
      </c>
      <c r="C182" s="53">
        <v>54</v>
      </c>
      <c r="D182" s="53" t="s">
        <v>2118</v>
      </c>
      <c r="E182" s="110" t="s">
        <v>19</v>
      </c>
      <c r="F182" s="110" t="s">
        <v>104</v>
      </c>
      <c r="G182" s="110" t="s">
        <v>4598</v>
      </c>
      <c r="H182" s="53" t="s">
        <v>4619</v>
      </c>
      <c r="I182" s="108" t="s">
        <v>2759</v>
      </c>
      <c r="J182" s="108" t="s">
        <v>1467</v>
      </c>
      <c r="K182" s="144" t="s">
        <v>4076</v>
      </c>
      <c r="L182" s="110" t="s">
        <v>170</v>
      </c>
      <c r="M182" s="68">
        <v>1</v>
      </c>
      <c r="N182" s="110" t="s">
        <v>150</v>
      </c>
      <c r="O182" s="70" t="s">
        <v>5026</v>
      </c>
      <c r="P182" s="53" t="s">
        <v>3891</v>
      </c>
      <c r="Q182" s="108" t="s">
        <v>2727</v>
      </c>
      <c r="R182" s="110">
        <v>2008</v>
      </c>
      <c r="S182" s="110" t="s">
        <v>197</v>
      </c>
      <c r="T182" s="110" t="s">
        <v>434</v>
      </c>
      <c r="U182" s="110"/>
      <c r="V182" s="110"/>
      <c r="W182" s="110"/>
      <c r="X182" s="211" t="s">
        <v>4076</v>
      </c>
      <c r="Y182" s="110"/>
      <c r="Z182" s="110"/>
      <c r="AA182" s="58"/>
      <c r="AB182" s="187" t="s">
        <v>253</v>
      </c>
      <c r="AC182" s="108" t="s">
        <v>157</v>
      </c>
      <c r="AD182" s="108"/>
      <c r="AE182" s="108">
        <v>24</v>
      </c>
      <c r="AF182" s="53" t="s">
        <v>253</v>
      </c>
      <c r="AG182" s="108" t="s">
        <v>2760</v>
      </c>
      <c r="AH182" s="110" t="s">
        <v>155</v>
      </c>
      <c r="AI182" s="108"/>
      <c r="AJ182" s="212" t="s">
        <v>2761</v>
      </c>
      <c r="AK182" s="108" t="s">
        <v>253</v>
      </c>
      <c r="AL182" s="108" t="s">
        <v>2762</v>
      </c>
      <c r="AM182" s="108" t="s">
        <v>2763</v>
      </c>
      <c r="AN182" s="213"/>
      <c r="AO182" s="108" t="s">
        <v>2764</v>
      </c>
      <c r="AP182" s="114"/>
      <c r="AQ182" s="114"/>
      <c r="AR182" s="40"/>
      <c r="AS182" s="40"/>
      <c r="AT182" s="40"/>
      <c r="AV182" s="40">
        <v>7140202</v>
      </c>
      <c r="AW182" s="53">
        <v>428</v>
      </c>
      <c r="BJ182" s="40"/>
      <c r="BK182" s="40"/>
      <c r="BN182" s="16"/>
      <c r="BO182" s="16"/>
    </row>
    <row r="183" spans="1:67" s="67" customFormat="1" ht="16.5" customHeight="1" x14ac:dyDescent="0.25">
      <c r="A183" s="16"/>
      <c r="B183" s="68">
        <f>SUBTOTAL(103,$K$83:K183)</f>
        <v>100</v>
      </c>
      <c r="C183" s="53">
        <v>55</v>
      </c>
      <c r="D183" s="53" t="s">
        <v>2118</v>
      </c>
      <c r="E183" s="53" t="s">
        <v>19</v>
      </c>
      <c r="F183" s="53" t="s">
        <v>104</v>
      </c>
      <c r="G183" s="110" t="s">
        <v>4598</v>
      </c>
      <c r="H183" s="53" t="s">
        <v>4620</v>
      </c>
      <c r="I183" s="58" t="s">
        <v>2765</v>
      </c>
      <c r="J183" s="64" t="s">
        <v>2766</v>
      </c>
      <c r="K183" s="103" t="s">
        <v>4077</v>
      </c>
      <c r="L183" s="68" t="s">
        <v>170</v>
      </c>
      <c r="M183" s="68">
        <v>1</v>
      </c>
      <c r="N183" s="68" t="s">
        <v>150</v>
      </c>
      <c r="O183" s="70" t="s">
        <v>5026</v>
      </c>
      <c r="P183" s="53" t="s">
        <v>3891</v>
      </c>
      <c r="Q183" s="58" t="s">
        <v>23</v>
      </c>
      <c r="R183" s="53">
        <v>2021</v>
      </c>
      <c r="S183" s="53" t="s">
        <v>153</v>
      </c>
      <c r="T183" s="53">
        <v>7.2</v>
      </c>
      <c r="U183" s="53"/>
      <c r="V183" s="53" t="s">
        <v>186</v>
      </c>
      <c r="W183" s="53" t="s">
        <v>153</v>
      </c>
      <c r="X183" s="197" t="s">
        <v>4077</v>
      </c>
      <c r="Y183" s="53"/>
      <c r="Z183" s="53"/>
      <c r="AA183" s="58"/>
      <c r="AB183" s="188" t="s">
        <v>253</v>
      </c>
      <c r="AC183" s="58" t="s">
        <v>157</v>
      </c>
      <c r="AD183" s="58" t="s">
        <v>157</v>
      </c>
      <c r="AE183" s="58"/>
      <c r="AF183" s="58"/>
      <c r="AG183" s="58" t="s">
        <v>2751</v>
      </c>
      <c r="AH183" s="53"/>
      <c r="AI183" s="58"/>
      <c r="AJ183" s="151" t="s">
        <v>2767</v>
      </c>
      <c r="AK183" s="58" t="s">
        <v>253</v>
      </c>
      <c r="AL183" s="58" t="s">
        <v>2242</v>
      </c>
      <c r="AM183" s="58" t="s">
        <v>2768</v>
      </c>
      <c r="AN183" s="151" t="s">
        <v>2769</v>
      </c>
      <c r="AO183" s="58"/>
      <c r="AP183" s="66"/>
      <c r="AT183" s="40"/>
      <c r="AU183" s="40"/>
      <c r="AV183" s="40">
        <v>7140202</v>
      </c>
      <c r="AW183" s="53">
        <v>429</v>
      </c>
      <c r="BJ183" s="40"/>
      <c r="BK183" s="40"/>
      <c r="BN183" s="16"/>
      <c r="BO183" s="16"/>
    </row>
    <row r="184" spans="1:67" s="67" customFormat="1" ht="16.5" customHeight="1" x14ac:dyDescent="0.25">
      <c r="A184" s="16"/>
      <c r="B184" s="68">
        <f>SUBTOTAL(103,$K$83:K184)</f>
        <v>101</v>
      </c>
      <c r="C184" s="53">
        <v>56</v>
      </c>
      <c r="D184" s="53" t="s">
        <v>2118</v>
      </c>
      <c r="E184" s="99" t="s">
        <v>19</v>
      </c>
      <c r="F184" s="99" t="s">
        <v>104</v>
      </c>
      <c r="G184" s="110" t="s">
        <v>4598</v>
      </c>
      <c r="H184" s="53" t="s">
        <v>4621</v>
      </c>
      <c r="I184" s="58" t="s">
        <v>2770</v>
      </c>
      <c r="J184" s="58" t="s">
        <v>508</v>
      </c>
      <c r="K184" s="103" t="s">
        <v>4078</v>
      </c>
      <c r="L184" s="53" t="s">
        <v>170</v>
      </c>
      <c r="M184" s="68">
        <v>1</v>
      </c>
      <c r="N184" s="53" t="s">
        <v>150</v>
      </c>
      <c r="O184" s="70" t="s">
        <v>5026</v>
      </c>
      <c r="P184" s="53" t="s">
        <v>3891</v>
      </c>
      <c r="Q184" s="70" t="s">
        <v>575</v>
      </c>
      <c r="R184" s="99" t="s">
        <v>2104</v>
      </c>
      <c r="S184" s="99" t="s">
        <v>197</v>
      </c>
      <c r="T184" s="53">
        <v>7</v>
      </c>
      <c r="U184" s="53"/>
      <c r="V184" s="53"/>
      <c r="W184" s="53"/>
      <c r="X184" s="57" t="s">
        <v>4078</v>
      </c>
      <c r="Y184" s="53"/>
      <c r="Z184" s="68"/>
      <c r="AA184" s="58"/>
      <c r="AB184" s="60" t="s">
        <v>253</v>
      </c>
      <c r="AC184" s="58"/>
      <c r="AD184" s="58"/>
      <c r="AE184" s="58" t="s">
        <v>157</v>
      </c>
      <c r="AF184" s="68"/>
      <c r="AG184" s="58" t="s">
        <v>2234</v>
      </c>
      <c r="AH184" s="53" t="s">
        <v>155</v>
      </c>
      <c r="AI184" s="58"/>
      <c r="AJ184" s="147" t="s">
        <v>2771</v>
      </c>
      <c r="AK184" s="64" t="s">
        <v>253</v>
      </c>
      <c r="AL184" s="64" t="s">
        <v>2441</v>
      </c>
      <c r="AM184" s="58" t="s">
        <v>2772</v>
      </c>
      <c r="AN184" s="147" t="s">
        <v>2773</v>
      </c>
      <c r="AO184" s="58"/>
      <c r="AR184" s="66"/>
      <c r="AV184" s="40">
        <v>7140202</v>
      </c>
      <c r="AW184" s="53">
        <v>430</v>
      </c>
      <c r="BJ184" s="40"/>
      <c r="BK184" s="40"/>
      <c r="BN184" s="16"/>
      <c r="BO184" s="16"/>
    </row>
    <row r="185" spans="1:67" s="67" customFormat="1" ht="16.5" customHeight="1" x14ac:dyDescent="0.25">
      <c r="A185" s="16"/>
      <c r="B185" s="68">
        <f>SUBTOTAL(103,$K$83:K185)</f>
        <v>102</v>
      </c>
      <c r="C185" s="53">
        <v>57</v>
      </c>
      <c r="D185" s="53" t="s">
        <v>2118</v>
      </c>
      <c r="E185" s="53" t="s">
        <v>19</v>
      </c>
      <c r="F185" s="53" t="s">
        <v>104</v>
      </c>
      <c r="G185" s="110" t="s">
        <v>4598</v>
      </c>
      <c r="H185" s="53" t="s">
        <v>4622</v>
      </c>
      <c r="I185" s="58" t="s">
        <v>1560</v>
      </c>
      <c r="J185" s="58" t="s">
        <v>2774</v>
      </c>
      <c r="K185" s="103" t="s">
        <v>4079</v>
      </c>
      <c r="L185" s="68" t="s">
        <v>170</v>
      </c>
      <c r="M185" s="68">
        <v>1</v>
      </c>
      <c r="N185" s="68" t="s">
        <v>150</v>
      </c>
      <c r="O185" s="70" t="s">
        <v>5026</v>
      </c>
      <c r="P185" s="53" t="s">
        <v>3891</v>
      </c>
      <c r="Q185" s="58" t="s">
        <v>26</v>
      </c>
      <c r="R185" s="53">
        <v>2010</v>
      </c>
      <c r="S185" s="53" t="s">
        <v>236</v>
      </c>
      <c r="T185" s="53" t="s">
        <v>693</v>
      </c>
      <c r="U185" s="53"/>
      <c r="V185" s="53"/>
      <c r="W185" s="53"/>
      <c r="X185" s="197" t="s">
        <v>4079</v>
      </c>
      <c r="Y185" s="53"/>
      <c r="Z185" s="53"/>
      <c r="AA185" s="58"/>
      <c r="AB185" s="60" t="s">
        <v>2163</v>
      </c>
      <c r="AC185" s="58"/>
      <c r="AD185" s="58"/>
      <c r="AE185" s="58"/>
      <c r="AF185" s="58"/>
      <c r="AG185" s="58" t="s">
        <v>2775</v>
      </c>
      <c r="AH185" s="53" t="s">
        <v>155</v>
      </c>
      <c r="AI185" s="58"/>
      <c r="AJ185" s="214" t="s">
        <v>2776</v>
      </c>
      <c r="AK185" s="58" t="s">
        <v>2777</v>
      </c>
      <c r="AL185" s="58" t="s">
        <v>2778</v>
      </c>
      <c r="AM185" s="64" t="s">
        <v>2779</v>
      </c>
      <c r="AN185" s="151" t="s">
        <v>2780</v>
      </c>
      <c r="AO185" s="58" t="s">
        <v>2781</v>
      </c>
      <c r="AP185" s="66"/>
      <c r="AT185" s="40"/>
      <c r="AU185" s="40"/>
      <c r="AV185" s="40">
        <v>7140202</v>
      </c>
      <c r="AW185" s="53">
        <v>431</v>
      </c>
      <c r="BJ185" s="40"/>
      <c r="BK185" s="40"/>
      <c r="BN185" s="16"/>
      <c r="BO185" s="16"/>
    </row>
    <row r="186" spans="1:67" s="67" customFormat="1" ht="16.5" customHeight="1" x14ac:dyDescent="0.25">
      <c r="A186" s="16"/>
      <c r="B186" s="68">
        <f>SUBTOTAL(103,$K$83:K186)</f>
        <v>103</v>
      </c>
      <c r="C186" s="53">
        <v>58</v>
      </c>
      <c r="D186" s="53" t="s">
        <v>2118</v>
      </c>
      <c r="E186" s="53" t="s">
        <v>19</v>
      </c>
      <c r="F186" s="53" t="s">
        <v>104</v>
      </c>
      <c r="G186" s="110" t="s">
        <v>4598</v>
      </c>
      <c r="H186" s="53" t="s">
        <v>4623</v>
      </c>
      <c r="I186" s="58" t="s">
        <v>314</v>
      </c>
      <c r="J186" s="64" t="s">
        <v>1598</v>
      </c>
      <c r="K186" s="103" t="s">
        <v>4080</v>
      </c>
      <c r="L186" s="53" t="s">
        <v>170</v>
      </c>
      <c r="M186" s="68">
        <v>1</v>
      </c>
      <c r="N186" s="53" t="s">
        <v>150</v>
      </c>
      <c r="O186" s="70" t="s">
        <v>5026</v>
      </c>
      <c r="P186" s="53" t="s">
        <v>3891</v>
      </c>
      <c r="Q186" s="58" t="s">
        <v>2378</v>
      </c>
      <c r="R186" s="53">
        <v>2016</v>
      </c>
      <c r="S186" s="99" t="s">
        <v>236</v>
      </c>
      <c r="T186" s="123">
        <v>8.25</v>
      </c>
      <c r="U186" s="99"/>
      <c r="V186" s="99"/>
      <c r="W186" s="53"/>
      <c r="X186" s="103" t="s">
        <v>4080</v>
      </c>
      <c r="Y186" s="53"/>
      <c r="Z186" s="124"/>
      <c r="AA186" s="58"/>
      <c r="AB186" s="188" t="s">
        <v>2163</v>
      </c>
      <c r="AC186" s="64"/>
      <c r="AD186" s="64"/>
      <c r="AE186" s="64" t="s">
        <v>157</v>
      </c>
      <c r="AF186" s="64"/>
      <c r="AG186" s="58" t="s">
        <v>2782</v>
      </c>
      <c r="AH186" s="53" t="s">
        <v>155</v>
      </c>
      <c r="AI186" s="58"/>
      <c r="AJ186" s="147" t="s">
        <v>2783</v>
      </c>
      <c r="AK186" s="64" t="s">
        <v>2163</v>
      </c>
      <c r="AL186" s="66" t="s">
        <v>2567</v>
      </c>
      <c r="AM186" s="67" t="s">
        <v>2784</v>
      </c>
      <c r="AN186" s="147" t="s">
        <v>2785</v>
      </c>
      <c r="AO186" s="190"/>
      <c r="AQ186" s="193"/>
      <c r="AR186" s="66"/>
      <c r="AS186" s="66"/>
      <c r="AV186" s="40">
        <v>7140202</v>
      </c>
      <c r="AW186" s="53">
        <v>432</v>
      </c>
      <c r="BJ186" s="40"/>
      <c r="BK186" s="40"/>
      <c r="BN186" s="16"/>
      <c r="BO186" s="16"/>
    </row>
    <row r="187" spans="1:67" s="67" customFormat="1" ht="16.5" customHeight="1" x14ac:dyDescent="0.25">
      <c r="A187" s="16"/>
      <c r="B187" s="68">
        <f>SUBTOTAL(103,$K$83:K187)</f>
        <v>104</v>
      </c>
      <c r="C187" s="53">
        <v>59</v>
      </c>
      <c r="D187" s="53" t="s">
        <v>2118</v>
      </c>
      <c r="E187" s="53" t="s">
        <v>19</v>
      </c>
      <c r="F187" s="53" t="s">
        <v>639</v>
      </c>
      <c r="G187" s="110" t="s">
        <v>4598</v>
      </c>
      <c r="H187" s="53" t="s">
        <v>4624</v>
      </c>
      <c r="I187" s="58" t="s">
        <v>2459</v>
      </c>
      <c r="J187" s="64" t="s">
        <v>676</v>
      </c>
      <c r="K187" s="103" t="s">
        <v>4081</v>
      </c>
      <c r="L187" s="53" t="s">
        <v>170</v>
      </c>
      <c r="M187" s="68">
        <v>1</v>
      </c>
      <c r="N187" s="53" t="s">
        <v>150</v>
      </c>
      <c r="O187" s="70" t="s">
        <v>5026</v>
      </c>
      <c r="P187" s="53" t="s">
        <v>3891</v>
      </c>
      <c r="Q187" s="58"/>
      <c r="R187" s="53">
        <v>2023</v>
      </c>
      <c r="S187" s="53"/>
      <c r="T187" s="53"/>
      <c r="U187" s="99"/>
      <c r="V187" s="99" t="s">
        <v>647</v>
      </c>
      <c r="W187" s="53" t="s">
        <v>236</v>
      </c>
      <c r="X187" s="103" t="s">
        <v>4081</v>
      </c>
      <c r="Y187" s="68" t="s">
        <v>819</v>
      </c>
      <c r="Z187" s="68">
        <v>25.6</v>
      </c>
      <c r="AA187" s="58"/>
      <c r="AB187" s="60" t="s">
        <v>2298</v>
      </c>
      <c r="AC187" s="58"/>
      <c r="AD187" s="58"/>
      <c r="AE187" s="58" t="s">
        <v>157</v>
      </c>
      <c r="AF187" s="58"/>
      <c r="AG187" s="64" t="s">
        <v>2786</v>
      </c>
      <c r="AH187" s="53"/>
      <c r="AI187" s="58"/>
      <c r="AJ187" s="147" t="s">
        <v>2787</v>
      </c>
      <c r="AK187" s="67" t="s">
        <v>2211</v>
      </c>
      <c r="AL187" s="67" t="s">
        <v>2788</v>
      </c>
      <c r="AM187" s="67" t="s">
        <v>2789</v>
      </c>
      <c r="AN187" s="147" t="s">
        <v>2790</v>
      </c>
      <c r="AO187" s="58"/>
      <c r="AR187" s="66"/>
      <c r="AS187" s="66"/>
      <c r="AT187" s="40"/>
      <c r="AU187" s="40"/>
      <c r="AV187" s="40">
        <v>7140202</v>
      </c>
      <c r="AW187" s="53">
        <v>433</v>
      </c>
      <c r="AY187" s="40"/>
      <c r="AZ187" s="40"/>
      <c r="BI187" s="36"/>
      <c r="BJ187" s="36"/>
      <c r="BK187" s="37"/>
      <c r="BN187" s="16"/>
      <c r="BO187" s="16"/>
    </row>
    <row r="188" spans="1:67" s="67" customFormat="1" ht="16.5" customHeight="1" x14ac:dyDescent="0.25">
      <c r="A188" s="16"/>
      <c r="B188" s="68">
        <f>SUBTOTAL(103,$K$83:K188)</f>
        <v>105</v>
      </c>
      <c r="C188" s="53">
        <v>60</v>
      </c>
      <c r="D188" s="53" t="s">
        <v>2118</v>
      </c>
      <c r="E188" s="53" t="s">
        <v>19</v>
      </c>
      <c r="F188" s="53" t="s">
        <v>639</v>
      </c>
      <c r="G188" s="110" t="s">
        <v>4598</v>
      </c>
      <c r="H188" s="53" t="s">
        <v>4625</v>
      </c>
      <c r="I188" s="58" t="s">
        <v>2791</v>
      </c>
      <c r="J188" s="64" t="s">
        <v>676</v>
      </c>
      <c r="K188" s="103" t="s">
        <v>4082</v>
      </c>
      <c r="L188" s="53" t="s">
        <v>170</v>
      </c>
      <c r="M188" s="68">
        <v>1</v>
      </c>
      <c r="N188" s="53" t="s">
        <v>150</v>
      </c>
      <c r="O188" s="70" t="s">
        <v>5026</v>
      </c>
      <c r="P188" s="53" t="s">
        <v>3891</v>
      </c>
      <c r="Q188" s="58"/>
      <c r="R188" s="53">
        <v>2020</v>
      </c>
      <c r="S188" s="53"/>
      <c r="T188" s="123"/>
      <c r="U188" s="99"/>
      <c r="V188" s="99" t="s">
        <v>1591</v>
      </c>
      <c r="W188" s="53" t="s">
        <v>236</v>
      </c>
      <c r="X188" s="103" t="s">
        <v>4082</v>
      </c>
      <c r="Y188" s="68" t="s">
        <v>686</v>
      </c>
      <c r="Z188" s="68" t="s">
        <v>2792</v>
      </c>
      <c r="AA188" s="58"/>
      <c r="AB188" s="188" t="s">
        <v>253</v>
      </c>
      <c r="AC188" s="64"/>
      <c r="AD188" s="64"/>
      <c r="AE188" s="64" t="s">
        <v>157</v>
      </c>
      <c r="AF188" s="64"/>
      <c r="AG188" s="64" t="s">
        <v>2793</v>
      </c>
      <c r="AH188" s="99" t="s">
        <v>155</v>
      </c>
      <c r="AI188" s="64" t="s">
        <v>2794</v>
      </c>
      <c r="AJ188" s="151" t="s">
        <v>2795</v>
      </c>
      <c r="AK188" s="66" t="s">
        <v>253</v>
      </c>
      <c r="AL188" s="127" t="s">
        <v>2796</v>
      </c>
      <c r="AM188" s="67" t="s">
        <v>2797</v>
      </c>
      <c r="AN188" s="147" t="s">
        <v>2798</v>
      </c>
      <c r="AO188" s="58"/>
      <c r="AR188" s="66"/>
      <c r="AS188" s="66"/>
      <c r="AT188" s="40"/>
      <c r="AU188" s="40"/>
      <c r="AV188" s="40">
        <v>7140202</v>
      </c>
      <c r="AW188" s="53">
        <v>434</v>
      </c>
      <c r="AY188" s="40"/>
      <c r="AZ188" s="40"/>
      <c r="BI188" s="36"/>
      <c r="BJ188" s="36"/>
      <c r="BK188" s="37"/>
      <c r="BN188" s="16"/>
      <c r="BO188" s="16"/>
    </row>
    <row r="189" spans="1:67" s="67" customFormat="1" ht="16.5" customHeight="1" x14ac:dyDescent="0.25">
      <c r="A189" s="16"/>
      <c r="B189" s="68">
        <f>SUBTOTAL(103,$K$83:K189)</f>
        <v>106</v>
      </c>
      <c r="C189" s="53">
        <v>61</v>
      </c>
      <c r="D189" s="53" t="s">
        <v>2118</v>
      </c>
      <c r="E189" s="53" t="s">
        <v>19</v>
      </c>
      <c r="F189" s="53" t="s">
        <v>639</v>
      </c>
      <c r="G189" s="110" t="s">
        <v>4598</v>
      </c>
      <c r="H189" s="53" t="s">
        <v>4626</v>
      </c>
      <c r="I189" s="58" t="s">
        <v>2799</v>
      </c>
      <c r="J189" s="64" t="s">
        <v>676</v>
      </c>
      <c r="K189" s="103" t="s">
        <v>4083</v>
      </c>
      <c r="L189" s="53" t="s">
        <v>170</v>
      </c>
      <c r="M189" s="68">
        <v>1</v>
      </c>
      <c r="N189" s="53" t="s">
        <v>150</v>
      </c>
      <c r="O189" s="70" t="s">
        <v>5026</v>
      </c>
      <c r="P189" s="53" t="s">
        <v>3891</v>
      </c>
      <c r="Q189" s="58"/>
      <c r="R189" s="53">
        <v>2015</v>
      </c>
      <c r="S189" s="53"/>
      <c r="T189" s="53"/>
      <c r="U189" s="53"/>
      <c r="V189" s="53" t="s">
        <v>328</v>
      </c>
      <c r="W189" s="53" t="s">
        <v>236</v>
      </c>
      <c r="X189" s="57" t="s">
        <v>4083</v>
      </c>
      <c r="Y189" s="68" t="s">
        <v>879</v>
      </c>
      <c r="Z189" s="68">
        <v>25.2</v>
      </c>
      <c r="AA189" s="58"/>
      <c r="AB189" s="60" t="s">
        <v>253</v>
      </c>
      <c r="AC189" s="58"/>
      <c r="AD189" s="58"/>
      <c r="AE189" s="58" t="s">
        <v>157</v>
      </c>
      <c r="AF189" s="58"/>
      <c r="AG189" s="64" t="s">
        <v>2800</v>
      </c>
      <c r="AH189" s="53" t="s">
        <v>155</v>
      </c>
      <c r="AI189" s="64" t="s">
        <v>2801</v>
      </c>
      <c r="AJ189" s="147" t="s">
        <v>2802</v>
      </c>
      <c r="AK189" s="66" t="s">
        <v>253</v>
      </c>
      <c r="AL189" s="66" t="s">
        <v>2803</v>
      </c>
      <c r="AM189" s="67" t="s">
        <v>2804</v>
      </c>
      <c r="AN189" s="147" t="s">
        <v>2805</v>
      </c>
      <c r="AO189" s="58"/>
      <c r="AS189" s="66"/>
      <c r="AT189" s="40"/>
      <c r="AU189" s="40"/>
      <c r="AV189" s="40">
        <v>7140202</v>
      </c>
      <c r="AW189" s="53">
        <v>435</v>
      </c>
      <c r="AY189" s="40"/>
      <c r="AZ189" s="40"/>
      <c r="BI189" s="36"/>
      <c r="BJ189" s="36"/>
      <c r="BK189" s="37"/>
      <c r="BN189" s="16"/>
      <c r="BO189" s="16"/>
    </row>
    <row r="190" spans="1:67" s="67" customFormat="1" ht="16.5" customHeight="1" x14ac:dyDescent="0.25">
      <c r="A190" s="16"/>
      <c r="B190" s="68">
        <f>SUBTOTAL(103,$K$83:K190)</f>
        <v>107</v>
      </c>
      <c r="C190" s="53">
        <v>62</v>
      </c>
      <c r="D190" s="53" t="s">
        <v>2118</v>
      </c>
      <c r="E190" s="53" t="s">
        <v>19</v>
      </c>
      <c r="F190" s="53" t="s">
        <v>639</v>
      </c>
      <c r="G190" s="110" t="s">
        <v>4598</v>
      </c>
      <c r="H190" s="53" t="s">
        <v>4627</v>
      </c>
      <c r="I190" s="58" t="s">
        <v>2806</v>
      </c>
      <c r="J190" s="58" t="s">
        <v>676</v>
      </c>
      <c r="K190" s="103" t="s">
        <v>4084</v>
      </c>
      <c r="L190" s="53" t="s">
        <v>170</v>
      </c>
      <c r="M190" s="68">
        <v>1</v>
      </c>
      <c r="N190" s="53" t="s">
        <v>150</v>
      </c>
      <c r="O190" s="70" t="s">
        <v>5026</v>
      </c>
      <c r="P190" s="53" t="s">
        <v>3891</v>
      </c>
      <c r="Q190" s="58"/>
      <c r="R190" s="53">
        <v>2021</v>
      </c>
      <c r="S190" s="53"/>
      <c r="T190" s="123"/>
      <c r="U190" s="123"/>
      <c r="V190" s="123" t="s">
        <v>2426</v>
      </c>
      <c r="W190" s="53" t="s">
        <v>236</v>
      </c>
      <c r="X190" s="103" t="s">
        <v>4084</v>
      </c>
      <c r="Y190" s="68" t="s">
        <v>879</v>
      </c>
      <c r="Z190" s="68">
        <v>24.8</v>
      </c>
      <c r="AA190" s="58"/>
      <c r="AB190" s="60" t="s">
        <v>2807</v>
      </c>
      <c r="AC190" s="58"/>
      <c r="AD190" s="58"/>
      <c r="AE190" s="58" t="s">
        <v>157</v>
      </c>
      <c r="AF190" s="58"/>
      <c r="AG190" s="64" t="s">
        <v>2808</v>
      </c>
      <c r="AH190" s="53" t="s">
        <v>155</v>
      </c>
      <c r="AI190" s="58" t="s">
        <v>2428</v>
      </c>
      <c r="AJ190" s="147" t="s">
        <v>2809</v>
      </c>
      <c r="AK190" s="63" t="s">
        <v>253</v>
      </c>
      <c r="AL190" s="63" t="s">
        <v>2810</v>
      </c>
      <c r="AM190" s="63" t="s">
        <v>2811</v>
      </c>
      <c r="AN190" s="147" t="s">
        <v>2812</v>
      </c>
      <c r="AO190" s="63"/>
      <c r="AP190" s="44"/>
      <c r="AQ190" s="44"/>
      <c r="AS190" s="66"/>
      <c r="AT190" s="40"/>
      <c r="AU190" s="40"/>
      <c r="AV190" s="40">
        <v>7140202</v>
      </c>
      <c r="AW190" s="53">
        <v>436</v>
      </c>
      <c r="AY190" s="40"/>
      <c r="AZ190" s="40"/>
      <c r="BI190" s="36"/>
      <c r="BJ190" s="36"/>
      <c r="BK190" s="37"/>
      <c r="BN190" s="16"/>
      <c r="BO190" s="16"/>
    </row>
    <row r="191" spans="1:67" s="67" customFormat="1" ht="16.5" customHeight="1" x14ac:dyDescent="0.25">
      <c r="A191" s="16"/>
      <c r="B191" s="68">
        <f>SUBTOTAL(103,$K$83:K191)</f>
        <v>108</v>
      </c>
      <c r="C191" s="53">
        <v>63</v>
      </c>
      <c r="D191" s="53" t="s">
        <v>2118</v>
      </c>
      <c r="E191" s="53" t="s">
        <v>19</v>
      </c>
      <c r="F191" s="53" t="s">
        <v>639</v>
      </c>
      <c r="G191" s="110" t="s">
        <v>4598</v>
      </c>
      <c r="H191" s="53" t="s">
        <v>4628</v>
      </c>
      <c r="I191" s="58" t="s">
        <v>2813</v>
      </c>
      <c r="J191" s="58" t="s">
        <v>676</v>
      </c>
      <c r="K191" s="103" t="s">
        <v>4085</v>
      </c>
      <c r="L191" s="53" t="s">
        <v>170</v>
      </c>
      <c r="M191" s="68">
        <v>1</v>
      </c>
      <c r="N191" s="53" t="s">
        <v>150</v>
      </c>
      <c r="O191" s="70" t="s">
        <v>5026</v>
      </c>
      <c r="P191" s="53" t="s">
        <v>3891</v>
      </c>
      <c r="Q191" s="58"/>
      <c r="R191" s="53">
        <v>2023</v>
      </c>
      <c r="S191" s="53"/>
      <c r="T191" s="53"/>
      <c r="U191" s="53"/>
      <c r="V191" s="53" t="s">
        <v>685</v>
      </c>
      <c r="W191" s="53" t="s">
        <v>236</v>
      </c>
      <c r="X191" s="57" t="s">
        <v>4085</v>
      </c>
      <c r="Y191" s="53" t="s">
        <v>894</v>
      </c>
      <c r="Z191" s="53">
        <v>24.17</v>
      </c>
      <c r="AA191" s="58"/>
      <c r="AB191" s="60" t="s">
        <v>2206</v>
      </c>
      <c r="AC191" s="58" t="s">
        <v>157</v>
      </c>
      <c r="AD191" s="58" t="s">
        <v>157</v>
      </c>
      <c r="AE191" s="58"/>
      <c r="AF191" s="58"/>
      <c r="AG191" s="58" t="s">
        <v>2814</v>
      </c>
      <c r="AH191" s="53"/>
      <c r="AI191" s="58"/>
      <c r="AJ191" s="120" t="s">
        <v>2815</v>
      </c>
      <c r="AK191" s="58" t="s">
        <v>2206</v>
      </c>
      <c r="AL191" s="58" t="s">
        <v>2816</v>
      </c>
      <c r="AM191" s="64" t="s">
        <v>2817</v>
      </c>
      <c r="AN191" s="151" t="s">
        <v>2818</v>
      </c>
      <c r="AO191" s="58"/>
      <c r="AP191" s="66"/>
      <c r="AT191" s="40"/>
      <c r="AU191" s="40"/>
      <c r="AV191" s="40">
        <v>7140202</v>
      </c>
      <c r="AW191" s="53">
        <v>437</v>
      </c>
      <c r="BJ191" s="40"/>
      <c r="BK191" s="40"/>
      <c r="BN191" s="16"/>
      <c r="BO191" s="16"/>
    </row>
    <row r="192" spans="1:67" s="67" customFormat="1" ht="16.5" customHeight="1" x14ac:dyDescent="0.25">
      <c r="A192" s="16"/>
      <c r="B192" s="68">
        <f>SUBTOTAL(103,$K$83:K192)</f>
        <v>109</v>
      </c>
      <c r="C192" s="53">
        <v>64</v>
      </c>
      <c r="D192" s="53" t="s">
        <v>2118</v>
      </c>
      <c r="E192" s="53" t="s">
        <v>19</v>
      </c>
      <c r="F192" s="53" t="s">
        <v>639</v>
      </c>
      <c r="G192" s="110" t="s">
        <v>4598</v>
      </c>
      <c r="H192" s="53" t="s">
        <v>4629</v>
      </c>
      <c r="I192" s="58" t="s">
        <v>2819</v>
      </c>
      <c r="J192" s="58" t="s">
        <v>676</v>
      </c>
      <c r="K192" s="103" t="s">
        <v>4086</v>
      </c>
      <c r="L192" s="53" t="s">
        <v>170</v>
      </c>
      <c r="M192" s="68">
        <v>1</v>
      </c>
      <c r="N192" s="53" t="s">
        <v>150</v>
      </c>
      <c r="O192" s="70" t="s">
        <v>5026</v>
      </c>
      <c r="P192" s="53" t="s">
        <v>3891</v>
      </c>
      <c r="Q192" s="58"/>
      <c r="R192" s="53">
        <v>2018</v>
      </c>
      <c r="S192" s="53"/>
      <c r="T192" s="53"/>
      <c r="U192" s="53"/>
      <c r="V192" s="53" t="s">
        <v>779</v>
      </c>
      <c r="W192" s="53" t="s">
        <v>236</v>
      </c>
      <c r="X192" s="197" t="s">
        <v>4086</v>
      </c>
      <c r="Y192" s="53" t="s">
        <v>2820</v>
      </c>
      <c r="Z192" s="53">
        <v>24.3</v>
      </c>
      <c r="AA192" s="58"/>
      <c r="AB192" s="60" t="s">
        <v>2206</v>
      </c>
      <c r="AC192" s="58" t="s">
        <v>157</v>
      </c>
      <c r="AD192" s="58" t="s">
        <v>157</v>
      </c>
      <c r="AE192" s="58"/>
      <c r="AF192" s="58"/>
      <c r="AG192" s="58" t="s">
        <v>2821</v>
      </c>
      <c r="AH192" s="53"/>
      <c r="AI192" s="58" t="s">
        <v>2822</v>
      </c>
      <c r="AJ192" s="120" t="s">
        <v>2823</v>
      </c>
      <c r="AK192" s="58" t="s">
        <v>2206</v>
      </c>
      <c r="AL192" s="58" t="s">
        <v>2824</v>
      </c>
      <c r="AM192" s="64" t="s">
        <v>2825</v>
      </c>
      <c r="AN192" s="57" t="s">
        <v>2826</v>
      </c>
      <c r="AO192" s="58" t="s">
        <v>2827</v>
      </c>
      <c r="AP192" s="66"/>
      <c r="AT192" s="40"/>
      <c r="AU192" s="40"/>
      <c r="AV192" s="40">
        <v>7140202</v>
      </c>
      <c r="AW192" s="53">
        <v>438</v>
      </c>
      <c r="BJ192" s="40"/>
      <c r="BK192" s="40"/>
      <c r="BN192" s="16"/>
      <c r="BO192" s="16"/>
    </row>
    <row r="193" spans="1:67" s="67" customFormat="1" ht="16.5" customHeight="1" x14ac:dyDescent="0.25">
      <c r="A193" s="16"/>
      <c r="B193" s="68">
        <f>SUBTOTAL(103,$K$83:K193)</f>
        <v>110</v>
      </c>
      <c r="C193" s="53">
        <v>65</v>
      </c>
      <c r="D193" s="53" t="s">
        <v>2118</v>
      </c>
      <c r="E193" s="53" t="s">
        <v>19</v>
      </c>
      <c r="F193" s="53" t="s">
        <v>639</v>
      </c>
      <c r="G193" s="110" t="s">
        <v>4598</v>
      </c>
      <c r="H193" s="53" t="s">
        <v>4630</v>
      </c>
      <c r="I193" s="58" t="s">
        <v>784</v>
      </c>
      <c r="J193" s="58" t="s">
        <v>2361</v>
      </c>
      <c r="K193" s="99" t="s">
        <v>4087</v>
      </c>
      <c r="L193" s="53" t="s">
        <v>170</v>
      </c>
      <c r="M193" s="68">
        <v>1</v>
      </c>
      <c r="N193" s="53" t="s">
        <v>150</v>
      </c>
      <c r="O193" s="70" t="s">
        <v>5026</v>
      </c>
      <c r="P193" s="53" t="s">
        <v>3891</v>
      </c>
      <c r="Q193" s="58"/>
      <c r="R193" s="53">
        <v>2024</v>
      </c>
      <c r="S193" s="53"/>
      <c r="T193" s="123"/>
      <c r="U193" s="123"/>
      <c r="V193" s="123" t="s">
        <v>779</v>
      </c>
      <c r="W193" s="53" t="s">
        <v>236</v>
      </c>
      <c r="X193" s="99" t="s">
        <v>4087</v>
      </c>
      <c r="Y193" s="53" t="s">
        <v>857</v>
      </c>
      <c r="Z193" s="53" t="s">
        <v>2828</v>
      </c>
      <c r="AA193" s="58"/>
      <c r="AB193" s="60" t="s">
        <v>253</v>
      </c>
      <c r="AC193" s="58"/>
      <c r="AD193" s="58" t="s">
        <v>157</v>
      </c>
      <c r="AE193" s="58"/>
      <c r="AF193" s="58"/>
      <c r="AG193" s="58" t="s">
        <v>2829</v>
      </c>
      <c r="AH193" s="53"/>
      <c r="AI193" s="58"/>
      <c r="AJ193" s="215" t="s">
        <v>2830</v>
      </c>
      <c r="AK193" s="58" t="s">
        <v>253</v>
      </c>
      <c r="AL193" s="63" t="s">
        <v>2831</v>
      </c>
      <c r="AM193" s="122" t="s">
        <v>2832</v>
      </c>
      <c r="AN193" s="216" t="s">
        <v>2833</v>
      </c>
      <c r="AO193" s="217" t="s">
        <v>131</v>
      </c>
      <c r="AP193" s="66"/>
      <c r="AT193" s="40"/>
      <c r="AU193" s="40"/>
      <c r="AV193" s="54">
        <v>7140202</v>
      </c>
      <c r="AW193" s="53">
        <v>439</v>
      </c>
      <c r="BJ193" s="40"/>
      <c r="BK193" s="40"/>
      <c r="BN193" s="16"/>
      <c r="BO193" s="16"/>
    </row>
    <row r="194" spans="1:67" s="67" customFormat="1" ht="16.5" customHeight="1" x14ac:dyDescent="0.25">
      <c r="A194" s="16"/>
      <c r="B194" s="68">
        <f>SUBTOTAL(103,$K$83:K194)</f>
        <v>111</v>
      </c>
      <c r="C194" s="53">
        <v>66</v>
      </c>
      <c r="D194" s="53" t="s">
        <v>2118</v>
      </c>
      <c r="E194" s="53" t="s">
        <v>19</v>
      </c>
      <c r="F194" s="53" t="s">
        <v>639</v>
      </c>
      <c r="G194" s="110" t="s">
        <v>4598</v>
      </c>
      <c r="H194" s="53" t="s">
        <v>4631</v>
      </c>
      <c r="I194" s="58" t="s">
        <v>2834</v>
      </c>
      <c r="J194" s="58" t="s">
        <v>2361</v>
      </c>
      <c r="K194" s="103" t="s">
        <v>4088</v>
      </c>
      <c r="L194" s="53" t="s">
        <v>170</v>
      </c>
      <c r="M194" s="68">
        <v>1</v>
      </c>
      <c r="N194" s="53" t="s">
        <v>150</v>
      </c>
      <c r="O194" s="70" t="s">
        <v>5026</v>
      </c>
      <c r="P194" s="53" t="s">
        <v>3891</v>
      </c>
      <c r="Q194" s="58"/>
      <c r="R194" s="53">
        <v>2012</v>
      </c>
      <c r="S194" s="53"/>
      <c r="T194" s="53"/>
      <c r="U194" s="53"/>
      <c r="V194" s="53" t="s">
        <v>779</v>
      </c>
      <c r="W194" s="53" t="s">
        <v>236</v>
      </c>
      <c r="X194" s="197" t="s">
        <v>4088</v>
      </c>
      <c r="Y194" s="53" t="s">
        <v>2820</v>
      </c>
      <c r="Z194" s="53">
        <v>25.19</v>
      </c>
      <c r="AA194" s="58"/>
      <c r="AB194" s="60" t="s">
        <v>2150</v>
      </c>
      <c r="AC194" s="58" t="s">
        <v>157</v>
      </c>
      <c r="AD194" s="58" t="s">
        <v>157</v>
      </c>
      <c r="AE194" s="58"/>
      <c r="AF194" s="58"/>
      <c r="AG194" s="58" t="s">
        <v>2835</v>
      </c>
      <c r="AH194" s="53"/>
      <c r="AI194" s="58" t="s">
        <v>2836</v>
      </c>
      <c r="AJ194" s="218" t="s">
        <v>2837</v>
      </c>
      <c r="AK194" s="58" t="s">
        <v>2150</v>
      </c>
      <c r="AL194" s="63" t="s">
        <v>2397</v>
      </c>
      <c r="AM194" s="122" t="s">
        <v>2838</v>
      </c>
      <c r="AN194" s="219" t="s">
        <v>2839</v>
      </c>
      <c r="AO194" s="63" t="s">
        <v>2827</v>
      </c>
      <c r="AP194" s="66"/>
      <c r="AT194" s="40"/>
      <c r="AU194" s="40"/>
      <c r="AV194" s="54">
        <v>7140202</v>
      </c>
      <c r="AW194" s="53">
        <v>440</v>
      </c>
      <c r="BJ194" s="40"/>
      <c r="BK194" s="40"/>
      <c r="BN194" s="16"/>
      <c r="BO194" s="16"/>
    </row>
    <row r="195" spans="1:67" s="67" customFormat="1" ht="16.5" customHeight="1" x14ac:dyDescent="0.25">
      <c r="A195" s="16"/>
      <c r="B195" s="68">
        <f>SUBTOTAL(103,$K$83:K195)</f>
        <v>112</v>
      </c>
      <c r="C195" s="53">
        <v>67</v>
      </c>
      <c r="D195" s="53" t="s">
        <v>2118</v>
      </c>
      <c r="E195" s="53" t="s">
        <v>19</v>
      </c>
      <c r="F195" s="53" t="s">
        <v>639</v>
      </c>
      <c r="G195" s="110" t="s">
        <v>4598</v>
      </c>
      <c r="H195" s="53" t="s">
        <v>4632</v>
      </c>
      <c r="I195" s="58" t="s">
        <v>2840</v>
      </c>
      <c r="J195" s="58" t="s">
        <v>692</v>
      </c>
      <c r="K195" s="99" t="s">
        <v>4089</v>
      </c>
      <c r="L195" s="53" t="s">
        <v>170</v>
      </c>
      <c r="M195" s="68">
        <v>1</v>
      </c>
      <c r="N195" s="53" t="s">
        <v>150</v>
      </c>
      <c r="O195" s="70" t="s">
        <v>5026</v>
      </c>
      <c r="P195" s="53" t="s">
        <v>3891</v>
      </c>
      <c r="Q195" s="58"/>
      <c r="R195" s="53">
        <v>2021</v>
      </c>
      <c r="S195" s="53"/>
      <c r="T195" s="53"/>
      <c r="U195" s="53"/>
      <c r="V195" s="53" t="s">
        <v>779</v>
      </c>
      <c r="W195" s="53" t="s">
        <v>236</v>
      </c>
      <c r="X195" s="139" t="s">
        <v>4089</v>
      </c>
      <c r="Y195" s="68" t="s">
        <v>2841</v>
      </c>
      <c r="Z195" s="68">
        <v>23.3</v>
      </c>
      <c r="AA195" s="58"/>
      <c r="AB195" s="60" t="s">
        <v>2170</v>
      </c>
      <c r="AC195" s="58"/>
      <c r="AD195" s="58"/>
      <c r="AE195" s="58" t="s">
        <v>157</v>
      </c>
      <c r="AF195" s="58"/>
      <c r="AG195" s="64" t="s">
        <v>2842</v>
      </c>
      <c r="AH195" s="53" t="s">
        <v>155</v>
      </c>
      <c r="AI195" s="58" t="s">
        <v>2843</v>
      </c>
      <c r="AJ195" s="156" t="s">
        <v>2844</v>
      </c>
      <c r="AK195" s="58" t="s">
        <v>2170</v>
      </c>
      <c r="AL195" s="63" t="s">
        <v>2845</v>
      </c>
      <c r="AM195" s="63" t="s">
        <v>2846</v>
      </c>
      <c r="AN195" s="219" t="s">
        <v>2847</v>
      </c>
      <c r="AO195" s="220"/>
      <c r="AP195" s="44"/>
      <c r="AQ195" s="221"/>
      <c r="AS195" s="66"/>
      <c r="AT195" s="40"/>
      <c r="AU195" s="40"/>
      <c r="AV195" s="54">
        <v>7140202</v>
      </c>
      <c r="AW195" s="53">
        <v>441</v>
      </c>
      <c r="AY195" s="40"/>
      <c r="AZ195" s="40"/>
      <c r="BI195" s="36"/>
      <c r="BJ195" s="36"/>
      <c r="BK195" s="37"/>
      <c r="BN195" s="16"/>
      <c r="BO195" s="16"/>
    </row>
    <row r="196" spans="1:67" s="67" customFormat="1" ht="16.5" customHeight="1" x14ac:dyDescent="0.25">
      <c r="A196" s="16"/>
      <c r="B196" s="68">
        <f>SUBTOTAL(103,$K$83:K196)</f>
        <v>113</v>
      </c>
      <c r="C196" s="53">
        <v>68</v>
      </c>
      <c r="D196" s="53" t="s">
        <v>2118</v>
      </c>
      <c r="E196" s="53" t="s">
        <v>19</v>
      </c>
      <c r="F196" s="53" t="s">
        <v>639</v>
      </c>
      <c r="G196" s="110" t="s">
        <v>4598</v>
      </c>
      <c r="H196" s="53" t="s">
        <v>4633</v>
      </c>
      <c r="I196" s="58" t="s">
        <v>2848</v>
      </c>
      <c r="J196" s="58" t="s">
        <v>692</v>
      </c>
      <c r="K196" s="99" t="s">
        <v>4090</v>
      </c>
      <c r="L196" s="53" t="s">
        <v>170</v>
      </c>
      <c r="M196" s="68">
        <v>1</v>
      </c>
      <c r="N196" s="53" t="s">
        <v>150</v>
      </c>
      <c r="O196" s="70" t="s">
        <v>5026</v>
      </c>
      <c r="P196" s="53" t="s">
        <v>3891</v>
      </c>
      <c r="Q196" s="58"/>
      <c r="R196" s="53">
        <v>2016</v>
      </c>
      <c r="S196" s="53"/>
      <c r="T196" s="99"/>
      <c r="U196" s="99"/>
      <c r="V196" s="99" t="s">
        <v>328</v>
      </c>
      <c r="W196" s="53" t="s">
        <v>236</v>
      </c>
      <c r="X196" s="222" t="s">
        <v>4090</v>
      </c>
      <c r="Y196" s="68" t="s">
        <v>2841</v>
      </c>
      <c r="Z196" s="68">
        <v>25.1</v>
      </c>
      <c r="AA196" s="58"/>
      <c r="AB196" s="60" t="s">
        <v>2849</v>
      </c>
      <c r="AC196" s="58"/>
      <c r="AD196" s="58"/>
      <c r="AE196" s="58" t="s">
        <v>157</v>
      </c>
      <c r="AF196" s="58"/>
      <c r="AG196" s="64" t="s">
        <v>2850</v>
      </c>
      <c r="AH196" s="53" t="s">
        <v>155</v>
      </c>
      <c r="AI196" s="58" t="s">
        <v>2851</v>
      </c>
      <c r="AJ196" s="156" t="s">
        <v>2852</v>
      </c>
      <c r="AK196" s="58" t="s">
        <v>2849</v>
      </c>
      <c r="AL196" s="63" t="s">
        <v>2853</v>
      </c>
      <c r="AM196" s="63" t="s">
        <v>2854</v>
      </c>
      <c r="AN196" s="219" t="s">
        <v>2855</v>
      </c>
      <c r="AO196" s="220"/>
      <c r="AP196" s="44"/>
      <c r="AQ196" s="44"/>
      <c r="AS196" s="66"/>
      <c r="AT196" s="40"/>
      <c r="AU196" s="40"/>
      <c r="AV196" s="54">
        <v>7140202</v>
      </c>
      <c r="AW196" s="53">
        <v>442</v>
      </c>
      <c r="AY196" s="40"/>
      <c r="AZ196" s="40"/>
      <c r="BI196" s="36"/>
      <c r="BJ196" s="36"/>
      <c r="BK196" s="37"/>
      <c r="BN196" s="16"/>
      <c r="BO196" s="16"/>
    </row>
    <row r="197" spans="1:67" s="67" customFormat="1" ht="16.5" customHeight="1" x14ac:dyDescent="0.25">
      <c r="A197" s="16"/>
      <c r="B197" s="68">
        <f>SUBTOTAL(103,$K$83:K197)</f>
        <v>114</v>
      </c>
      <c r="C197" s="53">
        <v>69</v>
      </c>
      <c r="D197" s="53" t="s">
        <v>2118</v>
      </c>
      <c r="E197" s="53" t="s">
        <v>19</v>
      </c>
      <c r="F197" s="53" t="s">
        <v>639</v>
      </c>
      <c r="G197" s="110" t="s">
        <v>4598</v>
      </c>
      <c r="H197" s="53" t="s">
        <v>4634</v>
      </c>
      <c r="I197" s="58" t="s">
        <v>2799</v>
      </c>
      <c r="J197" s="64" t="s">
        <v>1704</v>
      </c>
      <c r="K197" s="103" t="s">
        <v>4091</v>
      </c>
      <c r="L197" s="53" t="s">
        <v>170</v>
      </c>
      <c r="M197" s="68">
        <v>1</v>
      </c>
      <c r="N197" s="53" t="s">
        <v>150</v>
      </c>
      <c r="O197" s="70" t="s">
        <v>5026</v>
      </c>
      <c r="P197" s="53" t="s">
        <v>3891</v>
      </c>
      <c r="Q197" s="58"/>
      <c r="R197" s="53">
        <v>2025</v>
      </c>
      <c r="S197" s="53"/>
      <c r="T197" s="53"/>
      <c r="U197" s="53"/>
      <c r="V197" s="53" t="s">
        <v>2856</v>
      </c>
      <c r="W197" s="53" t="s">
        <v>818</v>
      </c>
      <c r="X197" s="197" t="s">
        <v>4091</v>
      </c>
      <c r="Y197" s="53" t="s">
        <v>2857</v>
      </c>
      <c r="Z197" s="53">
        <v>24.5</v>
      </c>
      <c r="AA197" s="58"/>
      <c r="AB197" s="188" t="s">
        <v>253</v>
      </c>
      <c r="AC197" s="58" t="s">
        <v>157</v>
      </c>
      <c r="AD197" s="58" t="s">
        <v>157</v>
      </c>
      <c r="AE197" s="58"/>
      <c r="AF197" s="58"/>
      <c r="AG197" s="58" t="s">
        <v>2858</v>
      </c>
      <c r="AH197" s="53"/>
      <c r="AI197" s="58"/>
      <c r="AJ197" s="156" t="s">
        <v>2859</v>
      </c>
      <c r="AK197" s="58" t="s">
        <v>2194</v>
      </c>
      <c r="AL197" s="63" t="s">
        <v>2860</v>
      </c>
      <c r="AM197" s="63" t="s">
        <v>2861</v>
      </c>
      <c r="AN197" s="219" t="s">
        <v>2862</v>
      </c>
      <c r="AO197" s="63"/>
      <c r="AP197" s="66"/>
      <c r="AT197" s="40"/>
      <c r="AU197" s="40"/>
      <c r="AV197" s="54">
        <v>7140202</v>
      </c>
      <c r="AW197" s="53">
        <v>443</v>
      </c>
      <c r="BJ197" s="40"/>
      <c r="BK197" s="40"/>
      <c r="BN197" s="16"/>
      <c r="BO197" s="16"/>
    </row>
    <row r="198" spans="1:67" s="67" customFormat="1" ht="16.5" customHeight="1" x14ac:dyDescent="0.25">
      <c r="A198" s="16"/>
      <c r="B198" s="68">
        <f>SUBTOTAL(103,$K$83:K198)</f>
        <v>115</v>
      </c>
      <c r="C198" s="53">
        <v>70</v>
      </c>
      <c r="D198" s="53" t="s">
        <v>2118</v>
      </c>
      <c r="E198" s="53" t="s">
        <v>19</v>
      </c>
      <c r="F198" s="53" t="s">
        <v>639</v>
      </c>
      <c r="G198" s="110" t="s">
        <v>4598</v>
      </c>
      <c r="H198" s="53" t="s">
        <v>4635</v>
      </c>
      <c r="I198" s="58" t="s">
        <v>2863</v>
      </c>
      <c r="J198" s="58" t="s">
        <v>573</v>
      </c>
      <c r="K198" s="103" t="s">
        <v>4092</v>
      </c>
      <c r="L198" s="53" t="s">
        <v>170</v>
      </c>
      <c r="M198" s="68">
        <v>1</v>
      </c>
      <c r="N198" s="53" t="s">
        <v>150</v>
      </c>
      <c r="O198" s="70" t="s">
        <v>5026</v>
      </c>
      <c r="P198" s="53" t="s">
        <v>3891</v>
      </c>
      <c r="Q198" s="58"/>
      <c r="R198" s="53">
        <v>2023</v>
      </c>
      <c r="S198" s="53"/>
      <c r="T198" s="123"/>
      <c r="U198" s="123"/>
      <c r="V198" s="123" t="s">
        <v>647</v>
      </c>
      <c r="W198" s="53" t="s">
        <v>236</v>
      </c>
      <c r="X198" s="103" t="s">
        <v>4092</v>
      </c>
      <c r="Y198" s="68" t="s">
        <v>879</v>
      </c>
      <c r="Z198" s="68">
        <v>25.1</v>
      </c>
      <c r="AA198" s="58"/>
      <c r="AB198" s="60" t="s">
        <v>2206</v>
      </c>
      <c r="AC198" s="58"/>
      <c r="AD198" s="58"/>
      <c r="AE198" s="58" t="s">
        <v>157</v>
      </c>
      <c r="AF198" s="58"/>
      <c r="AG198" s="64" t="s">
        <v>2864</v>
      </c>
      <c r="AH198" s="53"/>
      <c r="AI198" s="58"/>
      <c r="AJ198" s="184" t="s">
        <v>2865</v>
      </c>
      <c r="AK198" s="58" t="s">
        <v>2849</v>
      </c>
      <c r="AL198" s="63" t="s">
        <v>2866</v>
      </c>
      <c r="AM198" s="63" t="s">
        <v>2867</v>
      </c>
      <c r="AN198" s="216" t="s">
        <v>2868</v>
      </c>
      <c r="AO198" s="63" t="s">
        <v>2869</v>
      </c>
      <c r="AS198" s="66"/>
      <c r="AT198" s="40"/>
      <c r="AU198" s="40"/>
      <c r="AV198" s="54">
        <v>7140202</v>
      </c>
      <c r="AW198" s="53">
        <v>444</v>
      </c>
      <c r="AY198" s="40"/>
      <c r="AZ198" s="40"/>
      <c r="BI198" s="36"/>
      <c r="BJ198" s="36"/>
      <c r="BK198" s="37"/>
      <c r="BN198" s="16"/>
      <c r="BO198" s="16"/>
    </row>
    <row r="199" spans="1:67" s="67" customFormat="1" ht="16.5" customHeight="1" x14ac:dyDescent="0.25">
      <c r="A199" s="16"/>
      <c r="B199" s="68">
        <f>SUBTOTAL(103,$K$83:K199)</f>
        <v>116</v>
      </c>
      <c r="C199" s="53">
        <v>71</v>
      </c>
      <c r="D199" s="53" t="s">
        <v>2118</v>
      </c>
      <c r="E199" s="53" t="s">
        <v>19</v>
      </c>
      <c r="F199" s="53" t="s">
        <v>639</v>
      </c>
      <c r="G199" s="110" t="s">
        <v>4598</v>
      </c>
      <c r="H199" s="53" t="s">
        <v>4636</v>
      </c>
      <c r="I199" s="58" t="s">
        <v>2870</v>
      </c>
      <c r="J199" s="58" t="s">
        <v>421</v>
      </c>
      <c r="K199" s="99" t="s">
        <v>4432</v>
      </c>
      <c r="L199" s="53" t="s">
        <v>170</v>
      </c>
      <c r="M199" s="68">
        <v>1</v>
      </c>
      <c r="N199" s="53" t="s">
        <v>150</v>
      </c>
      <c r="O199" s="70" t="s">
        <v>5026</v>
      </c>
      <c r="P199" s="53" t="s">
        <v>3891</v>
      </c>
      <c r="Q199" s="58"/>
      <c r="R199" s="53">
        <v>2021</v>
      </c>
      <c r="S199" s="99"/>
      <c r="T199" s="123"/>
      <c r="U199" s="123"/>
      <c r="V199" s="99" t="s">
        <v>328</v>
      </c>
      <c r="W199" s="53" t="s">
        <v>236</v>
      </c>
      <c r="X199" s="139">
        <v>37804</v>
      </c>
      <c r="Y199" s="68" t="s">
        <v>2871</v>
      </c>
      <c r="Z199" s="124" t="s">
        <v>2872</v>
      </c>
      <c r="AA199" s="58"/>
      <c r="AB199" s="60" t="s">
        <v>253</v>
      </c>
      <c r="AC199" s="58"/>
      <c r="AD199" s="58"/>
      <c r="AE199" s="58" t="s">
        <v>157</v>
      </c>
      <c r="AF199" s="58"/>
      <c r="AG199" s="64" t="s">
        <v>2873</v>
      </c>
      <c r="AH199" s="53" t="s">
        <v>155</v>
      </c>
      <c r="AI199" s="58" t="s">
        <v>2428</v>
      </c>
      <c r="AJ199" s="223" t="s">
        <v>2874</v>
      </c>
      <c r="AK199" s="58" t="s">
        <v>253</v>
      </c>
      <c r="AL199" s="63" t="s">
        <v>2411</v>
      </c>
      <c r="AM199" s="63" t="s">
        <v>2875</v>
      </c>
      <c r="AN199" s="224" t="s">
        <v>2876</v>
      </c>
      <c r="AO199" s="102"/>
      <c r="AP199" s="44"/>
      <c r="AQ199" s="221"/>
      <c r="AR199" s="66"/>
      <c r="AS199" s="66"/>
      <c r="AT199" s="40"/>
      <c r="AU199" s="40"/>
      <c r="AV199" s="54">
        <v>7140202</v>
      </c>
      <c r="AW199" s="53">
        <v>445</v>
      </c>
      <c r="AY199" s="40"/>
      <c r="AZ199" s="40"/>
      <c r="BI199" s="36"/>
      <c r="BJ199" s="36"/>
      <c r="BK199" s="37"/>
      <c r="BN199" s="16"/>
      <c r="BO199" s="16"/>
    </row>
    <row r="200" spans="1:67" s="67" customFormat="1" ht="16.5" customHeight="1" x14ac:dyDescent="0.25">
      <c r="A200" s="16"/>
      <c r="B200" s="68">
        <f>SUBTOTAL(103,$K$83:K200)</f>
        <v>117</v>
      </c>
      <c r="C200" s="53">
        <v>72</v>
      </c>
      <c r="D200" s="53" t="s">
        <v>2118</v>
      </c>
      <c r="E200" s="53" t="s">
        <v>19</v>
      </c>
      <c r="F200" s="53" t="s">
        <v>639</v>
      </c>
      <c r="G200" s="110" t="s">
        <v>4598</v>
      </c>
      <c r="H200" s="53" t="s">
        <v>4637</v>
      </c>
      <c r="I200" s="58" t="s">
        <v>2877</v>
      </c>
      <c r="J200" s="58" t="s">
        <v>421</v>
      </c>
      <c r="K200" s="103" t="s">
        <v>4093</v>
      </c>
      <c r="L200" s="53" t="s">
        <v>170</v>
      </c>
      <c r="M200" s="68">
        <v>1</v>
      </c>
      <c r="N200" s="53" t="s">
        <v>150</v>
      </c>
      <c r="O200" s="70" t="s">
        <v>5026</v>
      </c>
      <c r="P200" s="53" t="s">
        <v>3891</v>
      </c>
      <c r="Q200" s="58"/>
      <c r="R200" s="53">
        <v>2023</v>
      </c>
      <c r="S200" s="53"/>
      <c r="T200" s="53"/>
      <c r="U200" s="53"/>
      <c r="V200" s="53" t="s">
        <v>647</v>
      </c>
      <c r="W200" s="53" t="s">
        <v>236</v>
      </c>
      <c r="X200" s="197" t="s">
        <v>4093</v>
      </c>
      <c r="Y200" s="53" t="s">
        <v>2857</v>
      </c>
      <c r="Z200" s="53">
        <v>24.77</v>
      </c>
      <c r="AA200" s="58"/>
      <c r="AB200" s="60" t="s">
        <v>2807</v>
      </c>
      <c r="AC200" s="58" t="s">
        <v>157</v>
      </c>
      <c r="AD200" s="58" t="s">
        <v>157</v>
      </c>
      <c r="AE200" s="58"/>
      <c r="AF200" s="58"/>
      <c r="AG200" s="58" t="s">
        <v>2878</v>
      </c>
      <c r="AH200" s="53"/>
      <c r="AI200" s="58"/>
      <c r="AJ200" s="218" t="s">
        <v>2879</v>
      </c>
      <c r="AK200" s="58" t="s">
        <v>253</v>
      </c>
      <c r="AL200" s="63" t="s">
        <v>2880</v>
      </c>
      <c r="AM200" s="63" t="s">
        <v>2881</v>
      </c>
      <c r="AN200" s="219" t="s">
        <v>2882</v>
      </c>
      <c r="AO200" s="63"/>
      <c r="AP200" s="66"/>
      <c r="AT200" s="40"/>
      <c r="AU200" s="40"/>
      <c r="AV200" s="54">
        <v>7140202</v>
      </c>
      <c r="AW200" s="53">
        <v>446</v>
      </c>
      <c r="BJ200" s="40"/>
      <c r="BK200" s="40"/>
      <c r="BN200" s="16"/>
      <c r="BO200" s="16"/>
    </row>
    <row r="201" spans="1:67" s="67" customFormat="1" ht="16.5" customHeight="1" x14ac:dyDescent="0.25">
      <c r="A201" s="16"/>
      <c r="B201" s="68">
        <f>SUBTOTAL(103,$K$83:K201)</f>
        <v>118</v>
      </c>
      <c r="C201" s="53">
        <v>73</v>
      </c>
      <c r="D201" s="53" t="s">
        <v>2118</v>
      </c>
      <c r="E201" s="53" t="s">
        <v>19</v>
      </c>
      <c r="F201" s="53" t="s">
        <v>639</v>
      </c>
      <c r="G201" s="110" t="s">
        <v>4598</v>
      </c>
      <c r="H201" s="53" t="s">
        <v>4638</v>
      </c>
      <c r="I201" s="58" t="s">
        <v>2883</v>
      </c>
      <c r="J201" s="58" t="s">
        <v>1968</v>
      </c>
      <c r="K201" s="103" t="s">
        <v>4094</v>
      </c>
      <c r="L201" s="53" t="s">
        <v>170</v>
      </c>
      <c r="M201" s="68">
        <v>1</v>
      </c>
      <c r="N201" s="53" t="s">
        <v>150</v>
      </c>
      <c r="O201" s="70" t="s">
        <v>5026</v>
      </c>
      <c r="P201" s="53" t="s">
        <v>3891</v>
      </c>
      <c r="Q201" s="58"/>
      <c r="R201" s="53">
        <v>2025</v>
      </c>
      <c r="S201" s="53"/>
      <c r="T201" s="53"/>
      <c r="U201" s="53"/>
      <c r="V201" s="53" t="s">
        <v>1241</v>
      </c>
      <c r="W201" s="53" t="s">
        <v>818</v>
      </c>
      <c r="X201" s="57" t="s">
        <v>4094</v>
      </c>
      <c r="Y201" s="53" t="s">
        <v>2871</v>
      </c>
      <c r="Z201" s="53" t="s">
        <v>2884</v>
      </c>
      <c r="AA201" s="58"/>
      <c r="AB201" s="60" t="s">
        <v>253</v>
      </c>
      <c r="AC201" s="58" t="s">
        <v>157</v>
      </c>
      <c r="AD201" s="58" t="s">
        <v>157</v>
      </c>
      <c r="AE201" s="58"/>
      <c r="AF201" s="58"/>
      <c r="AG201" s="58" t="s">
        <v>2885</v>
      </c>
      <c r="AH201" s="53"/>
      <c r="AI201" s="58"/>
      <c r="AJ201" s="218" t="s">
        <v>2886</v>
      </c>
      <c r="AK201" s="58" t="s">
        <v>253</v>
      </c>
      <c r="AL201" s="63" t="s">
        <v>2887</v>
      </c>
      <c r="AM201" s="63" t="s">
        <v>2888</v>
      </c>
      <c r="AN201" s="219" t="s">
        <v>2889</v>
      </c>
      <c r="AO201" s="63"/>
      <c r="AP201" s="66"/>
      <c r="AT201" s="40"/>
      <c r="AU201" s="40"/>
      <c r="AV201" s="54">
        <v>7140202</v>
      </c>
      <c r="AW201" s="53">
        <v>447</v>
      </c>
      <c r="BJ201" s="40"/>
      <c r="BK201" s="40"/>
      <c r="BN201" s="16"/>
      <c r="BO201" s="16"/>
    </row>
    <row r="202" spans="1:67" s="67" customFormat="1" ht="16.5" customHeight="1" x14ac:dyDescent="0.25">
      <c r="A202" s="16"/>
      <c r="B202" s="68">
        <f>SUBTOTAL(103,$K$83:K202)</f>
        <v>119</v>
      </c>
      <c r="C202" s="53">
        <v>74</v>
      </c>
      <c r="D202" s="53" t="s">
        <v>2118</v>
      </c>
      <c r="E202" s="53" t="s">
        <v>19</v>
      </c>
      <c r="F202" s="53" t="s">
        <v>639</v>
      </c>
      <c r="G202" s="110" t="s">
        <v>4598</v>
      </c>
      <c r="H202" s="53" t="s">
        <v>4639</v>
      </c>
      <c r="I202" s="58" t="s">
        <v>2890</v>
      </c>
      <c r="J202" s="64" t="s">
        <v>1026</v>
      </c>
      <c r="K202" s="103" t="s">
        <v>4095</v>
      </c>
      <c r="L202" s="53" t="s">
        <v>170</v>
      </c>
      <c r="M202" s="68">
        <v>1</v>
      </c>
      <c r="N202" s="53" t="s">
        <v>150</v>
      </c>
      <c r="O202" s="70" t="s">
        <v>5026</v>
      </c>
      <c r="P202" s="53" t="s">
        <v>3891</v>
      </c>
      <c r="Q202" s="58"/>
      <c r="R202" s="53">
        <v>2022</v>
      </c>
      <c r="S202" s="53"/>
      <c r="T202" s="53"/>
      <c r="U202" s="53"/>
      <c r="V202" s="53" t="s">
        <v>2040</v>
      </c>
      <c r="W202" s="53" t="s">
        <v>236</v>
      </c>
      <c r="X202" s="103" t="s">
        <v>4095</v>
      </c>
      <c r="Y202" s="68" t="s">
        <v>1070</v>
      </c>
      <c r="Z202" s="68">
        <v>25.37</v>
      </c>
      <c r="AA202" s="58"/>
      <c r="AB202" s="60" t="s">
        <v>988</v>
      </c>
      <c r="AC202" s="58"/>
      <c r="AD202" s="58"/>
      <c r="AE202" s="58" t="s">
        <v>157</v>
      </c>
      <c r="AF202" s="58"/>
      <c r="AG202" s="64" t="s">
        <v>2891</v>
      </c>
      <c r="AH202" s="53"/>
      <c r="AI202" s="58"/>
      <c r="AJ202" s="184" t="s">
        <v>2892</v>
      </c>
      <c r="AK202" s="64" t="s">
        <v>988</v>
      </c>
      <c r="AL202" s="102" t="s">
        <v>2893</v>
      </c>
      <c r="AM202" s="63" t="s">
        <v>2894</v>
      </c>
      <c r="AN202" s="185" t="s">
        <v>2895</v>
      </c>
      <c r="AO202" s="63"/>
      <c r="AS202" s="66"/>
      <c r="AT202" s="40"/>
      <c r="AU202" s="40"/>
      <c r="AV202" s="54">
        <v>7140202</v>
      </c>
      <c r="AW202" s="53">
        <v>448</v>
      </c>
      <c r="AY202" s="40"/>
      <c r="AZ202" s="40"/>
      <c r="BI202" s="36"/>
      <c r="BJ202" s="36"/>
      <c r="BK202" s="37"/>
      <c r="BN202" s="16"/>
      <c r="BO202" s="16"/>
    </row>
    <row r="203" spans="1:67" s="67" customFormat="1" ht="16.5" customHeight="1" x14ac:dyDescent="0.25">
      <c r="A203" s="16"/>
      <c r="B203" s="68">
        <f>SUBTOTAL(103,$K$83:K203)</f>
        <v>120</v>
      </c>
      <c r="C203" s="53">
        <v>75</v>
      </c>
      <c r="D203" s="53" t="s">
        <v>2118</v>
      </c>
      <c r="E203" s="110" t="s">
        <v>19</v>
      </c>
      <c r="F203" s="110" t="s">
        <v>639</v>
      </c>
      <c r="G203" s="110" t="s">
        <v>4598</v>
      </c>
      <c r="H203" s="53" t="s">
        <v>4640</v>
      </c>
      <c r="I203" s="108" t="s">
        <v>1253</v>
      </c>
      <c r="J203" s="108" t="s">
        <v>565</v>
      </c>
      <c r="K203" s="338" t="s">
        <v>4096</v>
      </c>
      <c r="L203" s="110" t="s">
        <v>170</v>
      </c>
      <c r="M203" s="68">
        <v>1</v>
      </c>
      <c r="N203" s="110" t="s">
        <v>150</v>
      </c>
      <c r="O203" s="70" t="s">
        <v>5026</v>
      </c>
      <c r="P203" s="53" t="s">
        <v>3891</v>
      </c>
      <c r="Q203" s="58"/>
      <c r="R203" s="110">
        <v>2018</v>
      </c>
      <c r="S203" s="110"/>
      <c r="T203" s="110"/>
      <c r="U203" s="110"/>
      <c r="V203" s="110" t="s">
        <v>801</v>
      </c>
      <c r="W203" s="110" t="s">
        <v>236</v>
      </c>
      <c r="X203" s="138" t="s">
        <v>4096</v>
      </c>
      <c r="Y203" s="110" t="s">
        <v>686</v>
      </c>
      <c r="Z203" s="110" t="s">
        <v>2896</v>
      </c>
      <c r="AA203" s="58"/>
      <c r="AB203" s="187" t="s">
        <v>2150</v>
      </c>
      <c r="AC203" s="108" t="s">
        <v>157</v>
      </c>
      <c r="AD203" s="108" t="s">
        <v>157</v>
      </c>
      <c r="AE203" s="108"/>
      <c r="AF203" s="53" t="s">
        <v>2150</v>
      </c>
      <c r="AG203" s="108" t="s">
        <v>2897</v>
      </c>
      <c r="AH203" s="110"/>
      <c r="AI203" s="108" t="s">
        <v>2898</v>
      </c>
      <c r="AJ203" s="115" t="s">
        <v>2899</v>
      </c>
      <c r="AK203" s="108" t="s">
        <v>2150</v>
      </c>
      <c r="AL203" s="112" t="s">
        <v>2492</v>
      </c>
      <c r="AM203" s="108" t="s">
        <v>2900</v>
      </c>
      <c r="AN203" s="113" t="s">
        <v>2901</v>
      </c>
      <c r="AO203" s="112" t="s">
        <v>2533</v>
      </c>
      <c r="AP203" s="114"/>
      <c r="AQ203" s="114"/>
      <c r="AR203" s="40"/>
      <c r="AS203" s="40"/>
      <c r="AT203" s="40"/>
      <c r="AV203" s="54">
        <v>7140202</v>
      </c>
      <c r="AW203" s="53">
        <v>449</v>
      </c>
      <c r="BJ203" s="40"/>
      <c r="BK203" s="40"/>
      <c r="BN203" s="16"/>
      <c r="BO203" s="16"/>
    </row>
    <row r="204" spans="1:67" s="67" customFormat="1" ht="16.5" customHeight="1" x14ac:dyDescent="0.25">
      <c r="A204" s="16"/>
      <c r="B204" s="68">
        <f>SUBTOTAL(103,$K$83:K204)</f>
        <v>121</v>
      </c>
      <c r="C204" s="53">
        <v>76</v>
      </c>
      <c r="D204" s="53" t="s">
        <v>2118</v>
      </c>
      <c r="E204" s="110" t="s">
        <v>19</v>
      </c>
      <c r="F204" s="110" t="s">
        <v>639</v>
      </c>
      <c r="G204" s="110" t="s">
        <v>4598</v>
      </c>
      <c r="H204" s="53" t="s">
        <v>4641</v>
      </c>
      <c r="I204" s="108" t="s">
        <v>458</v>
      </c>
      <c r="J204" s="108" t="s">
        <v>2902</v>
      </c>
      <c r="K204" s="144" t="s">
        <v>4097</v>
      </c>
      <c r="L204" s="110" t="s">
        <v>170</v>
      </c>
      <c r="M204" s="68">
        <v>1</v>
      </c>
      <c r="N204" s="110" t="s">
        <v>150</v>
      </c>
      <c r="O204" s="70" t="s">
        <v>5026</v>
      </c>
      <c r="P204" s="53" t="s">
        <v>3891</v>
      </c>
      <c r="Q204" s="58"/>
      <c r="R204" s="110">
        <v>2021</v>
      </c>
      <c r="S204" s="110"/>
      <c r="T204" s="110"/>
      <c r="U204" s="110"/>
      <c r="V204" s="110" t="s">
        <v>986</v>
      </c>
      <c r="W204" s="110" t="s">
        <v>236</v>
      </c>
      <c r="X204" s="109" t="s">
        <v>4097</v>
      </c>
      <c r="Y204" s="110" t="s">
        <v>686</v>
      </c>
      <c r="Z204" s="110" t="s">
        <v>2903</v>
      </c>
      <c r="AA204" s="58"/>
      <c r="AB204" s="187" t="s">
        <v>2298</v>
      </c>
      <c r="AC204" s="108" t="s">
        <v>157</v>
      </c>
      <c r="AD204" s="108" t="s">
        <v>157</v>
      </c>
      <c r="AE204" s="108"/>
      <c r="AF204" s="53" t="s">
        <v>253</v>
      </c>
      <c r="AG204" s="108" t="s">
        <v>2904</v>
      </c>
      <c r="AH204" s="110"/>
      <c r="AI204" s="108"/>
      <c r="AJ204" s="130" t="s">
        <v>2905</v>
      </c>
      <c r="AK204" s="108" t="s">
        <v>2298</v>
      </c>
      <c r="AL204" s="112" t="s">
        <v>2621</v>
      </c>
      <c r="AM204" s="112" t="s">
        <v>2906</v>
      </c>
      <c r="AN204" s="129" t="s">
        <v>2907</v>
      </c>
      <c r="AO204" s="112" t="s">
        <v>2908</v>
      </c>
      <c r="AP204" s="114"/>
      <c r="AQ204" s="114"/>
      <c r="AR204" s="40"/>
      <c r="AS204" s="40"/>
      <c r="AT204" s="40"/>
      <c r="AV204" s="54">
        <v>7140202</v>
      </c>
      <c r="AW204" s="53">
        <v>450</v>
      </c>
      <c r="BJ204" s="40"/>
      <c r="BK204" s="40"/>
      <c r="BN204" s="16"/>
      <c r="BO204" s="16"/>
    </row>
    <row r="205" spans="1:67" s="67" customFormat="1" ht="16.5" customHeight="1" x14ac:dyDescent="0.25">
      <c r="A205" s="16"/>
      <c r="B205" s="68">
        <f>SUBTOTAL(103,$K$83:K205)</f>
        <v>122</v>
      </c>
      <c r="C205" s="53">
        <v>77</v>
      </c>
      <c r="D205" s="53" t="s">
        <v>2118</v>
      </c>
      <c r="E205" s="53" t="s">
        <v>19</v>
      </c>
      <c r="F205" s="53" t="s">
        <v>639</v>
      </c>
      <c r="G205" s="110" t="s">
        <v>4598</v>
      </c>
      <c r="H205" s="53" t="s">
        <v>4642</v>
      </c>
      <c r="I205" s="64" t="s">
        <v>2909</v>
      </c>
      <c r="J205" s="64" t="s">
        <v>1316</v>
      </c>
      <c r="K205" s="103" t="s">
        <v>4098</v>
      </c>
      <c r="L205" s="53" t="s">
        <v>170</v>
      </c>
      <c r="M205" s="68">
        <v>1</v>
      </c>
      <c r="N205" s="53" t="s">
        <v>150</v>
      </c>
      <c r="O205" s="70" t="s">
        <v>5026</v>
      </c>
      <c r="P205" s="53" t="s">
        <v>3891</v>
      </c>
      <c r="Q205" s="58"/>
      <c r="R205" s="53">
        <v>2024</v>
      </c>
      <c r="S205" s="53"/>
      <c r="T205" s="123"/>
      <c r="U205" s="99"/>
      <c r="V205" s="99" t="s">
        <v>607</v>
      </c>
      <c r="W205" s="53" t="s">
        <v>236</v>
      </c>
      <c r="X205" s="103" t="s">
        <v>4098</v>
      </c>
      <c r="Y205" s="68" t="s">
        <v>694</v>
      </c>
      <c r="Z205" s="68">
        <v>24.8</v>
      </c>
      <c r="AA205" s="58"/>
      <c r="AB205" s="188" t="s">
        <v>2206</v>
      </c>
      <c r="AC205" s="64"/>
      <c r="AD205" s="64"/>
      <c r="AE205" s="64" t="s">
        <v>157</v>
      </c>
      <c r="AF205" s="64"/>
      <c r="AG205" s="64" t="s">
        <v>2910</v>
      </c>
      <c r="AH205" s="53"/>
      <c r="AI205" s="58"/>
      <c r="AJ205" s="184" t="s">
        <v>2911</v>
      </c>
      <c r="AK205" s="64" t="s">
        <v>2206</v>
      </c>
      <c r="AL205" s="102" t="s">
        <v>2912</v>
      </c>
      <c r="AM205" s="63" t="s">
        <v>2913</v>
      </c>
      <c r="AN205" s="185" t="s">
        <v>2914</v>
      </c>
      <c r="AO205" s="63"/>
      <c r="AR205" s="66"/>
      <c r="AS205" s="66"/>
      <c r="AT205" s="40"/>
      <c r="AU205" s="40"/>
      <c r="AV205" s="54">
        <v>7140202</v>
      </c>
      <c r="AW205" s="53">
        <v>451</v>
      </c>
      <c r="AY205" s="40"/>
      <c r="AZ205" s="40"/>
      <c r="BI205" s="36"/>
      <c r="BJ205" s="36"/>
      <c r="BK205" s="37"/>
      <c r="BN205" s="16"/>
      <c r="BO205" s="16"/>
    </row>
    <row r="206" spans="1:67" s="67" customFormat="1" ht="16.5" customHeight="1" x14ac:dyDescent="0.25">
      <c r="A206" s="16"/>
      <c r="B206" s="68">
        <f>SUBTOTAL(103,$K$83:K206)</f>
        <v>123</v>
      </c>
      <c r="C206" s="53">
        <v>78</v>
      </c>
      <c r="D206" s="53" t="s">
        <v>2118</v>
      </c>
      <c r="E206" s="53" t="s">
        <v>19</v>
      </c>
      <c r="F206" s="53" t="s">
        <v>639</v>
      </c>
      <c r="G206" s="110" t="s">
        <v>4598</v>
      </c>
      <c r="H206" s="53" t="s">
        <v>4643</v>
      </c>
      <c r="I206" s="58" t="s">
        <v>524</v>
      </c>
      <c r="J206" s="64" t="s">
        <v>440</v>
      </c>
      <c r="K206" s="103" t="s">
        <v>4099</v>
      </c>
      <c r="L206" s="53" t="s">
        <v>170</v>
      </c>
      <c r="M206" s="68">
        <v>1</v>
      </c>
      <c r="N206" s="53" t="s">
        <v>150</v>
      </c>
      <c r="O206" s="70" t="s">
        <v>5026</v>
      </c>
      <c r="P206" s="53" t="s">
        <v>3891</v>
      </c>
      <c r="Q206" s="58"/>
      <c r="R206" s="53">
        <v>2004</v>
      </c>
      <c r="S206" s="99"/>
      <c r="T206" s="123"/>
      <c r="U206" s="99"/>
      <c r="V206" s="99" t="s">
        <v>607</v>
      </c>
      <c r="W206" s="53" t="s">
        <v>236</v>
      </c>
      <c r="X206" s="103" t="s">
        <v>4099</v>
      </c>
      <c r="Y206" s="68" t="s">
        <v>2915</v>
      </c>
      <c r="Z206" s="124" t="s">
        <v>2916</v>
      </c>
      <c r="AA206" s="58"/>
      <c r="AB206" s="188" t="s">
        <v>322</v>
      </c>
      <c r="AC206" s="64"/>
      <c r="AD206" s="64"/>
      <c r="AE206" s="64" t="s">
        <v>157</v>
      </c>
      <c r="AF206" s="64"/>
      <c r="AG206" s="64" t="s">
        <v>2917</v>
      </c>
      <c r="AH206" s="53" t="s">
        <v>155</v>
      </c>
      <c r="AI206" s="64" t="s">
        <v>2918</v>
      </c>
      <c r="AJ206" s="156" t="s">
        <v>2919</v>
      </c>
      <c r="AK206" s="64" t="s">
        <v>322</v>
      </c>
      <c r="AL206" s="63" t="s">
        <v>2920</v>
      </c>
      <c r="AM206" s="63" t="s">
        <v>2921</v>
      </c>
      <c r="AN206" s="219" t="s">
        <v>2922</v>
      </c>
      <c r="AO206" s="225"/>
      <c r="AQ206" s="193"/>
      <c r="AS206" s="66"/>
      <c r="AT206" s="40"/>
      <c r="AU206" s="40"/>
      <c r="AV206" s="54">
        <v>7140202</v>
      </c>
      <c r="AW206" s="53">
        <v>452</v>
      </c>
      <c r="AY206" s="40"/>
      <c r="AZ206" s="40"/>
      <c r="BI206" s="36"/>
      <c r="BJ206" s="36"/>
      <c r="BK206" s="37"/>
      <c r="BN206" s="16"/>
      <c r="BO206" s="16"/>
    </row>
    <row r="207" spans="1:67" s="67" customFormat="1" ht="16.5" customHeight="1" x14ac:dyDescent="0.25">
      <c r="A207" s="16"/>
      <c r="B207" s="68">
        <f>SUBTOTAL(103,$K$83:K207)</f>
        <v>124</v>
      </c>
      <c r="C207" s="53">
        <v>79</v>
      </c>
      <c r="D207" s="53" t="s">
        <v>2118</v>
      </c>
      <c r="E207" s="110" t="s">
        <v>19</v>
      </c>
      <c r="F207" s="110" t="s">
        <v>639</v>
      </c>
      <c r="G207" s="110" t="s">
        <v>4598</v>
      </c>
      <c r="H207" s="53" t="s">
        <v>4644</v>
      </c>
      <c r="I207" s="108" t="s">
        <v>2923</v>
      </c>
      <c r="J207" s="108" t="s">
        <v>440</v>
      </c>
      <c r="K207" s="144" t="s">
        <v>4100</v>
      </c>
      <c r="L207" s="110" t="s">
        <v>170</v>
      </c>
      <c r="M207" s="68">
        <v>1</v>
      </c>
      <c r="N207" s="110" t="s">
        <v>150</v>
      </c>
      <c r="O207" s="70" t="s">
        <v>5026</v>
      </c>
      <c r="P207" s="53" t="s">
        <v>3891</v>
      </c>
      <c r="Q207" s="58"/>
      <c r="R207" s="110">
        <v>2020</v>
      </c>
      <c r="S207" s="110"/>
      <c r="T207" s="110"/>
      <c r="U207" s="110"/>
      <c r="V207" s="110" t="s">
        <v>647</v>
      </c>
      <c r="W207" s="110" t="s">
        <v>236</v>
      </c>
      <c r="X207" s="109" t="s">
        <v>4100</v>
      </c>
      <c r="Y207" s="110" t="s">
        <v>2924</v>
      </c>
      <c r="Z207" s="110" t="s">
        <v>2925</v>
      </c>
      <c r="AA207" s="58"/>
      <c r="AB207" s="187" t="s">
        <v>858</v>
      </c>
      <c r="AC207" s="108" t="s">
        <v>157</v>
      </c>
      <c r="AD207" s="108" t="s">
        <v>157</v>
      </c>
      <c r="AE207" s="108"/>
      <c r="AF207" s="53" t="s">
        <v>858</v>
      </c>
      <c r="AG207" s="108" t="s">
        <v>2926</v>
      </c>
      <c r="AH207" s="110"/>
      <c r="AI207" s="108" t="s">
        <v>2927</v>
      </c>
      <c r="AJ207" s="130" t="s">
        <v>2928</v>
      </c>
      <c r="AK207" s="108" t="s">
        <v>858</v>
      </c>
      <c r="AL207" s="112" t="s">
        <v>2929</v>
      </c>
      <c r="AM207" s="112" t="s">
        <v>2930</v>
      </c>
      <c r="AN207" s="129" t="s">
        <v>2931</v>
      </c>
      <c r="AO207" s="112"/>
      <c r="AP207" s="114"/>
      <c r="AQ207" s="114"/>
      <c r="AR207" s="40"/>
      <c r="AS207" s="40"/>
      <c r="AT207" s="40"/>
      <c r="AV207" s="54">
        <v>7140202</v>
      </c>
      <c r="AW207" s="53">
        <v>453</v>
      </c>
      <c r="BJ207" s="40"/>
      <c r="BK207" s="40"/>
      <c r="BN207" s="16"/>
      <c r="BO207" s="16"/>
    </row>
    <row r="208" spans="1:67" s="67" customFormat="1" ht="16.5" customHeight="1" x14ac:dyDescent="0.25">
      <c r="A208" s="16"/>
      <c r="B208" s="68">
        <f>SUBTOTAL(103,$K$83:K208)</f>
        <v>125</v>
      </c>
      <c r="C208" s="53">
        <v>80</v>
      </c>
      <c r="D208" s="53" t="s">
        <v>2118</v>
      </c>
      <c r="E208" s="53" t="s">
        <v>19</v>
      </c>
      <c r="F208" s="53" t="s">
        <v>639</v>
      </c>
      <c r="G208" s="110" t="s">
        <v>4598</v>
      </c>
      <c r="H208" s="53" t="s">
        <v>4645</v>
      </c>
      <c r="I208" s="58" t="s">
        <v>2932</v>
      </c>
      <c r="J208" s="58" t="s">
        <v>589</v>
      </c>
      <c r="K208" s="103" t="s">
        <v>4101</v>
      </c>
      <c r="L208" s="53" t="s">
        <v>170</v>
      </c>
      <c r="M208" s="68">
        <v>1</v>
      </c>
      <c r="N208" s="53" t="s">
        <v>2434</v>
      </c>
      <c r="O208" s="70" t="s">
        <v>5026</v>
      </c>
      <c r="P208" s="53" t="s">
        <v>3891</v>
      </c>
      <c r="Q208" s="58"/>
      <c r="R208" s="53">
        <v>2023</v>
      </c>
      <c r="S208" s="53"/>
      <c r="T208" s="53"/>
      <c r="U208" s="53"/>
      <c r="V208" s="53" t="s">
        <v>647</v>
      </c>
      <c r="W208" s="53" t="s">
        <v>236</v>
      </c>
      <c r="X208" s="57" t="s">
        <v>4101</v>
      </c>
      <c r="Y208" s="53" t="s">
        <v>819</v>
      </c>
      <c r="Z208" s="53">
        <v>23.5</v>
      </c>
      <c r="AA208" s="58"/>
      <c r="AB208" s="60" t="s">
        <v>2307</v>
      </c>
      <c r="AC208" s="58" t="s">
        <v>157</v>
      </c>
      <c r="AD208" s="58" t="s">
        <v>157</v>
      </c>
      <c r="AE208" s="58"/>
      <c r="AF208" s="58"/>
      <c r="AG208" s="58" t="s">
        <v>2933</v>
      </c>
      <c r="AH208" s="53"/>
      <c r="AI208" s="58"/>
      <c r="AJ208" s="218" t="s">
        <v>2934</v>
      </c>
      <c r="AK208" s="58" t="s">
        <v>2307</v>
      </c>
      <c r="AL208" s="63" t="s">
        <v>2935</v>
      </c>
      <c r="AM208" s="63" t="s">
        <v>2936</v>
      </c>
      <c r="AN208" s="219" t="s">
        <v>2937</v>
      </c>
      <c r="AO208" s="63"/>
      <c r="AP208" s="66"/>
      <c r="AT208" s="40"/>
      <c r="AU208" s="40"/>
      <c r="AV208" s="54">
        <v>7140202</v>
      </c>
      <c r="AW208" s="53">
        <v>454</v>
      </c>
      <c r="BJ208" s="40"/>
      <c r="BK208" s="40"/>
      <c r="BN208" s="16"/>
      <c r="BO208" s="16"/>
    </row>
    <row r="209" spans="1:67" s="67" customFormat="1" ht="16.5" customHeight="1" x14ac:dyDescent="0.25">
      <c r="A209" s="16"/>
      <c r="B209" s="68">
        <f>SUBTOTAL(103,$K$83:K209)</f>
        <v>126</v>
      </c>
      <c r="C209" s="53">
        <v>81</v>
      </c>
      <c r="D209" s="53" t="s">
        <v>2118</v>
      </c>
      <c r="E209" s="53" t="s">
        <v>19</v>
      </c>
      <c r="F209" s="53" t="s">
        <v>639</v>
      </c>
      <c r="G209" s="110" t="s">
        <v>4598</v>
      </c>
      <c r="H209" s="53" t="s">
        <v>4646</v>
      </c>
      <c r="I209" s="64" t="s">
        <v>2938</v>
      </c>
      <c r="J209" s="64" t="s">
        <v>1712</v>
      </c>
      <c r="K209" s="103" t="s">
        <v>4102</v>
      </c>
      <c r="L209" s="53" t="s">
        <v>170</v>
      </c>
      <c r="M209" s="68">
        <v>1</v>
      </c>
      <c r="N209" s="53" t="s">
        <v>150</v>
      </c>
      <c r="O209" s="70" t="s">
        <v>5026</v>
      </c>
      <c r="P209" s="53" t="s">
        <v>3891</v>
      </c>
      <c r="Q209" s="58"/>
      <c r="R209" s="53">
        <v>2025</v>
      </c>
      <c r="S209" s="53"/>
      <c r="T209" s="53"/>
      <c r="U209" s="53"/>
      <c r="V209" s="53" t="s">
        <v>2939</v>
      </c>
      <c r="W209" s="53" t="s">
        <v>818</v>
      </c>
      <c r="X209" s="103" t="s">
        <v>4102</v>
      </c>
      <c r="Y209" s="53" t="s">
        <v>894</v>
      </c>
      <c r="Z209" s="53">
        <v>25.8</v>
      </c>
      <c r="AA209" s="58"/>
      <c r="AB209" s="188" t="s">
        <v>2298</v>
      </c>
      <c r="AC209" s="53" t="s">
        <v>157</v>
      </c>
      <c r="AD209" s="53" t="s">
        <v>157</v>
      </c>
      <c r="AE209" s="53"/>
      <c r="AF209" s="58"/>
      <c r="AG209" s="64" t="s">
        <v>2940</v>
      </c>
      <c r="AH209" s="53"/>
      <c r="AI209" s="53"/>
      <c r="AJ209" s="184" t="s">
        <v>2941</v>
      </c>
      <c r="AK209" s="64" t="s">
        <v>2298</v>
      </c>
      <c r="AL209" s="102" t="s">
        <v>2942</v>
      </c>
      <c r="AM209" s="79" t="s">
        <v>2943</v>
      </c>
      <c r="AN209" s="185" t="s">
        <v>2944</v>
      </c>
      <c r="AO209" s="102"/>
      <c r="AP209" s="66"/>
      <c r="AT209" s="40"/>
      <c r="AU209" s="40"/>
      <c r="AV209" s="54">
        <v>7140202</v>
      </c>
      <c r="AW209" s="53">
        <v>455</v>
      </c>
      <c r="BJ209" s="40"/>
      <c r="BK209" s="40"/>
      <c r="BN209" s="16"/>
      <c r="BO209" s="16"/>
    </row>
    <row r="210" spans="1:67" s="67" customFormat="1" ht="16.5" customHeight="1" x14ac:dyDescent="0.25">
      <c r="A210" s="16"/>
      <c r="B210" s="68">
        <f>SUBTOTAL(103,$K$83:K210)</f>
        <v>127</v>
      </c>
      <c r="C210" s="53">
        <v>82</v>
      </c>
      <c r="D210" s="53" t="s">
        <v>2118</v>
      </c>
      <c r="E210" s="53" t="s">
        <v>19</v>
      </c>
      <c r="F210" s="53" t="s">
        <v>639</v>
      </c>
      <c r="G210" s="110" t="s">
        <v>4598</v>
      </c>
      <c r="H210" s="53" t="s">
        <v>4647</v>
      </c>
      <c r="I210" s="64" t="s">
        <v>2945</v>
      </c>
      <c r="J210" s="64" t="s">
        <v>2946</v>
      </c>
      <c r="K210" s="103" t="s">
        <v>4103</v>
      </c>
      <c r="L210" s="53" t="s">
        <v>170</v>
      </c>
      <c r="M210" s="68">
        <v>1</v>
      </c>
      <c r="N210" s="53" t="s">
        <v>150</v>
      </c>
      <c r="O210" s="70" t="s">
        <v>5026</v>
      </c>
      <c r="P210" s="53" t="s">
        <v>3891</v>
      </c>
      <c r="Q210" s="58"/>
      <c r="R210" s="53">
        <v>2016</v>
      </c>
      <c r="S210" s="53"/>
      <c r="T210" s="123"/>
      <c r="U210" s="99"/>
      <c r="V210" s="99" t="s">
        <v>693</v>
      </c>
      <c r="W210" s="53" t="s">
        <v>236</v>
      </c>
      <c r="X210" s="103" t="s">
        <v>4103</v>
      </c>
      <c r="Y210" s="68" t="s">
        <v>686</v>
      </c>
      <c r="Z210" s="68">
        <v>22.2</v>
      </c>
      <c r="AA210" s="58"/>
      <c r="AB210" s="188" t="s">
        <v>156</v>
      </c>
      <c r="AC210" s="58"/>
      <c r="AD210" s="58"/>
      <c r="AE210" s="58" t="s">
        <v>157</v>
      </c>
      <c r="AF210" s="58"/>
      <c r="AG210" s="64" t="s">
        <v>2947</v>
      </c>
      <c r="AH210" s="53" t="s">
        <v>155</v>
      </c>
      <c r="AI210" s="64" t="s">
        <v>1832</v>
      </c>
      <c r="AJ210" s="184" t="s">
        <v>2948</v>
      </c>
      <c r="AK210" s="64" t="s">
        <v>156</v>
      </c>
      <c r="AL210" s="102" t="s">
        <v>495</v>
      </c>
      <c r="AM210" s="58" t="s">
        <v>2949</v>
      </c>
      <c r="AN210" s="185" t="s">
        <v>2950</v>
      </c>
      <c r="AO210" s="63"/>
      <c r="AR210" s="66"/>
      <c r="AS210" s="66"/>
      <c r="AT210" s="40"/>
      <c r="AV210" s="54">
        <v>7140202</v>
      </c>
      <c r="AW210" s="53">
        <v>456</v>
      </c>
      <c r="BJ210" s="40"/>
      <c r="BK210" s="40"/>
      <c r="BN210" s="16"/>
      <c r="BO210" s="16"/>
    </row>
    <row r="211" spans="1:67" s="67" customFormat="1" ht="16.5" customHeight="1" x14ac:dyDescent="0.25">
      <c r="A211" s="16"/>
      <c r="B211" s="68">
        <f>SUBTOTAL(103,$K$83:K211)</f>
        <v>128</v>
      </c>
      <c r="C211" s="53">
        <v>83</v>
      </c>
      <c r="D211" s="53" t="s">
        <v>2118</v>
      </c>
      <c r="E211" s="53" t="s">
        <v>19</v>
      </c>
      <c r="F211" s="53" t="s">
        <v>639</v>
      </c>
      <c r="G211" s="110" t="s">
        <v>4598</v>
      </c>
      <c r="H211" s="53" t="s">
        <v>4648</v>
      </c>
      <c r="I211" s="58" t="s">
        <v>2951</v>
      </c>
      <c r="J211" s="64" t="s">
        <v>342</v>
      </c>
      <c r="K211" s="103" t="s">
        <v>4104</v>
      </c>
      <c r="L211" s="53" t="s">
        <v>170</v>
      </c>
      <c r="M211" s="68">
        <v>1</v>
      </c>
      <c r="N211" s="53" t="s">
        <v>150</v>
      </c>
      <c r="O211" s="70" t="s">
        <v>5026</v>
      </c>
      <c r="P211" s="53" t="s">
        <v>3891</v>
      </c>
      <c r="Q211" s="58"/>
      <c r="R211" s="99" t="s">
        <v>431</v>
      </c>
      <c r="S211" s="53"/>
      <c r="T211" s="123"/>
      <c r="U211" s="99"/>
      <c r="V211" s="99" t="s">
        <v>779</v>
      </c>
      <c r="W211" s="53" t="s">
        <v>236</v>
      </c>
      <c r="X211" s="103" t="s">
        <v>4104</v>
      </c>
      <c r="Y211" s="68" t="s">
        <v>694</v>
      </c>
      <c r="Z211" s="124" t="s">
        <v>2952</v>
      </c>
      <c r="AA211" s="58"/>
      <c r="AB211" s="188" t="s">
        <v>2527</v>
      </c>
      <c r="AC211" s="64"/>
      <c r="AD211" s="64"/>
      <c r="AE211" s="64" t="s">
        <v>157</v>
      </c>
      <c r="AF211" s="64"/>
      <c r="AG211" s="64" t="s">
        <v>2953</v>
      </c>
      <c r="AH211" s="53"/>
      <c r="AI211" s="58"/>
      <c r="AJ211" s="184" t="s">
        <v>2954</v>
      </c>
      <c r="AK211" s="64" t="s">
        <v>2529</v>
      </c>
      <c r="AL211" s="63" t="s">
        <v>2955</v>
      </c>
      <c r="AM211" s="122" t="s">
        <v>2956</v>
      </c>
      <c r="AN211" s="185" t="s">
        <v>2957</v>
      </c>
      <c r="AO211" s="225"/>
      <c r="AQ211" s="193"/>
      <c r="AR211" s="66"/>
      <c r="AS211" s="66"/>
      <c r="AT211" s="40"/>
      <c r="AU211" s="40"/>
      <c r="AV211" s="54">
        <v>7140202</v>
      </c>
      <c r="AW211" s="53">
        <v>457</v>
      </c>
      <c r="AY211" s="40"/>
      <c r="AZ211" s="40"/>
      <c r="BI211" s="36"/>
      <c r="BJ211" s="36"/>
      <c r="BK211" s="37"/>
      <c r="BN211" s="16"/>
      <c r="BO211" s="16"/>
    </row>
    <row r="212" spans="1:67" s="67" customFormat="1" ht="16.5" customHeight="1" x14ac:dyDescent="0.25">
      <c r="A212" s="16"/>
      <c r="B212" s="68">
        <f>SUBTOTAL(103,$K$83:K212)</f>
        <v>129</v>
      </c>
      <c r="C212" s="53">
        <v>84</v>
      </c>
      <c r="D212" s="53" t="s">
        <v>2118</v>
      </c>
      <c r="E212" s="53" t="s">
        <v>19</v>
      </c>
      <c r="F212" s="53" t="s">
        <v>639</v>
      </c>
      <c r="G212" s="110" t="s">
        <v>4598</v>
      </c>
      <c r="H212" s="53" t="s">
        <v>4649</v>
      </c>
      <c r="I212" s="58" t="s">
        <v>2958</v>
      </c>
      <c r="J212" s="58" t="s">
        <v>342</v>
      </c>
      <c r="K212" s="99" t="s">
        <v>4105</v>
      </c>
      <c r="L212" s="53" t="s">
        <v>170</v>
      </c>
      <c r="M212" s="68">
        <v>1</v>
      </c>
      <c r="N212" s="53" t="s">
        <v>150</v>
      </c>
      <c r="O212" s="70" t="s">
        <v>5026</v>
      </c>
      <c r="P212" s="53" t="s">
        <v>3891</v>
      </c>
      <c r="Q212" s="58"/>
      <c r="R212" s="53">
        <v>2018</v>
      </c>
      <c r="S212" s="53"/>
      <c r="T212" s="53"/>
      <c r="U212" s="99"/>
      <c r="V212" s="99" t="s">
        <v>2040</v>
      </c>
      <c r="W212" s="53" t="s">
        <v>236</v>
      </c>
      <c r="X212" s="139" t="s">
        <v>4105</v>
      </c>
      <c r="Y212" s="68" t="s">
        <v>2841</v>
      </c>
      <c r="Z212" s="68">
        <v>27.12</v>
      </c>
      <c r="AA212" s="58"/>
      <c r="AB212" s="60" t="s">
        <v>2849</v>
      </c>
      <c r="AC212" s="58"/>
      <c r="AD212" s="58"/>
      <c r="AE212" s="58" t="s">
        <v>157</v>
      </c>
      <c r="AF212" s="58"/>
      <c r="AG212" s="64" t="s">
        <v>2959</v>
      </c>
      <c r="AH212" s="53" t="s">
        <v>155</v>
      </c>
      <c r="AI212" s="58" t="s">
        <v>2960</v>
      </c>
      <c r="AJ212" s="101" t="s">
        <v>2961</v>
      </c>
      <c r="AK212" s="58" t="s">
        <v>2206</v>
      </c>
      <c r="AL212" s="58" t="s">
        <v>2642</v>
      </c>
      <c r="AM212" s="58" t="s">
        <v>2962</v>
      </c>
      <c r="AN212" s="103" t="s">
        <v>2963</v>
      </c>
      <c r="AO212" s="64"/>
      <c r="AP212" s="44"/>
      <c r="AQ212" s="44"/>
      <c r="AS212" s="64"/>
      <c r="AT212" s="58"/>
      <c r="AU212" s="201"/>
      <c r="AV212" s="54">
        <v>7140202</v>
      </c>
      <c r="AW212" s="53">
        <v>458</v>
      </c>
      <c r="BJ212" s="40"/>
      <c r="BK212" s="40"/>
      <c r="BN212" s="16"/>
      <c r="BO212" s="16"/>
    </row>
    <row r="213" spans="1:67" s="67" customFormat="1" ht="16.5" customHeight="1" x14ac:dyDescent="0.25">
      <c r="A213" s="16"/>
      <c r="B213" s="68">
        <f>SUBTOTAL(103,$K$83:K213)</f>
        <v>130</v>
      </c>
      <c r="C213" s="53">
        <v>85</v>
      </c>
      <c r="D213" s="53" t="s">
        <v>2118</v>
      </c>
      <c r="E213" s="110" t="s">
        <v>19</v>
      </c>
      <c r="F213" s="110" t="s">
        <v>639</v>
      </c>
      <c r="G213" s="110" t="s">
        <v>4598</v>
      </c>
      <c r="H213" s="53" t="s">
        <v>4650</v>
      </c>
      <c r="I213" s="108" t="s">
        <v>2964</v>
      </c>
      <c r="J213" s="108" t="s">
        <v>1377</v>
      </c>
      <c r="K213" s="144" t="s">
        <v>4106</v>
      </c>
      <c r="L213" s="110" t="s">
        <v>149</v>
      </c>
      <c r="M213" s="53">
        <v>0</v>
      </c>
      <c r="N213" s="110" t="s">
        <v>150</v>
      </c>
      <c r="O213" s="70" t="s">
        <v>5026</v>
      </c>
      <c r="P213" s="53" t="s">
        <v>3891</v>
      </c>
      <c r="Q213" s="58"/>
      <c r="R213" s="110">
        <v>2018</v>
      </c>
      <c r="S213" s="110"/>
      <c r="T213" s="110"/>
      <c r="U213" s="110"/>
      <c r="V213" s="110" t="s">
        <v>647</v>
      </c>
      <c r="W213" s="110" t="s">
        <v>236</v>
      </c>
      <c r="X213" s="109" t="s">
        <v>4106</v>
      </c>
      <c r="Y213" s="110" t="s">
        <v>694</v>
      </c>
      <c r="Z213" s="110" t="s">
        <v>2965</v>
      </c>
      <c r="AA213" s="58"/>
      <c r="AB213" s="187" t="s">
        <v>2170</v>
      </c>
      <c r="AC213" s="108" t="s">
        <v>157</v>
      </c>
      <c r="AD213" s="70" t="s">
        <v>157</v>
      </c>
      <c r="AE213" s="108"/>
      <c r="AF213" s="53" t="s">
        <v>253</v>
      </c>
      <c r="AG213" s="108" t="s">
        <v>2966</v>
      </c>
      <c r="AH213" s="110"/>
      <c r="AI213" s="108" t="s">
        <v>2967</v>
      </c>
      <c r="AJ213" s="128" t="s">
        <v>2968</v>
      </c>
      <c r="AK213" s="108" t="s">
        <v>2529</v>
      </c>
      <c r="AL213" s="112" t="s">
        <v>2969</v>
      </c>
      <c r="AM213" s="108" t="s">
        <v>2970</v>
      </c>
      <c r="AN213" s="129" t="s">
        <v>2971</v>
      </c>
      <c r="AO213" s="112"/>
      <c r="AP213" s="114"/>
      <c r="AQ213" s="114"/>
      <c r="AR213" s="40"/>
      <c r="AS213" s="40"/>
      <c r="AT213" s="40"/>
      <c r="AV213" s="54">
        <v>7140202</v>
      </c>
      <c r="AW213" s="53">
        <v>460</v>
      </c>
      <c r="BJ213" s="40"/>
      <c r="BK213" s="40"/>
      <c r="BN213" s="16"/>
      <c r="BO213" s="16"/>
    </row>
    <row r="214" spans="1:67" s="67" customFormat="1" ht="16.5" customHeight="1" x14ac:dyDescent="0.25">
      <c r="A214" s="16"/>
      <c r="B214" s="68">
        <f>SUBTOTAL(103,$K$83:K214)</f>
        <v>131</v>
      </c>
      <c r="C214" s="53">
        <v>86</v>
      </c>
      <c r="D214" s="53" t="s">
        <v>2118</v>
      </c>
      <c r="E214" s="53" t="s">
        <v>19</v>
      </c>
      <c r="F214" s="53" t="s">
        <v>639</v>
      </c>
      <c r="G214" s="110" t="s">
        <v>4598</v>
      </c>
      <c r="H214" s="53" t="s">
        <v>4651</v>
      </c>
      <c r="I214" s="58" t="s">
        <v>2972</v>
      </c>
      <c r="J214" s="64" t="s">
        <v>872</v>
      </c>
      <c r="K214" s="103" t="s">
        <v>4107</v>
      </c>
      <c r="L214" s="53" t="s">
        <v>170</v>
      </c>
      <c r="M214" s="68">
        <v>1</v>
      </c>
      <c r="N214" s="53" t="s">
        <v>150</v>
      </c>
      <c r="O214" s="70" t="s">
        <v>5026</v>
      </c>
      <c r="P214" s="53" t="s">
        <v>3891</v>
      </c>
      <c r="Q214" s="58"/>
      <c r="R214" s="53">
        <v>2022</v>
      </c>
      <c r="S214" s="53"/>
      <c r="T214" s="53"/>
      <c r="U214" s="99"/>
      <c r="V214" s="99" t="s">
        <v>647</v>
      </c>
      <c r="W214" s="53" t="s">
        <v>236</v>
      </c>
      <c r="X214" s="103" t="s">
        <v>4107</v>
      </c>
      <c r="Y214" s="68" t="s">
        <v>857</v>
      </c>
      <c r="Z214" s="68">
        <v>25.6</v>
      </c>
      <c r="AA214" s="58"/>
      <c r="AB214" s="188" t="s">
        <v>1759</v>
      </c>
      <c r="AC214" s="64"/>
      <c r="AD214" s="64"/>
      <c r="AE214" s="64" t="s">
        <v>157</v>
      </c>
      <c r="AF214" s="64"/>
      <c r="AG214" s="64" t="s">
        <v>2973</v>
      </c>
      <c r="AH214" s="53"/>
      <c r="AI214" s="58"/>
      <c r="AJ214" s="156" t="s">
        <v>2974</v>
      </c>
      <c r="AK214" s="64" t="s">
        <v>1759</v>
      </c>
      <c r="AL214" s="63" t="s">
        <v>2975</v>
      </c>
      <c r="AM214" s="122" t="s">
        <v>2976</v>
      </c>
      <c r="AN214" s="219" t="s">
        <v>2977</v>
      </c>
      <c r="AO214" s="225" t="s">
        <v>2978</v>
      </c>
      <c r="AS214" s="66"/>
      <c r="AT214" s="40"/>
      <c r="AU214" s="40"/>
      <c r="AV214" s="54">
        <v>7140202</v>
      </c>
      <c r="AW214" s="53">
        <v>461</v>
      </c>
      <c r="AY214" s="40"/>
      <c r="AZ214" s="40"/>
      <c r="BI214" s="36"/>
      <c r="BJ214" s="36"/>
      <c r="BK214" s="37"/>
      <c r="BN214" s="16"/>
      <c r="BO214" s="16"/>
    </row>
    <row r="215" spans="1:67" s="67" customFormat="1" ht="16.5" customHeight="1" x14ac:dyDescent="0.25">
      <c r="A215" s="16"/>
      <c r="B215" s="68">
        <f>SUBTOTAL(103,$K$83:K215)</f>
        <v>132</v>
      </c>
      <c r="C215" s="53">
        <v>87</v>
      </c>
      <c r="D215" s="53" t="s">
        <v>2118</v>
      </c>
      <c r="E215" s="53" t="s">
        <v>19</v>
      </c>
      <c r="F215" s="53" t="s">
        <v>639</v>
      </c>
      <c r="G215" s="110" t="s">
        <v>4598</v>
      </c>
      <c r="H215" s="53" t="s">
        <v>4652</v>
      </c>
      <c r="I215" s="58" t="s">
        <v>2979</v>
      </c>
      <c r="J215" s="64" t="s">
        <v>304</v>
      </c>
      <c r="K215" s="103" t="s">
        <v>4090</v>
      </c>
      <c r="L215" s="53" t="s">
        <v>170</v>
      </c>
      <c r="M215" s="68">
        <v>1</v>
      </c>
      <c r="N215" s="53" t="s">
        <v>150</v>
      </c>
      <c r="O215" s="70" t="s">
        <v>5026</v>
      </c>
      <c r="P215" s="53" t="s">
        <v>3891</v>
      </c>
      <c r="Q215" s="58"/>
      <c r="R215" s="53">
        <v>2016</v>
      </c>
      <c r="S215" s="53"/>
      <c r="T215" s="53"/>
      <c r="U215" s="99"/>
      <c r="V215" s="99" t="s">
        <v>642</v>
      </c>
      <c r="W215" s="53" t="s">
        <v>236</v>
      </c>
      <c r="X215" s="103" t="s">
        <v>4090</v>
      </c>
      <c r="Y215" s="68" t="s">
        <v>2915</v>
      </c>
      <c r="Z215" s="68">
        <v>24.7</v>
      </c>
      <c r="AA215" s="58"/>
      <c r="AB215" s="188" t="s">
        <v>253</v>
      </c>
      <c r="AC215" s="58"/>
      <c r="AD215" s="58"/>
      <c r="AE215" s="58" t="s">
        <v>157</v>
      </c>
      <c r="AF215" s="58"/>
      <c r="AG215" s="64" t="s">
        <v>2873</v>
      </c>
      <c r="AH215" s="53" t="s">
        <v>155</v>
      </c>
      <c r="AI215" s="64" t="s">
        <v>2980</v>
      </c>
      <c r="AJ215" s="184" t="s">
        <v>2981</v>
      </c>
      <c r="AK215" s="58" t="s">
        <v>253</v>
      </c>
      <c r="AL215" s="63" t="s">
        <v>2411</v>
      </c>
      <c r="AM215" s="122" t="s">
        <v>2982</v>
      </c>
      <c r="AN215" s="185" t="s">
        <v>2983</v>
      </c>
      <c r="AO215" s="63"/>
      <c r="AR215" s="66"/>
      <c r="AS215" s="66"/>
      <c r="AV215" s="54">
        <v>7140202</v>
      </c>
      <c r="AW215" s="53">
        <v>462</v>
      </c>
      <c r="BJ215" s="40"/>
      <c r="BK215" s="40"/>
      <c r="BN215" s="16"/>
      <c r="BO215" s="16"/>
    </row>
    <row r="216" spans="1:67" s="67" customFormat="1" ht="16.5" customHeight="1" x14ac:dyDescent="0.25">
      <c r="A216" s="16"/>
      <c r="B216" s="68">
        <f>SUBTOTAL(103,$K$83:K216)</f>
        <v>133</v>
      </c>
      <c r="C216" s="53">
        <v>88</v>
      </c>
      <c r="D216" s="53" t="s">
        <v>2118</v>
      </c>
      <c r="E216" s="110" t="s">
        <v>19</v>
      </c>
      <c r="F216" s="110" t="s">
        <v>639</v>
      </c>
      <c r="G216" s="110" t="s">
        <v>4598</v>
      </c>
      <c r="H216" s="53" t="s">
        <v>4653</v>
      </c>
      <c r="I216" s="108" t="s">
        <v>2984</v>
      </c>
      <c r="J216" s="108" t="s">
        <v>304</v>
      </c>
      <c r="K216" s="144" t="s">
        <v>4108</v>
      </c>
      <c r="L216" s="110" t="s">
        <v>170</v>
      </c>
      <c r="M216" s="68">
        <v>1</v>
      </c>
      <c r="N216" s="110" t="s">
        <v>150</v>
      </c>
      <c r="O216" s="70" t="s">
        <v>5026</v>
      </c>
      <c r="P216" s="53" t="s">
        <v>3891</v>
      </c>
      <c r="Q216" s="58"/>
      <c r="R216" s="110">
        <v>2020</v>
      </c>
      <c r="S216" s="110"/>
      <c r="T216" s="110"/>
      <c r="U216" s="110"/>
      <c r="V216" s="110" t="s">
        <v>647</v>
      </c>
      <c r="W216" s="110" t="s">
        <v>236</v>
      </c>
      <c r="X216" s="109" t="s">
        <v>4108</v>
      </c>
      <c r="Y216" s="110" t="s">
        <v>857</v>
      </c>
      <c r="Z216" s="110" t="s">
        <v>2985</v>
      </c>
      <c r="AA216" s="58"/>
      <c r="AB216" s="187" t="s">
        <v>2298</v>
      </c>
      <c r="AC216" s="108" t="s">
        <v>157</v>
      </c>
      <c r="AD216" s="108" t="s">
        <v>157</v>
      </c>
      <c r="AE216" s="108"/>
      <c r="AF216" s="53" t="s">
        <v>253</v>
      </c>
      <c r="AG216" s="108" t="s">
        <v>2986</v>
      </c>
      <c r="AH216" s="110"/>
      <c r="AI216" s="108"/>
      <c r="AJ216" s="130" t="s">
        <v>2987</v>
      </c>
      <c r="AK216" s="108" t="s">
        <v>2298</v>
      </c>
      <c r="AL216" s="112" t="s">
        <v>2988</v>
      </c>
      <c r="AM216" s="116" t="s">
        <v>2989</v>
      </c>
      <c r="AN216" s="129" t="s">
        <v>2990</v>
      </c>
      <c r="AO216" s="112"/>
      <c r="AP216" s="114"/>
      <c r="AQ216" s="114"/>
      <c r="AR216" s="40"/>
      <c r="AS216" s="40"/>
      <c r="AT216" s="40"/>
      <c r="AV216" s="54">
        <v>7140202</v>
      </c>
      <c r="AW216" s="53">
        <v>463</v>
      </c>
      <c r="BJ216" s="40"/>
      <c r="BK216" s="40"/>
      <c r="BN216" s="16"/>
      <c r="BO216" s="16"/>
    </row>
    <row r="217" spans="1:67" s="67" customFormat="1" ht="16.5" customHeight="1" x14ac:dyDescent="0.25">
      <c r="A217" s="16"/>
      <c r="B217" s="68">
        <f>SUBTOTAL(103,$K$83:K217)</f>
        <v>134</v>
      </c>
      <c r="C217" s="53">
        <v>89</v>
      </c>
      <c r="D217" s="53" t="s">
        <v>2118</v>
      </c>
      <c r="E217" s="53" t="s">
        <v>19</v>
      </c>
      <c r="F217" s="53" t="s">
        <v>639</v>
      </c>
      <c r="G217" s="110" t="s">
        <v>4598</v>
      </c>
      <c r="H217" s="53" t="s">
        <v>4654</v>
      </c>
      <c r="I217" s="58" t="s">
        <v>2991</v>
      </c>
      <c r="J217" s="58" t="s">
        <v>304</v>
      </c>
      <c r="K217" s="103" t="s">
        <v>4109</v>
      </c>
      <c r="L217" s="53" t="s">
        <v>170</v>
      </c>
      <c r="M217" s="68">
        <v>1</v>
      </c>
      <c r="N217" s="53" t="s">
        <v>150</v>
      </c>
      <c r="O217" s="70" t="s">
        <v>5026</v>
      </c>
      <c r="P217" s="53" t="s">
        <v>3891</v>
      </c>
      <c r="Q217" s="58"/>
      <c r="R217" s="53">
        <v>2023</v>
      </c>
      <c r="S217" s="53"/>
      <c r="T217" s="53"/>
      <c r="U217" s="53"/>
      <c r="V217" s="53" t="s">
        <v>607</v>
      </c>
      <c r="W217" s="53" t="s">
        <v>236</v>
      </c>
      <c r="X217" s="57" t="s">
        <v>4109</v>
      </c>
      <c r="Y217" s="53" t="s">
        <v>2857</v>
      </c>
      <c r="Z217" s="53">
        <v>23.8</v>
      </c>
      <c r="AA217" s="58"/>
      <c r="AB217" s="60" t="s">
        <v>858</v>
      </c>
      <c r="AC217" s="58" t="s">
        <v>157</v>
      </c>
      <c r="AD217" s="58" t="s">
        <v>157</v>
      </c>
      <c r="AE217" s="58"/>
      <c r="AF217" s="58"/>
      <c r="AG217" s="58" t="s">
        <v>2814</v>
      </c>
      <c r="AH217" s="53"/>
      <c r="AI217" s="58"/>
      <c r="AJ217" s="218" t="s">
        <v>2992</v>
      </c>
      <c r="AK217" s="58" t="s">
        <v>2206</v>
      </c>
      <c r="AL217" s="63" t="s">
        <v>2816</v>
      </c>
      <c r="AM217" s="79" t="s">
        <v>2817</v>
      </c>
      <c r="AN217" s="219" t="s">
        <v>2993</v>
      </c>
      <c r="AO217" s="63"/>
      <c r="AP217" s="66"/>
      <c r="AT217" s="40"/>
      <c r="AU217" s="40"/>
      <c r="AV217" s="54">
        <v>7140202</v>
      </c>
      <c r="AW217" s="53">
        <v>464</v>
      </c>
      <c r="BJ217" s="40"/>
      <c r="BK217" s="40"/>
      <c r="BN217" s="16"/>
      <c r="BO217" s="16"/>
    </row>
    <row r="218" spans="1:67" s="67" customFormat="1" ht="16.5" customHeight="1" x14ac:dyDescent="0.25">
      <c r="A218" s="16"/>
      <c r="B218" s="68">
        <f>SUBTOTAL(103,$K$83:K218)</f>
        <v>135</v>
      </c>
      <c r="C218" s="53">
        <v>90</v>
      </c>
      <c r="D218" s="53" t="s">
        <v>2118</v>
      </c>
      <c r="E218" s="53" t="s">
        <v>19</v>
      </c>
      <c r="F218" s="53" t="s">
        <v>639</v>
      </c>
      <c r="G218" s="110" t="s">
        <v>4598</v>
      </c>
      <c r="H218" s="53" t="s">
        <v>4655</v>
      </c>
      <c r="I218" s="58" t="s">
        <v>2994</v>
      </c>
      <c r="J218" s="58" t="s">
        <v>304</v>
      </c>
      <c r="K218" s="103" t="s">
        <v>4110</v>
      </c>
      <c r="L218" s="53" t="s">
        <v>170</v>
      </c>
      <c r="M218" s="68">
        <v>1</v>
      </c>
      <c r="N218" s="53" t="s">
        <v>150</v>
      </c>
      <c r="O218" s="70" t="s">
        <v>5026</v>
      </c>
      <c r="P218" s="53" t="s">
        <v>3891</v>
      </c>
      <c r="Q218" s="58"/>
      <c r="R218" s="53">
        <v>2025</v>
      </c>
      <c r="S218" s="53"/>
      <c r="T218" s="53"/>
      <c r="U218" s="53"/>
      <c r="V218" s="53" t="s">
        <v>1555</v>
      </c>
      <c r="W218" s="53" t="s">
        <v>818</v>
      </c>
      <c r="X218" s="197" t="s">
        <v>4110</v>
      </c>
      <c r="Y218" s="53" t="s">
        <v>2871</v>
      </c>
      <c r="Z218" s="53" t="s">
        <v>2995</v>
      </c>
      <c r="AA218" s="58"/>
      <c r="AB218" s="60" t="s">
        <v>2233</v>
      </c>
      <c r="AC218" s="58" t="s">
        <v>157</v>
      </c>
      <c r="AD218" s="58" t="s">
        <v>157</v>
      </c>
      <c r="AE218" s="58"/>
      <c r="AF218" s="58"/>
      <c r="AG218" s="58" t="s">
        <v>2996</v>
      </c>
      <c r="AH218" s="53"/>
      <c r="AI218" s="58"/>
      <c r="AJ218" s="218" t="s">
        <v>2997</v>
      </c>
      <c r="AK218" s="58" t="s">
        <v>2233</v>
      </c>
      <c r="AL218" s="63" t="s">
        <v>2612</v>
      </c>
      <c r="AM218" s="64" t="s">
        <v>2998</v>
      </c>
      <c r="AN218" s="219" t="s">
        <v>2999</v>
      </c>
      <c r="AO218" s="63"/>
      <c r="AP218" s="66"/>
      <c r="AT218" s="40"/>
      <c r="AU218" s="40"/>
      <c r="AV218" s="54">
        <v>7140202</v>
      </c>
      <c r="AW218" s="53">
        <v>465</v>
      </c>
      <c r="BJ218" s="40"/>
      <c r="BK218" s="40"/>
      <c r="BN218" s="16"/>
      <c r="BO218" s="16"/>
    </row>
    <row r="219" spans="1:67" s="67" customFormat="1" ht="16.5" customHeight="1" x14ac:dyDescent="0.25">
      <c r="A219" s="16"/>
      <c r="B219" s="68">
        <f>SUBTOTAL(103,$K$83:K219)</f>
        <v>136</v>
      </c>
      <c r="C219" s="53">
        <v>91</v>
      </c>
      <c r="D219" s="53" t="s">
        <v>2118</v>
      </c>
      <c r="E219" s="53" t="s">
        <v>19</v>
      </c>
      <c r="F219" s="53" t="s">
        <v>639</v>
      </c>
      <c r="G219" s="110" t="s">
        <v>4598</v>
      </c>
      <c r="H219" s="53" t="s">
        <v>4656</v>
      </c>
      <c r="I219" s="58" t="s">
        <v>3000</v>
      </c>
      <c r="J219" s="58" t="s">
        <v>304</v>
      </c>
      <c r="K219" s="103" t="s">
        <v>4111</v>
      </c>
      <c r="L219" s="53" t="s">
        <v>170</v>
      </c>
      <c r="M219" s="68">
        <v>1</v>
      </c>
      <c r="N219" s="53" t="s">
        <v>150</v>
      </c>
      <c r="O219" s="70" t="s">
        <v>5026</v>
      </c>
      <c r="P219" s="53" t="s">
        <v>3891</v>
      </c>
      <c r="Q219" s="58"/>
      <c r="R219" s="53">
        <v>2025</v>
      </c>
      <c r="S219" s="53"/>
      <c r="T219" s="53"/>
      <c r="U219" s="53"/>
      <c r="V219" s="53" t="s">
        <v>3001</v>
      </c>
      <c r="W219" s="53" t="s">
        <v>818</v>
      </c>
      <c r="X219" s="57" t="s">
        <v>4111</v>
      </c>
      <c r="Y219" s="53" t="s">
        <v>2871</v>
      </c>
      <c r="Z219" s="53">
        <v>23.6</v>
      </c>
      <c r="AA219" s="58"/>
      <c r="AB219" s="60" t="s">
        <v>1136</v>
      </c>
      <c r="AC219" s="58" t="s">
        <v>157</v>
      </c>
      <c r="AD219" s="58" t="s">
        <v>157</v>
      </c>
      <c r="AE219" s="58"/>
      <c r="AF219" s="58"/>
      <c r="AG219" s="58" t="s">
        <v>3002</v>
      </c>
      <c r="AH219" s="53"/>
      <c r="AI219" s="58"/>
      <c r="AJ219" s="218" t="s">
        <v>3003</v>
      </c>
      <c r="AK219" s="58" t="s">
        <v>1136</v>
      </c>
      <c r="AL219" s="63" t="s">
        <v>2559</v>
      </c>
      <c r="AM219" s="122" t="s">
        <v>3004</v>
      </c>
      <c r="AN219" s="219" t="s">
        <v>3005</v>
      </c>
      <c r="AO219" s="63"/>
      <c r="AP219" s="66"/>
      <c r="AT219" s="40"/>
      <c r="AU219" s="40"/>
      <c r="AV219" s="54">
        <v>7140202</v>
      </c>
      <c r="AW219" s="53">
        <v>466</v>
      </c>
      <c r="BJ219" s="40"/>
      <c r="BK219" s="40"/>
      <c r="BN219" s="16"/>
      <c r="BO219" s="16"/>
    </row>
    <row r="220" spans="1:67" s="67" customFormat="1" ht="16.5" customHeight="1" x14ac:dyDescent="0.25">
      <c r="A220" s="16"/>
      <c r="B220" s="68">
        <f>SUBTOTAL(103,$K$83:K220)</f>
        <v>137</v>
      </c>
      <c r="C220" s="53">
        <v>92</v>
      </c>
      <c r="D220" s="53" t="s">
        <v>2118</v>
      </c>
      <c r="E220" s="53" t="s">
        <v>19</v>
      </c>
      <c r="F220" s="53" t="s">
        <v>639</v>
      </c>
      <c r="G220" s="110" t="s">
        <v>4598</v>
      </c>
      <c r="H220" s="53" t="s">
        <v>4657</v>
      </c>
      <c r="I220" s="58" t="s">
        <v>3006</v>
      </c>
      <c r="J220" s="58" t="s">
        <v>304</v>
      </c>
      <c r="K220" s="103" t="s">
        <v>4112</v>
      </c>
      <c r="L220" s="53" t="s">
        <v>170</v>
      </c>
      <c r="M220" s="68">
        <v>1</v>
      </c>
      <c r="N220" s="53" t="s">
        <v>150</v>
      </c>
      <c r="O220" s="70" t="s">
        <v>5026</v>
      </c>
      <c r="P220" s="53" t="s">
        <v>3891</v>
      </c>
      <c r="Q220" s="58"/>
      <c r="R220" s="53">
        <v>2025</v>
      </c>
      <c r="S220" s="53"/>
      <c r="T220" s="53"/>
      <c r="U220" s="53"/>
      <c r="V220" s="53" t="s">
        <v>3007</v>
      </c>
      <c r="W220" s="53" t="s">
        <v>818</v>
      </c>
      <c r="X220" s="197" t="s">
        <v>4112</v>
      </c>
      <c r="Y220" s="53" t="s">
        <v>3008</v>
      </c>
      <c r="Z220" s="53">
        <v>25.13</v>
      </c>
      <c r="AA220" s="58"/>
      <c r="AB220" s="60" t="s">
        <v>2211</v>
      </c>
      <c r="AC220" s="58" t="s">
        <v>157</v>
      </c>
      <c r="AD220" s="58" t="s">
        <v>157</v>
      </c>
      <c r="AE220" s="58"/>
      <c r="AF220" s="58"/>
      <c r="AG220" s="58" t="s">
        <v>3009</v>
      </c>
      <c r="AH220" s="53"/>
      <c r="AI220" s="58"/>
      <c r="AJ220" s="218" t="s">
        <v>3010</v>
      </c>
      <c r="AK220" s="58" t="s">
        <v>2211</v>
      </c>
      <c r="AL220" s="63" t="s">
        <v>3011</v>
      </c>
      <c r="AM220" s="122" t="s">
        <v>3012</v>
      </c>
      <c r="AN220" s="219" t="s">
        <v>3013</v>
      </c>
      <c r="AO220" s="63"/>
      <c r="AP220" s="66"/>
      <c r="AT220" s="40"/>
      <c r="AU220" s="40"/>
      <c r="AV220" s="54">
        <v>7140202</v>
      </c>
      <c r="AW220" s="53">
        <v>467</v>
      </c>
      <c r="BJ220" s="40"/>
      <c r="BK220" s="40"/>
      <c r="BN220" s="16"/>
      <c r="BO220" s="16"/>
    </row>
    <row r="221" spans="1:67" s="67" customFormat="1" ht="16.5" customHeight="1" x14ac:dyDescent="0.25">
      <c r="A221" s="16"/>
      <c r="B221" s="68">
        <f>SUBTOTAL(103,$K$83:K221)</f>
        <v>138</v>
      </c>
      <c r="C221" s="53">
        <v>93</v>
      </c>
      <c r="D221" s="53" t="s">
        <v>2118</v>
      </c>
      <c r="E221" s="53" t="s">
        <v>19</v>
      </c>
      <c r="F221" s="53" t="s">
        <v>639</v>
      </c>
      <c r="G221" s="110" t="s">
        <v>4598</v>
      </c>
      <c r="H221" s="53" t="s">
        <v>4658</v>
      </c>
      <c r="I221" s="58" t="s">
        <v>3014</v>
      </c>
      <c r="J221" s="58" t="s">
        <v>3015</v>
      </c>
      <c r="K221" s="103" t="s">
        <v>4113</v>
      </c>
      <c r="L221" s="68" t="s">
        <v>170</v>
      </c>
      <c r="M221" s="68">
        <v>1</v>
      </c>
      <c r="N221" s="68" t="s">
        <v>150</v>
      </c>
      <c r="O221" s="70" t="s">
        <v>5026</v>
      </c>
      <c r="P221" s="53" t="s">
        <v>3891</v>
      </c>
      <c r="Q221" s="58"/>
      <c r="R221" s="53">
        <v>2017</v>
      </c>
      <c r="S221" s="53"/>
      <c r="T221" s="53"/>
      <c r="U221" s="53"/>
      <c r="V221" s="53" t="s">
        <v>685</v>
      </c>
      <c r="W221" s="53" t="s">
        <v>236</v>
      </c>
      <c r="X221" s="197" t="s">
        <v>4113</v>
      </c>
      <c r="Y221" s="53" t="s">
        <v>2871</v>
      </c>
      <c r="Z221" s="53">
        <v>24.4</v>
      </c>
      <c r="AA221" s="58"/>
      <c r="AB221" s="60" t="s">
        <v>253</v>
      </c>
      <c r="AC221" s="58" t="s">
        <v>157</v>
      </c>
      <c r="AD221" s="58" t="s">
        <v>157</v>
      </c>
      <c r="AE221" s="58"/>
      <c r="AF221" s="58"/>
      <c r="AG221" s="58" t="s">
        <v>3016</v>
      </c>
      <c r="AH221" s="53"/>
      <c r="AI221" s="58" t="s">
        <v>3017</v>
      </c>
      <c r="AJ221" s="218" t="s">
        <v>3018</v>
      </c>
      <c r="AK221" s="58" t="s">
        <v>253</v>
      </c>
      <c r="AL221" s="63" t="s">
        <v>2411</v>
      </c>
      <c r="AM221" s="122" t="s">
        <v>3019</v>
      </c>
      <c r="AN221" s="219" t="s">
        <v>3020</v>
      </c>
      <c r="AO221" s="63"/>
      <c r="AP221" s="66"/>
      <c r="AT221" s="40"/>
      <c r="AU221" s="40"/>
      <c r="AV221" s="54">
        <v>7140202</v>
      </c>
      <c r="AW221" s="53">
        <v>468</v>
      </c>
      <c r="BJ221" s="40"/>
      <c r="BK221" s="40"/>
      <c r="BN221" s="16"/>
      <c r="BO221" s="16"/>
    </row>
    <row r="222" spans="1:67" s="67" customFormat="1" ht="16.5" customHeight="1" x14ac:dyDescent="0.25">
      <c r="A222" s="16"/>
      <c r="B222" s="68">
        <f>SUBTOTAL(103,$K$83:K222)</f>
        <v>139</v>
      </c>
      <c r="C222" s="53">
        <v>94</v>
      </c>
      <c r="D222" s="53" t="s">
        <v>2118</v>
      </c>
      <c r="E222" s="53" t="s">
        <v>19</v>
      </c>
      <c r="F222" s="53" t="s">
        <v>639</v>
      </c>
      <c r="G222" s="110" t="s">
        <v>4598</v>
      </c>
      <c r="H222" s="53" t="s">
        <v>4659</v>
      </c>
      <c r="I222" s="58" t="s">
        <v>3021</v>
      </c>
      <c r="J222" s="58" t="s">
        <v>2513</v>
      </c>
      <c r="K222" s="99" t="s">
        <v>4114</v>
      </c>
      <c r="L222" s="53" t="s">
        <v>170</v>
      </c>
      <c r="M222" s="68">
        <v>1</v>
      </c>
      <c r="N222" s="53" t="s">
        <v>150</v>
      </c>
      <c r="O222" s="70" t="s">
        <v>5026</v>
      </c>
      <c r="P222" s="53" t="s">
        <v>3891</v>
      </c>
      <c r="Q222" s="58"/>
      <c r="R222" s="53">
        <v>2020</v>
      </c>
      <c r="S222" s="99"/>
      <c r="T222" s="123"/>
      <c r="U222" s="99"/>
      <c r="V222" s="99" t="s">
        <v>328</v>
      </c>
      <c r="W222" s="53" t="s">
        <v>236</v>
      </c>
      <c r="X222" s="222" t="s">
        <v>4114</v>
      </c>
      <c r="Y222" s="68" t="s">
        <v>686</v>
      </c>
      <c r="Z222" s="124" t="s">
        <v>3022</v>
      </c>
      <c r="AA222" s="58"/>
      <c r="AB222" s="60" t="s">
        <v>1136</v>
      </c>
      <c r="AC222" s="58"/>
      <c r="AD222" s="58"/>
      <c r="AE222" s="58" t="s">
        <v>157</v>
      </c>
      <c r="AF222" s="58"/>
      <c r="AG222" s="64" t="s">
        <v>2430</v>
      </c>
      <c r="AH222" s="53" t="s">
        <v>155</v>
      </c>
      <c r="AI222" s="58" t="s">
        <v>3023</v>
      </c>
      <c r="AJ222" s="184" t="s">
        <v>3024</v>
      </c>
      <c r="AK222" s="58" t="s">
        <v>1136</v>
      </c>
      <c r="AL222" s="63" t="s">
        <v>3025</v>
      </c>
      <c r="AM222" s="122" t="s">
        <v>3026</v>
      </c>
      <c r="AN222" s="185" t="s">
        <v>3027</v>
      </c>
      <c r="AO222" s="225"/>
      <c r="AQ222" s="193"/>
      <c r="AR222" s="66"/>
      <c r="AS222" s="66"/>
      <c r="AV222" s="54">
        <v>7140202</v>
      </c>
      <c r="AW222" s="53">
        <v>469</v>
      </c>
      <c r="BJ222" s="40"/>
      <c r="BK222" s="40"/>
      <c r="BN222" s="16"/>
      <c r="BO222" s="16"/>
    </row>
    <row r="223" spans="1:67" s="67" customFormat="1" ht="16.5" customHeight="1" x14ac:dyDescent="0.25">
      <c r="A223" s="16"/>
      <c r="B223" s="68">
        <f>SUBTOTAL(103,$K$83:K223)</f>
        <v>140</v>
      </c>
      <c r="C223" s="53">
        <v>95</v>
      </c>
      <c r="D223" s="53" t="s">
        <v>2118</v>
      </c>
      <c r="E223" s="53" t="s">
        <v>19</v>
      </c>
      <c r="F223" s="53" t="s">
        <v>639</v>
      </c>
      <c r="G223" s="110" t="s">
        <v>4598</v>
      </c>
      <c r="H223" s="53" t="s">
        <v>4660</v>
      </c>
      <c r="I223" s="58" t="s">
        <v>3028</v>
      </c>
      <c r="J223" s="58" t="s">
        <v>2513</v>
      </c>
      <c r="K223" s="99" t="s">
        <v>4115</v>
      </c>
      <c r="L223" s="53" t="s">
        <v>170</v>
      </c>
      <c r="M223" s="68">
        <v>1</v>
      </c>
      <c r="N223" s="53" t="s">
        <v>150</v>
      </c>
      <c r="O223" s="70" t="s">
        <v>5026</v>
      </c>
      <c r="P223" s="53" t="s">
        <v>3891</v>
      </c>
      <c r="Q223" s="58"/>
      <c r="R223" s="53">
        <v>2018</v>
      </c>
      <c r="S223" s="53"/>
      <c r="T223" s="123"/>
      <c r="U223" s="99"/>
      <c r="V223" s="99" t="s">
        <v>693</v>
      </c>
      <c r="W223" s="53" t="s">
        <v>236</v>
      </c>
      <c r="X223" s="139" t="s">
        <v>4115</v>
      </c>
      <c r="Y223" s="68" t="s">
        <v>2841</v>
      </c>
      <c r="Z223" s="68">
        <v>22.8</v>
      </c>
      <c r="AA223" s="58"/>
      <c r="AB223" s="60" t="s">
        <v>2206</v>
      </c>
      <c r="AC223" s="58"/>
      <c r="AD223" s="58"/>
      <c r="AE223" s="58" t="s">
        <v>157</v>
      </c>
      <c r="AF223" s="58"/>
      <c r="AG223" s="64" t="s">
        <v>2959</v>
      </c>
      <c r="AH223" s="53" t="s">
        <v>155</v>
      </c>
      <c r="AI223" s="58" t="s">
        <v>3029</v>
      </c>
      <c r="AJ223" s="184" t="s">
        <v>3030</v>
      </c>
      <c r="AK223" s="63" t="s">
        <v>2206</v>
      </c>
      <c r="AL223" s="63" t="s">
        <v>2642</v>
      </c>
      <c r="AM223" s="122" t="s">
        <v>2962</v>
      </c>
      <c r="AN223" s="185" t="s">
        <v>3031</v>
      </c>
      <c r="AO223" s="102"/>
      <c r="AP223" s="44"/>
      <c r="AQ223" s="44"/>
      <c r="AS223" s="66"/>
      <c r="AV223" s="54">
        <v>7140202</v>
      </c>
      <c r="AW223" s="53">
        <v>470</v>
      </c>
      <c r="BJ223" s="40"/>
      <c r="BK223" s="40"/>
      <c r="BN223" s="16"/>
      <c r="BO223" s="16"/>
    </row>
    <row r="224" spans="1:67" s="67" customFormat="1" ht="16.5" customHeight="1" x14ac:dyDescent="0.25">
      <c r="A224" s="16"/>
      <c r="B224" s="68">
        <f>SUBTOTAL(103,$K$83:K224)</f>
        <v>141</v>
      </c>
      <c r="C224" s="53">
        <v>96</v>
      </c>
      <c r="D224" s="53" t="s">
        <v>2118</v>
      </c>
      <c r="E224" s="53" t="s">
        <v>19</v>
      </c>
      <c r="F224" s="53" t="s">
        <v>639</v>
      </c>
      <c r="G224" s="110" t="s">
        <v>4598</v>
      </c>
      <c r="H224" s="53" t="s">
        <v>4661</v>
      </c>
      <c r="I224" s="58" t="s">
        <v>3032</v>
      </c>
      <c r="J224" s="58" t="s">
        <v>2513</v>
      </c>
      <c r="K224" s="103" t="s">
        <v>4116</v>
      </c>
      <c r="L224" s="53" t="s">
        <v>170</v>
      </c>
      <c r="M224" s="68">
        <v>1</v>
      </c>
      <c r="N224" s="53" t="s">
        <v>150</v>
      </c>
      <c r="O224" s="70" t="s">
        <v>5026</v>
      </c>
      <c r="P224" s="53" t="s">
        <v>3891</v>
      </c>
      <c r="Q224" s="58"/>
      <c r="R224" s="53">
        <v>2018</v>
      </c>
      <c r="S224" s="53"/>
      <c r="T224" s="53"/>
      <c r="U224" s="53"/>
      <c r="V224" s="68" t="s">
        <v>2040</v>
      </c>
      <c r="W224" s="53" t="s">
        <v>236</v>
      </c>
      <c r="X224" s="57" t="s">
        <v>4116</v>
      </c>
      <c r="Y224" s="59" t="s">
        <v>694</v>
      </c>
      <c r="Z224" s="53" t="s">
        <v>2965</v>
      </c>
      <c r="AA224" s="58"/>
      <c r="AB224" s="60"/>
      <c r="AC224" s="58" t="s">
        <v>157</v>
      </c>
      <c r="AD224" s="58" t="s">
        <v>157</v>
      </c>
      <c r="AE224" s="58"/>
      <c r="AF224" s="53"/>
      <c r="AG224" s="58" t="s">
        <v>3033</v>
      </c>
      <c r="AH224" s="53"/>
      <c r="AI224" s="58" t="s">
        <v>3034</v>
      </c>
      <c r="AJ224" s="167" t="s">
        <v>3035</v>
      </c>
      <c r="AK224" s="62" t="s">
        <v>253</v>
      </c>
      <c r="AL224" s="63" t="s">
        <v>2831</v>
      </c>
      <c r="AM224" s="79" t="s">
        <v>3036</v>
      </c>
      <c r="AN224" s="157" t="s">
        <v>3037</v>
      </c>
      <c r="AO224" s="102" t="s">
        <v>835</v>
      </c>
      <c r="AP224" s="66"/>
      <c r="AQ224" s="67" t="s">
        <v>3038</v>
      </c>
      <c r="AU224" s="40"/>
      <c r="AV224" s="54">
        <v>7140202</v>
      </c>
      <c r="AW224" s="53">
        <v>471</v>
      </c>
      <c r="BJ224" s="40"/>
      <c r="BK224" s="40"/>
      <c r="BN224" s="16"/>
      <c r="BO224" s="16"/>
    </row>
    <row r="225" spans="1:67" s="67" customFormat="1" ht="16.5" customHeight="1" x14ac:dyDescent="0.25">
      <c r="A225" s="16"/>
      <c r="B225" s="68">
        <f>SUBTOTAL(103,$K$83:K225)</f>
        <v>142</v>
      </c>
      <c r="C225" s="53">
        <v>97</v>
      </c>
      <c r="D225" s="53" t="s">
        <v>2118</v>
      </c>
      <c r="E225" s="53" t="s">
        <v>19</v>
      </c>
      <c r="F225" s="53" t="s">
        <v>639</v>
      </c>
      <c r="G225" s="110" t="s">
        <v>4598</v>
      </c>
      <c r="H225" s="53" t="s">
        <v>4662</v>
      </c>
      <c r="I225" s="58" t="s">
        <v>3039</v>
      </c>
      <c r="J225" s="58" t="s">
        <v>2513</v>
      </c>
      <c r="K225" s="103" t="s">
        <v>4117</v>
      </c>
      <c r="L225" s="68" t="s">
        <v>170</v>
      </c>
      <c r="M225" s="68">
        <v>1</v>
      </c>
      <c r="N225" s="68" t="s">
        <v>150</v>
      </c>
      <c r="O225" s="70" t="s">
        <v>5026</v>
      </c>
      <c r="P225" s="53" t="s">
        <v>3891</v>
      </c>
      <c r="Q225" s="58"/>
      <c r="R225" s="53">
        <v>2017</v>
      </c>
      <c r="S225" s="53"/>
      <c r="T225" s="53"/>
      <c r="U225" s="53"/>
      <c r="V225" s="53" t="s">
        <v>607</v>
      </c>
      <c r="W225" s="53" t="s">
        <v>236</v>
      </c>
      <c r="X225" s="57" t="s">
        <v>4117</v>
      </c>
      <c r="Y225" s="53" t="s">
        <v>2857</v>
      </c>
      <c r="Z225" s="53">
        <v>25.7</v>
      </c>
      <c r="AA225" s="58"/>
      <c r="AB225" s="60" t="s">
        <v>253</v>
      </c>
      <c r="AC225" s="58" t="s">
        <v>157</v>
      </c>
      <c r="AD225" s="58" t="s">
        <v>157</v>
      </c>
      <c r="AE225" s="58"/>
      <c r="AF225" s="58"/>
      <c r="AG225" s="58" t="s">
        <v>3040</v>
      </c>
      <c r="AH225" s="53"/>
      <c r="AI225" s="58" t="s">
        <v>3041</v>
      </c>
      <c r="AJ225" s="218" t="s">
        <v>3042</v>
      </c>
      <c r="AK225" s="63" t="s">
        <v>253</v>
      </c>
      <c r="AL225" s="63" t="s">
        <v>3043</v>
      </c>
      <c r="AM225" s="79" t="s">
        <v>3044</v>
      </c>
      <c r="AN225" s="219" t="s">
        <v>3045</v>
      </c>
      <c r="AO225" s="63"/>
      <c r="AP225" s="66"/>
      <c r="AT225" s="40"/>
      <c r="AU225" s="40"/>
      <c r="AV225" s="54">
        <v>7140202</v>
      </c>
      <c r="AW225" s="53">
        <v>472</v>
      </c>
      <c r="BJ225" s="40"/>
      <c r="BK225" s="40"/>
      <c r="BN225" s="16"/>
      <c r="BO225" s="16"/>
    </row>
    <row r="226" spans="1:67" s="67" customFormat="1" ht="16.5" customHeight="1" x14ac:dyDescent="0.25">
      <c r="A226" s="16"/>
      <c r="B226" s="68">
        <f>SUBTOTAL(103,$K$83:K226)</f>
        <v>143</v>
      </c>
      <c r="C226" s="53">
        <v>98</v>
      </c>
      <c r="D226" s="53" t="s">
        <v>2118</v>
      </c>
      <c r="E226" s="53" t="s">
        <v>19</v>
      </c>
      <c r="F226" s="53" t="s">
        <v>639</v>
      </c>
      <c r="G226" s="110" t="s">
        <v>4598</v>
      </c>
      <c r="H226" s="53" t="s">
        <v>4663</v>
      </c>
      <c r="I226" s="58" t="s">
        <v>3046</v>
      </c>
      <c r="J226" s="58" t="s">
        <v>2513</v>
      </c>
      <c r="K226" s="103" t="s">
        <v>4118</v>
      </c>
      <c r="L226" s="68" t="s">
        <v>170</v>
      </c>
      <c r="M226" s="68">
        <v>1</v>
      </c>
      <c r="N226" s="68" t="s">
        <v>150</v>
      </c>
      <c r="O226" s="70" t="s">
        <v>5026</v>
      </c>
      <c r="P226" s="53" t="s">
        <v>3891</v>
      </c>
      <c r="Q226" s="58"/>
      <c r="R226" s="53">
        <v>2018</v>
      </c>
      <c r="S226" s="53"/>
      <c r="T226" s="53"/>
      <c r="U226" s="53"/>
      <c r="V226" s="53" t="s">
        <v>328</v>
      </c>
      <c r="W226" s="53" t="s">
        <v>236</v>
      </c>
      <c r="X226" s="119" t="s">
        <v>4118</v>
      </c>
      <c r="Y226" s="53" t="s">
        <v>894</v>
      </c>
      <c r="Z226" s="53">
        <v>23.8</v>
      </c>
      <c r="AA226" s="58"/>
      <c r="AB226" s="60" t="s">
        <v>2186</v>
      </c>
      <c r="AC226" s="58" t="s">
        <v>157</v>
      </c>
      <c r="AD226" s="58" t="s">
        <v>157</v>
      </c>
      <c r="AE226" s="58"/>
      <c r="AF226" s="58"/>
      <c r="AG226" s="58" t="s">
        <v>3047</v>
      </c>
      <c r="AH226" s="53"/>
      <c r="AI226" s="58" t="s">
        <v>3048</v>
      </c>
      <c r="AJ226" s="218" t="s">
        <v>3049</v>
      </c>
      <c r="AK226" s="58" t="s">
        <v>2186</v>
      </c>
      <c r="AL226" s="63" t="s">
        <v>3050</v>
      </c>
      <c r="AM226" s="122" t="s">
        <v>3051</v>
      </c>
      <c r="AN226" s="219" t="s">
        <v>3052</v>
      </c>
      <c r="AO226" s="63"/>
      <c r="AP226" s="66"/>
      <c r="AT226" s="40"/>
      <c r="AU226" s="40"/>
      <c r="AV226" s="54">
        <v>7140202</v>
      </c>
      <c r="AW226" s="53">
        <v>473</v>
      </c>
      <c r="BJ226" s="40"/>
      <c r="BK226" s="40"/>
      <c r="BN226" s="16"/>
      <c r="BO226" s="16"/>
    </row>
    <row r="227" spans="1:67" s="67" customFormat="1" ht="16.5" customHeight="1" x14ac:dyDescent="0.25">
      <c r="A227" s="16"/>
      <c r="B227" s="68">
        <f>SUBTOTAL(103,$K$83:K227)</f>
        <v>144</v>
      </c>
      <c r="C227" s="53">
        <v>99</v>
      </c>
      <c r="D227" s="53" t="s">
        <v>2118</v>
      </c>
      <c r="E227" s="53" t="s">
        <v>19</v>
      </c>
      <c r="F227" s="53" t="s">
        <v>639</v>
      </c>
      <c r="G227" s="110" t="s">
        <v>4598</v>
      </c>
      <c r="H227" s="53" t="s">
        <v>4664</v>
      </c>
      <c r="I227" s="58" t="s">
        <v>3053</v>
      </c>
      <c r="J227" s="64" t="s">
        <v>500</v>
      </c>
      <c r="K227" s="103" t="s">
        <v>4119</v>
      </c>
      <c r="L227" s="53" t="s">
        <v>170</v>
      </c>
      <c r="M227" s="68">
        <v>1</v>
      </c>
      <c r="N227" s="53" t="s">
        <v>150</v>
      </c>
      <c r="O227" s="70" t="s">
        <v>5026</v>
      </c>
      <c r="P227" s="53" t="s">
        <v>3891</v>
      </c>
      <c r="Q227" s="58"/>
      <c r="R227" s="53">
        <v>2025</v>
      </c>
      <c r="S227" s="53"/>
      <c r="T227" s="53"/>
      <c r="U227" s="53"/>
      <c r="V227" s="53" t="s">
        <v>3054</v>
      </c>
      <c r="W227" s="53" t="s">
        <v>818</v>
      </c>
      <c r="X227" s="119" t="s">
        <v>4119</v>
      </c>
      <c r="Y227" s="53" t="s">
        <v>2857</v>
      </c>
      <c r="Z227" s="53">
        <v>25.47</v>
      </c>
      <c r="AA227" s="58"/>
      <c r="AB227" s="188" t="s">
        <v>2206</v>
      </c>
      <c r="AC227" s="58" t="s">
        <v>157</v>
      </c>
      <c r="AD227" s="58" t="s">
        <v>157</v>
      </c>
      <c r="AE227" s="58"/>
      <c r="AF227" s="58"/>
      <c r="AG227" s="58" t="s">
        <v>3055</v>
      </c>
      <c r="AH227" s="53"/>
      <c r="AI227" s="58"/>
      <c r="AJ227" s="156" t="s">
        <v>3056</v>
      </c>
      <c r="AK227" s="63" t="s">
        <v>2206</v>
      </c>
      <c r="AL227" s="63" t="s">
        <v>2206</v>
      </c>
      <c r="AM227" s="122" t="s">
        <v>3057</v>
      </c>
      <c r="AN227" s="219" t="s">
        <v>3058</v>
      </c>
      <c r="AO227" s="63"/>
      <c r="AP227" s="66"/>
      <c r="AT227" s="40"/>
      <c r="AU227" s="40"/>
      <c r="AV227" s="54">
        <v>7140202</v>
      </c>
      <c r="AW227" s="53">
        <v>474</v>
      </c>
      <c r="BJ227" s="40"/>
      <c r="BK227" s="40"/>
      <c r="BN227" s="16"/>
      <c r="BO227" s="16"/>
    </row>
    <row r="228" spans="1:67" s="67" customFormat="1" ht="16.5" customHeight="1" x14ac:dyDescent="0.25">
      <c r="A228" s="16"/>
      <c r="B228" s="68">
        <f>SUBTOTAL(103,$K$83:K228)</f>
        <v>145</v>
      </c>
      <c r="C228" s="53">
        <v>100</v>
      </c>
      <c r="D228" s="53" t="s">
        <v>2118</v>
      </c>
      <c r="E228" s="53" t="s">
        <v>19</v>
      </c>
      <c r="F228" s="53" t="s">
        <v>639</v>
      </c>
      <c r="G228" s="110" t="s">
        <v>4598</v>
      </c>
      <c r="H228" s="53" t="s">
        <v>4665</v>
      </c>
      <c r="I228" s="58" t="s">
        <v>3059</v>
      </c>
      <c r="J228" s="58" t="s">
        <v>1772</v>
      </c>
      <c r="K228" s="99" t="s">
        <v>4120</v>
      </c>
      <c r="L228" s="53" t="s">
        <v>170</v>
      </c>
      <c r="M228" s="68">
        <v>1</v>
      </c>
      <c r="N228" s="53" t="s">
        <v>150</v>
      </c>
      <c r="O228" s="70" t="s">
        <v>5026</v>
      </c>
      <c r="P228" s="53" t="s">
        <v>3891</v>
      </c>
      <c r="Q228" s="58"/>
      <c r="R228" s="53">
        <v>2022</v>
      </c>
      <c r="S228" s="53"/>
      <c r="T228" s="53"/>
      <c r="U228" s="99"/>
      <c r="V228" s="99" t="s">
        <v>647</v>
      </c>
      <c r="W228" s="53" t="s">
        <v>236</v>
      </c>
      <c r="X228" s="139" t="s">
        <v>4120</v>
      </c>
      <c r="Y228" s="68" t="s">
        <v>857</v>
      </c>
      <c r="Z228" s="68">
        <v>25.3</v>
      </c>
      <c r="AA228" s="58"/>
      <c r="AB228" s="60" t="s">
        <v>156</v>
      </c>
      <c r="AC228" s="58"/>
      <c r="AD228" s="58"/>
      <c r="AE228" s="58" t="s">
        <v>157</v>
      </c>
      <c r="AF228" s="58"/>
      <c r="AG228" s="64" t="s">
        <v>3060</v>
      </c>
      <c r="AH228" s="53"/>
      <c r="AI228" s="58"/>
      <c r="AJ228" s="184" t="s">
        <v>3061</v>
      </c>
      <c r="AK228" s="63" t="s">
        <v>3062</v>
      </c>
      <c r="AL228" s="63" t="s">
        <v>3063</v>
      </c>
      <c r="AM228" s="122" t="s">
        <v>3064</v>
      </c>
      <c r="AN228" s="185" t="s">
        <v>3065</v>
      </c>
      <c r="AO228" s="102"/>
      <c r="AP228" s="44">
        <v>0</v>
      </c>
      <c r="AQ228" s="44">
        <v>0</v>
      </c>
      <c r="AR228" s="44"/>
      <c r="AS228" s="66"/>
      <c r="AT228" s="40"/>
      <c r="AU228" s="40"/>
      <c r="AV228" s="54">
        <v>7140202</v>
      </c>
      <c r="AW228" s="53">
        <v>475</v>
      </c>
      <c r="AY228" s="40"/>
      <c r="AZ228" s="40"/>
      <c r="BI228" s="36"/>
      <c r="BJ228" s="36"/>
      <c r="BK228" s="37"/>
      <c r="BN228" s="16"/>
      <c r="BO228" s="16"/>
    </row>
    <row r="229" spans="1:67" s="67" customFormat="1" ht="16.5" customHeight="1" x14ac:dyDescent="0.25">
      <c r="A229" s="16"/>
      <c r="B229" s="68">
        <f>SUBTOTAL(103,$K$83:K229)</f>
        <v>146</v>
      </c>
      <c r="C229" s="53">
        <v>101</v>
      </c>
      <c r="D229" s="53" t="s">
        <v>2118</v>
      </c>
      <c r="E229" s="53" t="s">
        <v>19</v>
      </c>
      <c r="F229" s="53" t="s">
        <v>639</v>
      </c>
      <c r="G229" s="110" t="s">
        <v>4598</v>
      </c>
      <c r="H229" s="53" t="s">
        <v>4666</v>
      </c>
      <c r="I229" s="58" t="s">
        <v>2717</v>
      </c>
      <c r="J229" s="64" t="s">
        <v>1772</v>
      </c>
      <c r="K229" s="103" t="s">
        <v>4121</v>
      </c>
      <c r="L229" s="53" t="s">
        <v>170</v>
      </c>
      <c r="M229" s="68">
        <v>1</v>
      </c>
      <c r="N229" s="53" t="s">
        <v>150</v>
      </c>
      <c r="O229" s="70" t="s">
        <v>5026</v>
      </c>
      <c r="P229" s="53" t="s">
        <v>3891</v>
      </c>
      <c r="Q229" s="58"/>
      <c r="R229" s="53">
        <v>2020</v>
      </c>
      <c r="S229" s="53"/>
      <c r="T229" s="53"/>
      <c r="U229" s="99"/>
      <c r="V229" s="99" t="s">
        <v>642</v>
      </c>
      <c r="W229" s="53" t="s">
        <v>236</v>
      </c>
      <c r="X229" s="103" t="s">
        <v>4121</v>
      </c>
      <c r="Y229" s="68" t="s">
        <v>2915</v>
      </c>
      <c r="Z229" s="68">
        <v>24.5</v>
      </c>
      <c r="AA229" s="58"/>
      <c r="AB229" s="188" t="s">
        <v>2298</v>
      </c>
      <c r="AC229" s="58"/>
      <c r="AD229" s="58"/>
      <c r="AE229" s="58" t="s">
        <v>157</v>
      </c>
      <c r="AF229" s="58"/>
      <c r="AG229" s="64" t="s">
        <v>3066</v>
      </c>
      <c r="AH229" s="53"/>
      <c r="AI229" s="64"/>
      <c r="AJ229" s="184" t="s">
        <v>3067</v>
      </c>
      <c r="AK229" s="63" t="s">
        <v>2298</v>
      </c>
      <c r="AL229" s="63" t="s">
        <v>3068</v>
      </c>
      <c r="AM229" s="122" t="s">
        <v>3069</v>
      </c>
      <c r="AN229" s="185" t="s">
        <v>3070</v>
      </c>
      <c r="AO229" s="63" t="s">
        <v>3071</v>
      </c>
      <c r="AR229" s="66"/>
      <c r="AS229" s="66"/>
      <c r="AV229" s="54">
        <v>7140202</v>
      </c>
      <c r="AW229" s="53">
        <v>476</v>
      </c>
      <c r="BJ229" s="40"/>
      <c r="BK229" s="40"/>
      <c r="BN229" s="16"/>
      <c r="BO229" s="16"/>
    </row>
    <row r="230" spans="1:67" s="67" customFormat="1" ht="16.5" customHeight="1" x14ac:dyDescent="0.25">
      <c r="A230" s="16"/>
      <c r="B230" s="68">
        <f>SUBTOTAL(103,$K$83:K230)</f>
        <v>147</v>
      </c>
      <c r="C230" s="53">
        <v>102</v>
      </c>
      <c r="D230" s="53" t="s">
        <v>2118</v>
      </c>
      <c r="E230" s="53" t="s">
        <v>19</v>
      </c>
      <c r="F230" s="53" t="s">
        <v>639</v>
      </c>
      <c r="G230" s="110" t="s">
        <v>4598</v>
      </c>
      <c r="H230" s="53" t="s">
        <v>4667</v>
      </c>
      <c r="I230" s="58" t="s">
        <v>3073</v>
      </c>
      <c r="J230" s="58" t="s">
        <v>722</v>
      </c>
      <c r="K230" s="99" t="s">
        <v>4433</v>
      </c>
      <c r="L230" s="53" t="s">
        <v>170</v>
      </c>
      <c r="M230" s="68">
        <v>1</v>
      </c>
      <c r="N230" s="53" t="s">
        <v>150</v>
      </c>
      <c r="O230" s="70" t="s">
        <v>5026</v>
      </c>
      <c r="P230" s="53" t="s">
        <v>3891</v>
      </c>
      <c r="Q230" s="58"/>
      <c r="R230" s="53">
        <v>2024</v>
      </c>
      <c r="S230" s="53"/>
      <c r="T230" s="123"/>
      <c r="U230" s="99"/>
      <c r="V230" s="99" t="s">
        <v>607</v>
      </c>
      <c r="W230" s="53" t="s">
        <v>236</v>
      </c>
      <c r="X230" s="139">
        <v>39052</v>
      </c>
      <c r="Y230" s="68" t="s">
        <v>785</v>
      </c>
      <c r="Z230" s="68">
        <v>23.1</v>
      </c>
      <c r="AA230" s="58"/>
      <c r="AB230" s="60" t="s">
        <v>988</v>
      </c>
      <c r="AC230" s="58"/>
      <c r="AD230" s="58"/>
      <c r="AE230" s="58" t="s">
        <v>157</v>
      </c>
      <c r="AF230" s="58"/>
      <c r="AG230" s="64" t="s">
        <v>3074</v>
      </c>
      <c r="AH230" s="53"/>
      <c r="AI230" s="58"/>
      <c r="AJ230" s="156" t="s">
        <v>3075</v>
      </c>
      <c r="AK230" s="58" t="s">
        <v>988</v>
      </c>
      <c r="AL230" s="63" t="s">
        <v>2097</v>
      </c>
      <c r="AM230" s="122" t="s">
        <v>3076</v>
      </c>
      <c r="AN230" s="219" t="s">
        <v>3077</v>
      </c>
      <c r="AO230" s="63"/>
      <c r="AR230" s="66"/>
      <c r="AS230" s="66"/>
      <c r="AT230" s="40"/>
      <c r="AU230" s="40"/>
      <c r="AV230" s="54">
        <v>7140202</v>
      </c>
      <c r="AW230" s="53">
        <v>478</v>
      </c>
      <c r="AY230" s="40"/>
      <c r="AZ230" s="40"/>
      <c r="BI230" s="36"/>
      <c r="BJ230" s="36"/>
      <c r="BK230" s="37"/>
      <c r="BN230" s="16"/>
      <c r="BO230" s="16"/>
    </row>
    <row r="231" spans="1:67" s="67" customFormat="1" ht="16.5" customHeight="1" x14ac:dyDescent="0.25">
      <c r="A231" s="16"/>
      <c r="B231" s="68">
        <f>SUBTOTAL(103,$K$83:K231)</f>
        <v>148</v>
      </c>
      <c r="C231" s="53">
        <v>103</v>
      </c>
      <c r="D231" s="53" t="s">
        <v>2118</v>
      </c>
      <c r="E231" s="53" t="s">
        <v>19</v>
      </c>
      <c r="F231" s="53" t="s">
        <v>639</v>
      </c>
      <c r="G231" s="110" t="s">
        <v>4598</v>
      </c>
      <c r="H231" s="53" t="s">
        <v>4668</v>
      </c>
      <c r="I231" s="58" t="s">
        <v>3078</v>
      </c>
      <c r="J231" s="64" t="s">
        <v>722</v>
      </c>
      <c r="K231" s="103" t="s">
        <v>4122</v>
      </c>
      <c r="L231" s="53" t="s">
        <v>170</v>
      </c>
      <c r="M231" s="68">
        <v>1</v>
      </c>
      <c r="N231" s="53" t="s">
        <v>150</v>
      </c>
      <c r="O231" s="70" t="s">
        <v>5026</v>
      </c>
      <c r="P231" s="53" t="s">
        <v>3891</v>
      </c>
      <c r="Q231" s="58"/>
      <c r="R231" s="53">
        <v>2017</v>
      </c>
      <c r="S231" s="53"/>
      <c r="T231" s="123"/>
      <c r="U231" s="99"/>
      <c r="V231" s="99" t="s">
        <v>779</v>
      </c>
      <c r="W231" s="53" t="s">
        <v>236</v>
      </c>
      <c r="X231" s="103" t="s">
        <v>4122</v>
      </c>
      <c r="Y231" s="68" t="s">
        <v>857</v>
      </c>
      <c r="Z231" s="124" t="s">
        <v>978</v>
      </c>
      <c r="AA231" s="58"/>
      <c r="AB231" s="188" t="s">
        <v>2163</v>
      </c>
      <c r="AC231" s="64"/>
      <c r="AD231" s="64"/>
      <c r="AE231" s="64" t="s">
        <v>157</v>
      </c>
      <c r="AF231" s="64"/>
      <c r="AG231" s="64" t="s">
        <v>3079</v>
      </c>
      <c r="AH231" s="53" t="s">
        <v>155</v>
      </c>
      <c r="AI231" s="64" t="s">
        <v>3080</v>
      </c>
      <c r="AJ231" s="184" t="s">
        <v>3081</v>
      </c>
      <c r="AK231" s="63" t="s">
        <v>2163</v>
      </c>
      <c r="AL231" s="63" t="s">
        <v>3082</v>
      </c>
      <c r="AM231" s="122" t="s">
        <v>3083</v>
      </c>
      <c r="AN231" s="185" t="s">
        <v>3084</v>
      </c>
      <c r="AO231" s="225"/>
      <c r="AQ231" s="193"/>
      <c r="AR231" s="66"/>
      <c r="AS231" s="66"/>
      <c r="AV231" s="54">
        <v>7140202</v>
      </c>
      <c r="AW231" s="53">
        <v>479</v>
      </c>
      <c r="BJ231" s="40"/>
      <c r="BK231" s="40"/>
      <c r="BN231" s="16"/>
      <c r="BO231" s="16"/>
    </row>
    <row r="232" spans="1:67" s="67" customFormat="1" ht="16.5" customHeight="1" x14ac:dyDescent="0.25">
      <c r="A232" s="16"/>
      <c r="B232" s="68">
        <f>SUBTOTAL(103,$K$83:K232)</f>
        <v>149</v>
      </c>
      <c r="C232" s="53">
        <v>104</v>
      </c>
      <c r="D232" s="53" t="s">
        <v>2118</v>
      </c>
      <c r="E232" s="53" t="s">
        <v>19</v>
      </c>
      <c r="F232" s="53" t="s">
        <v>639</v>
      </c>
      <c r="G232" s="110" t="s">
        <v>4598</v>
      </c>
      <c r="H232" s="53" t="s">
        <v>4669</v>
      </c>
      <c r="I232" s="58" t="s">
        <v>2696</v>
      </c>
      <c r="J232" s="58" t="s">
        <v>722</v>
      </c>
      <c r="K232" s="99" t="s">
        <v>4324</v>
      </c>
      <c r="L232" s="99" t="s">
        <v>170</v>
      </c>
      <c r="M232" s="68">
        <v>1</v>
      </c>
      <c r="N232" s="53" t="s">
        <v>150</v>
      </c>
      <c r="O232" s="70" t="s">
        <v>5026</v>
      </c>
      <c r="P232" s="53" t="s">
        <v>3891</v>
      </c>
      <c r="Q232" s="58"/>
      <c r="R232" s="53">
        <v>2021</v>
      </c>
      <c r="S232" s="53"/>
      <c r="T232" s="123"/>
      <c r="U232" s="99"/>
      <c r="V232" s="99" t="s">
        <v>2040</v>
      </c>
      <c r="W232" s="99" t="s">
        <v>236</v>
      </c>
      <c r="X232" s="139">
        <v>37750</v>
      </c>
      <c r="Y232" s="53" t="s">
        <v>3085</v>
      </c>
      <c r="Z232" s="53">
        <v>25.29</v>
      </c>
      <c r="AA232" s="58"/>
      <c r="AB232" s="60" t="s">
        <v>2150</v>
      </c>
      <c r="AC232" s="58" t="s">
        <v>157</v>
      </c>
      <c r="AD232" s="58" t="s">
        <v>157</v>
      </c>
      <c r="AE232" s="58"/>
      <c r="AF232" s="58"/>
      <c r="AG232" s="58" t="s">
        <v>3086</v>
      </c>
      <c r="AH232" s="53"/>
      <c r="AI232" s="58"/>
      <c r="AJ232" s="118" t="s">
        <v>3087</v>
      </c>
      <c r="AK232" s="100" t="s">
        <v>2150</v>
      </c>
      <c r="AL232" s="63" t="s">
        <v>2397</v>
      </c>
      <c r="AM232" s="58" t="s">
        <v>3088</v>
      </c>
      <c r="AN232" s="216" t="s">
        <v>3089</v>
      </c>
      <c r="AO232" s="125"/>
      <c r="AP232" s="66"/>
      <c r="AT232" s="40"/>
      <c r="AU232" s="40"/>
      <c r="AV232" s="54">
        <v>7140202</v>
      </c>
      <c r="AW232" s="53">
        <v>480</v>
      </c>
      <c r="BJ232" s="40"/>
      <c r="BK232" s="40"/>
      <c r="BN232" s="16"/>
      <c r="BO232" s="16"/>
    </row>
    <row r="233" spans="1:67" s="67" customFormat="1" ht="16.5" customHeight="1" x14ac:dyDescent="0.25">
      <c r="A233" s="16"/>
      <c r="B233" s="68">
        <f>SUBTOTAL(103,$K$83:K233)</f>
        <v>150</v>
      </c>
      <c r="C233" s="53">
        <v>105</v>
      </c>
      <c r="D233" s="53" t="s">
        <v>2118</v>
      </c>
      <c r="E233" s="53" t="s">
        <v>19</v>
      </c>
      <c r="F233" s="53" t="s">
        <v>639</v>
      </c>
      <c r="G233" s="110" t="s">
        <v>4598</v>
      </c>
      <c r="H233" s="53" t="s">
        <v>4670</v>
      </c>
      <c r="I233" s="58" t="s">
        <v>3090</v>
      </c>
      <c r="J233" s="64" t="s">
        <v>1066</v>
      </c>
      <c r="K233" s="103" t="s">
        <v>4123</v>
      </c>
      <c r="L233" s="53" t="s">
        <v>170</v>
      </c>
      <c r="M233" s="68">
        <v>1</v>
      </c>
      <c r="N233" s="53" t="s">
        <v>509</v>
      </c>
      <c r="O233" s="70" t="s">
        <v>5026</v>
      </c>
      <c r="P233" s="53" t="s">
        <v>3891</v>
      </c>
      <c r="Q233" s="58"/>
      <c r="R233" s="53">
        <v>2012</v>
      </c>
      <c r="S233" s="99"/>
      <c r="T233" s="123"/>
      <c r="U233" s="99"/>
      <c r="V233" s="99" t="s">
        <v>328</v>
      </c>
      <c r="W233" s="53" t="s">
        <v>236</v>
      </c>
      <c r="X233" s="103" t="s">
        <v>4123</v>
      </c>
      <c r="Y233" s="68" t="s">
        <v>819</v>
      </c>
      <c r="Z233" s="124" t="s">
        <v>3091</v>
      </c>
      <c r="AA233" s="58"/>
      <c r="AB233" s="188" t="s">
        <v>2170</v>
      </c>
      <c r="AC233" s="64"/>
      <c r="AD233" s="64"/>
      <c r="AE233" s="64" t="s">
        <v>157</v>
      </c>
      <c r="AF233" s="64"/>
      <c r="AG233" s="64" t="s">
        <v>3092</v>
      </c>
      <c r="AH233" s="53" t="s">
        <v>155</v>
      </c>
      <c r="AI233" s="64" t="s">
        <v>3093</v>
      </c>
      <c r="AJ233" s="184" t="s">
        <v>3094</v>
      </c>
      <c r="AK233" s="64" t="s">
        <v>2170</v>
      </c>
      <c r="AL233" s="102" t="s">
        <v>2448</v>
      </c>
      <c r="AM233" s="122" t="s">
        <v>3095</v>
      </c>
      <c r="AN233" s="185" t="s">
        <v>3096</v>
      </c>
      <c r="AO233" s="225"/>
      <c r="AQ233" s="193"/>
      <c r="AR233" s="66"/>
      <c r="AS233" s="66"/>
      <c r="AV233" s="54">
        <v>7140202</v>
      </c>
      <c r="AW233" s="53">
        <v>481</v>
      </c>
      <c r="BJ233" s="40"/>
      <c r="BK233" s="40"/>
      <c r="BN233" s="16"/>
      <c r="BO233" s="16"/>
    </row>
    <row r="234" spans="1:67" s="67" customFormat="1" ht="16.5" customHeight="1" x14ac:dyDescent="0.25">
      <c r="A234" s="16"/>
      <c r="B234" s="68">
        <f>SUBTOTAL(103,$K$83:K234)</f>
        <v>151</v>
      </c>
      <c r="C234" s="53">
        <v>106</v>
      </c>
      <c r="D234" s="53" t="s">
        <v>2118</v>
      </c>
      <c r="E234" s="53" t="s">
        <v>19</v>
      </c>
      <c r="F234" s="99" t="s">
        <v>639</v>
      </c>
      <c r="G234" s="110" t="s">
        <v>4598</v>
      </c>
      <c r="H234" s="53" t="s">
        <v>4671</v>
      </c>
      <c r="I234" s="58" t="s">
        <v>3097</v>
      </c>
      <c r="J234" s="64" t="s">
        <v>1665</v>
      </c>
      <c r="K234" s="103" t="s">
        <v>4124</v>
      </c>
      <c r="L234" s="53" t="s">
        <v>170</v>
      </c>
      <c r="M234" s="68">
        <v>1</v>
      </c>
      <c r="N234" s="99" t="s">
        <v>150</v>
      </c>
      <c r="O234" s="70" t="s">
        <v>5026</v>
      </c>
      <c r="P234" s="53" t="s">
        <v>3891</v>
      </c>
      <c r="Q234" s="58"/>
      <c r="R234" s="53">
        <v>2018</v>
      </c>
      <c r="S234" s="99"/>
      <c r="T234" s="123"/>
      <c r="U234" s="53"/>
      <c r="V234" s="53" t="s">
        <v>607</v>
      </c>
      <c r="W234" s="53" t="s">
        <v>236</v>
      </c>
      <c r="X234" s="103" t="s">
        <v>4124</v>
      </c>
      <c r="Y234" s="68" t="s">
        <v>694</v>
      </c>
      <c r="Z234" s="68">
        <v>25.09</v>
      </c>
      <c r="AA234" s="58"/>
      <c r="AB234" s="188" t="s">
        <v>2849</v>
      </c>
      <c r="AC234" s="104"/>
      <c r="AD234" s="104"/>
      <c r="AE234" s="104" t="s">
        <v>157</v>
      </c>
      <c r="AF234" s="104"/>
      <c r="AG234" s="104" t="s">
        <v>3098</v>
      </c>
      <c r="AH234" s="53"/>
      <c r="AI234" s="103"/>
      <c r="AJ234" s="184" t="s">
        <v>3099</v>
      </c>
      <c r="AK234" s="104" t="s">
        <v>2163</v>
      </c>
      <c r="AL234" s="117" t="s">
        <v>3100</v>
      </c>
      <c r="AM234" s="100" t="s">
        <v>3101</v>
      </c>
      <c r="AN234" s="147" t="s">
        <v>3102</v>
      </c>
      <c r="AO234" s="63"/>
      <c r="AP234" s="66" t="s">
        <v>3103</v>
      </c>
      <c r="AQ234" s="126" t="s">
        <v>3104</v>
      </c>
      <c r="AR234" s="40"/>
      <c r="AT234" s="40"/>
      <c r="AU234" s="40"/>
      <c r="AV234" s="54">
        <v>7140202</v>
      </c>
      <c r="AW234" s="53">
        <v>482</v>
      </c>
      <c r="AY234" s="40"/>
      <c r="AZ234" s="40"/>
      <c r="BI234" s="36"/>
      <c r="BJ234" s="36"/>
      <c r="BK234" s="37"/>
      <c r="BN234" s="16"/>
      <c r="BO234" s="16"/>
    </row>
    <row r="235" spans="1:67" s="67" customFormat="1" ht="16.5" customHeight="1" x14ac:dyDescent="0.25">
      <c r="A235" s="16"/>
      <c r="B235" s="68">
        <f>SUBTOTAL(103,$K$83:K235)</f>
        <v>152</v>
      </c>
      <c r="C235" s="53">
        <v>107</v>
      </c>
      <c r="D235" s="53" t="s">
        <v>2118</v>
      </c>
      <c r="E235" s="53" t="s">
        <v>19</v>
      </c>
      <c r="F235" s="53" t="s">
        <v>639</v>
      </c>
      <c r="G235" s="110" t="s">
        <v>4598</v>
      </c>
      <c r="H235" s="53" t="s">
        <v>4672</v>
      </c>
      <c r="I235" s="58" t="s">
        <v>3105</v>
      </c>
      <c r="J235" s="58" t="s">
        <v>1443</v>
      </c>
      <c r="K235" s="99" t="s">
        <v>4434</v>
      </c>
      <c r="L235" s="53" t="s">
        <v>170</v>
      </c>
      <c r="M235" s="68">
        <v>1</v>
      </c>
      <c r="N235" s="53" t="s">
        <v>150</v>
      </c>
      <c r="O235" s="70" t="s">
        <v>5026</v>
      </c>
      <c r="P235" s="53" t="s">
        <v>3891</v>
      </c>
      <c r="Q235" s="58"/>
      <c r="R235" s="53">
        <v>2024</v>
      </c>
      <c r="S235" s="53"/>
      <c r="T235" s="53"/>
      <c r="U235" s="99"/>
      <c r="V235" s="99" t="s">
        <v>2040</v>
      </c>
      <c r="W235" s="53" t="s">
        <v>236</v>
      </c>
      <c r="X235" s="139">
        <v>38901</v>
      </c>
      <c r="Y235" s="68" t="s">
        <v>3106</v>
      </c>
      <c r="Z235" s="68">
        <v>24.6</v>
      </c>
      <c r="AA235" s="58"/>
      <c r="AB235" s="60" t="s">
        <v>2807</v>
      </c>
      <c r="AC235" s="58"/>
      <c r="AD235" s="58"/>
      <c r="AE235" s="58" t="s">
        <v>157</v>
      </c>
      <c r="AF235" s="58"/>
      <c r="AG235" s="64" t="s">
        <v>3107</v>
      </c>
      <c r="AH235" s="53"/>
      <c r="AI235" s="58"/>
      <c r="AJ235" s="184" t="s">
        <v>3108</v>
      </c>
      <c r="AK235" s="58" t="s">
        <v>253</v>
      </c>
      <c r="AL235" s="63" t="s">
        <v>2254</v>
      </c>
      <c r="AM235" s="122" t="s">
        <v>3109</v>
      </c>
      <c r="AN235" s="185" t="s">
        <v>3110</v>
      </c>
      <c r="AO235" s="102"/>
      <c r="AS235" s="66"/>
      <c r="AT235" s="40"/>
      <c r="AU235" s="40"/>
      <c r="AV235" s="54">
        <v>7140202</v>
      </c>
      <c r="AW235" s="53">
        <v>483</v>
      </c>
      <c r="AY235" s="40"/>
      <c r="AZ235" s="40"/>
      <c r="BI235" s="36"/>
      <c r="BJ235" s="36"/>
      <c r="BK235" s="37"/>
      <c r="BN235" s="16"/>
      <c r="BO235" s="16"/>
    </row>
    <row r="236" spans="1:67" s="67" customFormat="1" ht="16.5" customHeight="1" x14ac:dyDescent="0.25">
      <c r="A236" s="16"/>
      <c r="B236" s="68">
        <f>SUBTOTAL(103,$K$83:K236)</f>
        <v>153</v>
      </c>
      <c r="C236" s="53">
        <v>108</v>
      </c>
      <c r="D236" s="53" t="s">
        <v>2118</v>
      </c>
      <c r="E236" s="53" t="s">
        <v>19</v>
      </c>
      <c r="F236" s="53" t="s">
        <v>639</v>
      </c>
      <c r="G236" s="110" t="s">
        <v>4598</v>
      </c>
      <c r="H236" s="53" t="s">
        <v>4673</v>
      </c>
      <c r="I236" s="58" t="s">
        <v>3111</v>
      </c>
      <c r="J236" s="58" t="s">
        <v>400</v>
      </c>
      <c r="K236" s="99" t="s">
        <v>4125</v>
      </c>
      <c r="L236" s="53" t="s">
        <v>170</v>
      </c>
      <c r="M236" s="68">
        <v>1</v>
      </c>
      <c r="N236" s="53" t="s">
        <v>150</v>
      </c>
      <c r="O236" s="70" t="s">
        <v>5026</v>
      </c>
      <c r="P236" s="53" t="s">
        <v>3891</v>
      </c>
      <c r="Q236" s="58"/>
      <c r="R236" s="53">
        <v>2020</v>
      </c>
      <c r="S236" s="53"/>
      <c r="T236" s="123"/>
      <c r="U236" s="99"/>
      <c r="V236" s="99" t="s">
        <v>685</v>
      </c>
      <c r="W236" s="53" t="s">
        <v>236</v>
      </c>
      <c r="X236" s="139" t="s">
        <v>4125</v>
      </c>
      <c r="Y236" s="68" t="s">
        <v>3106</v>
      </c>
      <c r="Z236" s="68">
        <v>24.7</v>
      </c>
      <c r="AA236" s="58"/>
      <c r="AB236" s="60" t="s">
        <v>1136</v>
      </c>
      <c r="AC236" s="58"/>
      <c r="AD236" s="58"/>
      <c r="AE236" s="58" t="s">
        <v>157</v>
      </c>
      <c r="AF236" s="58"/>
      <c r="AG236" s="64" t="s">
        <v>3112</v>
      </c>
      <c r="AH236" s="53" t="s">
        <v>155</v>
      </c>
      <c r="AI236" s="58" t="s">
        <v>2436</v>
      </c>
      <c r="AJ236" s="156" t="s">
        <v>3113</v>
      </c>
      <c r="AK236" s="64" t="s">
        <v>1136</v>
      </c>
      <c r="AL236" s="102" t="s">
        <v>3025</v>
      </c>
      <c r="AM236" s="122" t="s">
        <v>3114</v>
      </c>
      <c r="AN236" s="219" t="s">
        <v>3115</v>
      </c>
      <c r="AO236" s="63"/>
      <c r="AP236" s="44"/>
      <c r="AQ236" s="221"/>
      <c r="AS236" s="66"/>
      <c r="AV236" s="54">
        <v>7140202</v>
      </c>
      <c r="AW236" s="53">
        <v>484</v>
      </c>
      <c r="BJ236" s="40"/>
      <c r="BK236" s="40"/>
      <c r="BN236" s="16"/>
      <c r="BO236" s="16"/>
    </row>
    <row r="237" spans="1:67" s="67" customFormat="1" ht="16.5" customHeight="1" x14ac:dyDescent="0.25">
      <c r="A237" s="16"/>
      <c r="B237" s="68">
        <f>SUBTOTAL(103,$K$83:K237)</f>
        <v>154</v>
      </c>
      <c r="C237" s="53">
        <v>109</v>
      </c>
      <c r="D237" s="53" t="s">
        <v>2118</v>
      </c>
      <c r="E237" s="53" t="s">
        <v>19</v>
      </c>
      <c r="F237" s="53" t="s">
        <v>639</v>
      </c>
      <c r="G237" s="110" t="s">
        <v>4598</v>
      </c>
      <c r="H237" s="53" t="s">
        <v>4674</v>
      </c>
      <c r="I237" s="58" t="s">
        <v>3116</v>
      </c>
      <c r="J237" s="58" t="s">
        <v>400</v>
      </c>
      <c r="K237" s="99" t="s">
        <v>4126</v>
      </c>
      <c r="L237" s="53" t="s">
        <v>170</v>
      </c>
      <c r="M237" s="68">
        <v>1</v>
      </c>
      <c r="N237" s="53" t="s">
        <v>150</v>
      </c>
      <c r="O237" s="70" t="s">
        <v>5026</v>
      </c>
      <c r="P237" s="53" t="s">
        <v>3891</v>
      </c>
      <c r="Q237" s="58"/>
      <c r="R237" s="53">
        <v>2020</v>
      </c>
      <c r="S237" s="53"/>
      <c r="T237" s="53"/>
      <c r="U237" s="99"/>
      <c r="V237" s="99" t="s">
        <v>2426</v>
      </c>
      <c r="W237" s="53" t="s">
        <v>236</v>
      </c>
      <c r="X237" s="222" t="s">
        <v>4126</v>
      </c>
      <c r="Y237" s="68" t="s">
        <v>2915</v>
      </c>
      <c r="Z237" s="68">
        <v>26.2</v>
      </c>
      <c r="AA237" s="58"/>
      <c r="AB237" s="60" t="s">
        <v>253</v>
      </c>
      <c r="AC237" s="58"/>
      <c r="AD237" s="58"/>
      <c r="AE237" s="58" t="s">
        <v>157</v>
      </c>
      <c r="AF237" s="58"/>
      <c r="AG237" s="64" t="s">
        <v>3117</v>
      </c>
      <c r="AH237" s="53" t="s">
        <v>155</v>
      </c>
      <c r="AI237" s="58" t="s">
        <v>3118</v>
      </c>
      <c r="AJ237" s="223" t="s">
        <v>3119</v>
      </c>
      <c r="AK237" s="190" t="s">
        <v>253</v>
      </c>
      <c r="AL237" s="63" t="s">
        <v>3120</v>
      </c>
      <c r="AM237" s="122" t="s">
        <v>3121</v>
      </c>
      <c r="AN237" s="224" t="s">
        <v>3122</v>
      </c>
      <c r="AO237" s="102"/>
      <c r="AP237" s="44"/>
      <c r="AQ237" s="44"/>
      <c r="AR237" s="66"/>
      <c r="AS237" s="66"/>
      <c r="AV237" s="54">
        <v>7140202</v>
      </c>
      <c r="AW237" s="53">
        <v>485</v>
      </c>
      <c r="BJ237" s="40"/>
      <c r="BK237" s="40"/>
      <c r="BN237" s="16"/>
      <c r="BO237" s="16"/>
    </row>
    <row r="238" spans="1:67" s="67" customFormat="1" ht="16.5" customHeight="1" x14ac:dyDescent="0.25">
      <c r="A238" s="16"/>
      <c r="B238" s="68">
        <f>SUBTOTAL(103,$K$83:K238)</f>
        <v>155</v>
      </c>
      <c r="C238" s="53">
        <v>110</v>
      </c>
      <c r="D238" s="53" t="s">
        <v>2118</v>
      </c>
      <c r="E238" s="53" t="s">
        <v>19</v>
      </c>
      <c r="F238" s="53" t="s">
        <v>639</v>
      </c>
      <c r="G238" s="110" t="s">
        <v>4598</v>
      </c>
      <c r="H238" s="53" t="s">
        <v>4675</v>
      </c>
      <c r="I238" s="58" t="s">
        <v>2432</v>
      </c>
      <c r="J238" s="58" t="s">
        <v>400</v>
      </c>
      <c r="K238" s="103" t="s">
        <v>4127</v>
      </c>
      <c r="L238" s="68" t="s">
        <v>170</v>
      </c>
      <c r="M238" s="68">
        <v>1</v>
      </c>
      <c r="N238" s="68" t="s">
        <v>150</v>
      </c>
      <c r="O238" s="70" t="s">
        <v>5026</v>
      </c>
      <c r="P238" s="53" t="s">
        <v>3891</v>
      </c>
      <c r="Q238" s="58"/>
      <c r="R238" s="53">
        <v>2020</v>
      </c>
      <c r="S238" s="53"/>
      <c r="T238" s="53"/>
      <c r="U238" s="53"/>
      <c r="V238" s="53" t="s">
        <v>685</v>
      </c>
      <c r="W238" s="53" t="s">
        <v>236</v>
      </c>
      <c r="X238" s="119" t="s">
        <v>4127</v>
      </c>
      <c r="Y238" s="53" t="s">
        <v>2857</v>
      </c>
      <c r="Z238" s="53">
        <v>23.69</v>
      </c>
      <c r="AA238" s="58"/>
      <c r="AB238" s="60" t="s">
        <v>2170</v>
      </c>
      <c r="AC238" s="58" t="s">
        <v>157</v>
      </c>
      <c r="AD238" s="58" t="s">
        <v>157</v>
      </c>
      <c r="AE238" s="58"/>
      <c r="AF238" s="58"/>
      <c r="AG238" s="58" t="s">
        <v>3123</v>
      </c>
      <c r="AH238" s="53"/>
      <c r="AI238" s="58" t="s">
        <v>60</v>
      </c>
      <c r="AJ238" s="218" t="s">
        <v>3124</v>
      </c>
      <c r="AK238" s="58" t="s">
        <v>2527</v>
      </c>
      <c r="AL238" s="63" t="s">
        <v>3125</v>
      </c>
      <c r="AM238" s="122" t="s">
        <v>3126</v>
      </c>
      <c r="AN238" s="219" t="s">
        <v>3127</v>
      </c>
      <c r="AO238" s="63"/>
      <c r="AP238" s="66"/>
      <c r="AT238" s="40"/>
      <c r="AU238" s="40"/>
      <c r="AV238" s="54">
        <v>7140202</v>
      </c>
      <c r="AW238" s="53">
        <v>486</v>
      </c>
      <c r="BJ238" s="40"/>
      <c r="BK238" s="40"/>
      <c r="BN238" s="16"/>
      <c r="BO238" s="16"/>
    </row>
    <row r="239" spans="1:67" s="67" customFormat="1" ht="16.5" customHeight="1" x14ac:dyDescent="0.25">
      <c r="A239" s="16"/>
      <c r="B239" s="68">
        <f>SUBTOTAL(103,$K$83:K239)</f>
        <v>156</v>
      </c>
      <c r="C239" s="53">
        <v>111</v>
      </c>
      <c r="D239" s="53" t="s">
        <v>2118</v>
      </c>
      <c r="E239" s="53" t="s">
        <v>19</v>
      </c>
      <c r="F239" s="53" t="s">
        <v>639</v>
      </c>
      <c r="G239" s="110" t="s">
        <v>4598</v>
      </c>
      <c r="H239" s="53" t="s">
        <v>4676</v>
      </c>
      <c r="I239" s="58" t="s">
        <v>1233</v>
      </c>
      <c r="J239" s="64" t="s">
        <v>2013</v>
      </c>
      <c r="K239" s="99" t="s">
        <v>4128</v>
      </c>
      <c r="L239" s="53" t="s">
        <v>149</v>
      </c>
      <c r="M239" s="53">
        <v>0</v>
      </c>
      <c r="N239" s="53" t="s">
        <v>150</v>
      </c>
      <c r="O239" s="70" t="s">
        <v>5026</v>
      </c>
      <c r="P239" s="53" t="s">
        <v>3891</v>
      </c>
      <c r="Q239" s="58"/>
      <c r="R239" s="53">
        <v>2019</v>
      </c>
      <c r="S239" s="53"/>
      <c r="T239" s="123"/>
      <c r="U239" s="99"/>
      <c r="V239" s="99" t="s">
        <v>685</v>
      </c>
      <c r="W239" s="53" t="s">
        <v>236</v>
      </c>
      <c r="X239" s="99" t="s">
        <v>4128</v>
      </c>
      <c r="Y239" s="68" t="s">
        <v>879</v>
      </c>
      <c r="Z239" s="124" t="s">
        <v>3128</v>
      </c>
      <c r="AA239" s="58"/>
      <c r="AB239" s="60" t="s">
        <v>156</v>
      </c>
      <c r="AC239" s="64"/>
      <c r="AD239" s="64"/>
      <c r="AE239" s="64" t="s">
        <v>157</v>
      </c>
      <c r="AF239" s="64"/>
      <c r="AG239" s="64" t="s">
        <v>3129</v>
      </c>
      <c r="AH239" s="53" t="s">
        <v>155</v>
      </c>
      <c r="AI239" s="64" t="s">
        <v>3130</v>
      </c>
      <c r="AJ239" s="184" t="s">
        <v>3131</v>
      </c>
      <c r="AK239" s="58" t="s">
        <v>156</v>
      </c>
      <c r="AL239" s="63" t="s">
        <v>483</v>
      </c>
      <c r="AM239" s="122" t="s">
        <v>3132</v>
      </c>
      <c r="AN239" s="185" t="s">
        <v>3133</v>
      </c>
      <c r="AO239" s="220"/>
      <c r="AQ239" s="193"/>
      <c r="AR239" s="66"/>
      <c r="AS239" s="66"/>
      <c r="AV239" s="54">
        <v>7140202</v>
      </c>
      <c r="AW239" s="53">
        <v>487</v>
      </c>
      <c r="BJ239" s="40"/>
      <c r="BK239" s="40"/>
      <c r="BN239" s="16"/>
      <c r="BO239" s="16"/>
    </row>
    <row r="240" spans="1:67" s="67" customFormat="1" ht="16.5" customHeight="1" x14ac:dyDescent="0.25">
      <c r="A240" s="16"/>
      <c r="B240" s="68">
        <f>SUBTOTAL(103,$K$83:K240)</f>
        <v>157</v>
      </c>
      <c r="C240" s="53">
        <v>112</v>
      </c>
      <c r="D240" s="53" t="s">
        <v>2118</v>
      </c>
      <c r="E240" s="53" t="s">
        <v>19</v>
      </c>
      <c r="F240" s="53" t="s">
        <v>639</v>
      </c>
      <c r="G240" s="110" t="s">
        <v>4598</v>
      </c>
      <c r="H240" s="53" t="s">
        <v>4677</v>
      </c>
      <c r="I240" s="58" t="s">
        <v>3134</v>
      </c>
      <c r="J240" s="58" t="s">
        <v>1503</v>
      </c>
      <c r="K240" s="103" t="s">
        <v>4098</v>
      </c>
      <c r="L240" s="53" t="s">
        <v>170</v>
      </c>
      <c r="M240" s="68">
        <v>1</v>
      </c>
      <c r="N240" s="53" t="s">
        <v>150</v>
      </c>
      <c r="O240" s="70" t="s">
        <v>5026</v>
      </c>
      <c r="P240" s="53" t="s">
        <v>3891</v>
      </c>
      <c r="Q240" s="58"/>
      <c r="R240" s="53">
        <v>2024</v>
      </c>
      <c r="S240" s="53"/>
      <c r="T240" s="53"/>
      <c r="U240" s="53"/>
      <c r="V240" s="53" t="s">
        <v>647</v>
      </c>
      <c r="W240" s="53" t="s">
        <v>236</v>
      </c>
      <c r="X240" s="57" t="s">
        <v>4098</v>
      </c>
      <c r="Y240" s="53" t="s">
        <v>819</v>
      </c>
      <c r="Z240" s="53">
        <v>25.8</v>
      </c>
      <c r="AA240" s="58"/>
      <c r="AB240" s="60" t="s">
        <v>2298</v>
      </c>
      <c r="AC240" s="58" t="s">
        <v>157</v>
      </c>
      <c r="AD240" s="58" t="s">
        <v>157</v>
      </c>
      <c r="AE240" s="58"/>
      <c r="AF240" s="58"/>
      <c r="AG240" s="58" t="s">
        <v>3135</v>
      </c>
      <c r="AH240" s="53"/>
      <c r="AI240" s="58"/>
      <c r="AJ240" s="218" t="s">
        <v>3136</v>
      </c>
      <c r="AK240" s="58" t="s">
        <v>2298</v>
      </c>
      <c r="AL240" s="63" t="s">
        <v>3137</v>
      </c>
      <c r="AM240" s="102" t="s">
        <v>3138</v>
      </c>
      <c r="AN240" s="219" t="s">
        <v>3139</v>
      </c>
      <c r="AO240" s="63"/>
      <c r="AP240" s="66"/>
      <c r="AT240" s="40"/>
      <c r="AU240" s="40"/>
      <c r="AV240" s="54">
        <v>7140202</v>
      </c>
      <c r="AW240" s="53">
        <v>488</v>
      </c>
      <c r="BJ240" s="40"/>
      <c r="BK240" s="40"/>
      <c r="BN240" s="16"/>
      <c r="BO240" s="16"/>
    </row>
    <row r="241" spans="1:67" s="67" customFormat="1" ht="16.5" customHeight="1" x14ac:dyDescent="0.25">
      <c r="A241" s="16"/>
      <c r="B241" s="68">
        <f>SUBTOTAL(103,$K$83:K241)</f>
        <v>158</v>
      </c>
      <c r="C241" s="53">
        <v>113</v>
      </c>
      <c r="D241" s="53" t="s">
        <v>2118</v>
      </c>
      <c r="E241" s="53" t="s">
        <v>19</v>
      </c>
      <c r="F241" s="53" t="s">
        <v>639</v>
      </c>
      <c r="G241" s="110" t="s">
        <v>4598</v>
      </c>
      <c r="H241" s="53" t="s">
        <v>4678</v>
      </c>
      <c r="I241" s="58" t="s">
        <v>3140</v>
      </c>
      <c r="J241" s="58" t="s">
        <v>1503</v>
      </c>
      <c r="K241" s="103" t="s">
        <v>4129</v>
      </c>
      <c r="L241" s="68" t="s">
        <v>170</v>
      </c>
      <c r="M241" s="68">
        <v>1</v>
      </c>
      <c r="N241" s="68" t="s">
        <v>150</v>
      </c>
      <c r="O241" s="70" t="s">
        <v>5026</v>
      </c>
      <c r="P241" s="53" t="s">
        <v>3891</v>
      </c>
      <c r="Q241" s="58"/>
      <c r="R241" s="53">
        <v>2018</v>
      </c>
      <c r="S241" s="53"/>
      <c r="T241" s="53"/>
      <c r="U241" s="53"/>
      <c r="V241" s="53" t="s">
        <v>607</v>
      </c>
      <c r="W241" s="53" t="s">
        <v>236</v>
      </c>
      <c r="X241" s="57" t="s">
        <v>4129</v>
      </c>
      <c r="Y241" s="53" t="s">
        <v>819</v>
      </c>
      <c r="Z241" s="53">
        <v>24.6</v>
      </c>
      <c r="AA241" s="58"/>
      <c r="AB241" s="60" t="s">
        <v>2206</v>
      </c>
      <c r="AC241" s="58" t="s">
        <v>157</v>
      </c>
      <c r="AD241" s="58" t="s">
        <v>157</v>
      </c>
      <c r="AE241" s="58"/>
      <c r="AF241" s="58"/>
      <c r="AG241" s="58" t="s">
        <v>3141</v>
      </c>
      <c r="AH241" s="53"/>
      <c r="AI241" s="58" t="s">
        <v>2898</v>
      </c>
      <c r="AJ241" s="120" t="s">
        <v>3142</v>
      </c>
      <c r="AK241" s="63" t="s">
        <v>2206</v>
      </c>
      <c r="AL241" s="63" t="s">
        <v>3143</v>
      </c>
      <c r="AM241" s="58" t="s">
        <v>3144</v>
      </c>
      <c r="AN241" s="57" t="s">
        <v>3145</v>
      </c>
      <c r="AO241" s="58"/>
      <c r="AP241" s="66"/>
      <c r="AT241" s="40"/>
      <c r="AU241" s="40"/>
      <c r="AV241" s="54">
        <v>7140202</v>
      </c>
      <c r="AW241" s="53">
        <v>489</v>
      </c>
      <c r="BJ241" s="40"/>
      <c r="BK241" s="40"/>
      <c r="BN241" s="16"/>
      <c r="BO241" s="16"/>
    </row>
    <row r="242" spans="1:67" s="67" customFormat="1" ht="16.5" customHeight="1" x14ac:dyDescent="0.25">
      <c r="A242" s="16"/>
      <c r="B242" s="68">
        <f>SUBTOTAL(103,$K$83:K242)</f>
        <v>159</v>
      </c>
      <c r="C242" s="53">
        <v>114</v>
      </c>
      <c r="D242" s="53" t="s">
        <v>2118</v>
      </c>
      <c r="E242" s="53" t="s">
        <v>19</v>
      </c>
      <c r="F242" s="53" t="s">
        <v>639</v>
      </c>
      <c r="G242" s="110" t="s">
        <v>4598</v>
      </c>
      <c r="H242" s="53" t="s">
        <v>4679</v>
      </c>
      <c r="I242" s="58" t="s">
        <v>3146</v>
      </c>
      <c r="J242" s="58" t="s">
        <v>3147</v>
      </c>
      <c r="K242" s="103" t="s">
        <v>4130</v>
      </c>
      <c r="L242" s="68" t="s">
        <v>170</v>
      </c>
      <c r="M242" s="68">
        <v>1</v>
      </c>
      <c r="N242" s="68" t="s">
        <v>150</v>
      </c>
      <c r="O242" s="70" t="s">
        <v>5026</v>
      </c>
      <c r="P242" s="53" t="s">
        <v>3891</v>
      </c>
      <c r="Q242" s="58"/>
      <c r="R242" s="53">
        <v>2019</v>
      </c>
      <c r="S242" s="53"/>
      <c r="T242" s="53"/>
      <c r="U242" s="53"/>
      <c r="V242" s="53" t="s">
        <v>647</v>
      </c>
      <c r="W242" s="53" t="s">
        <v>236</v>
      </c>
      <c r="X242" s="197" t="s">
        <v>4130</v>
      </c>
      <c r="Y242" s="53" t="s">
        <v>2871</v>
      </c>
      <c r="Z242" s="53">
        <v>22.8</v>
      </c>
      <c r="AA242" s="58"/>
      <c r="AB242" s="60" t="s">
        <v>2298</v>
      </c>
      <c r="AC242" s="58" t="s">
        <v>157</v>
      </c>
      <c r="AD242" s="58" t="s">
        <v>157</v>
      </c>
      <c r="AE242" s="58"/>
      <c r="AF242" s="58"/>
      <c r="AG242" s="58" t="s">
        <v>3148</v>
      </c>
      <c r="AH242" s="53"/>
      <c r="AI242" s="58" t="s">
        <v>3149</v>
      </c>
      <c r="AJ242" s="218" t="s">
        <v>3150</v>
      </c>
      <c r="AK242" s="58" t="s">
        <v>2298</v>
      </c>
      <c r="AL242" s="63" t="s">
        <v>2988</v>
      </c>
      <c r="AM242" s="102" t="s">
        <v>3151</v>
      </c>
      <c r="AN242" s="219" t="s">
        <v>3152</v>
      </c>
      <c r="AO242" s="63"/>
      <c r="AP242" s="66"/>
      <c r="AT242" s="40"/>
      <c r="AU242" s="40"/>
      <c r="AV242" s="54">
        <v>7140202</v>
      </c>
      <c r="AW242" s="53">
        <v>490</v>
      </c>
      <c r="BJ242" s="40"/>
      <c r="BK242" s="40"/>
      <c r="BN242" s="16"/>
      <c r="BO242" s="16"/>
    </row>
    <row r="243" spans="1:67" s="67" customFormat="1" ht="16.5" customHeight="1" x14ac:dyDescent="0.25">
      <c r="A243" s="16"/>
      <c r="B243" s="68">
        <f>SUBTOTAL(103,$K$83:K243)</f>
        <v>160</v>
      </c>
      <c r="C243" s="53">
        <v>115</v>
      </c>
      <c r="D243" s="53" t="s">
        <v>2118</v>
      </c>
      <c r="E243" s="53" t="s">
        <v>19</v>
      </c>
      <c r="F243" s="53" t="s">
        <v>639</v>
      </c>
      <c r="G243" s="110" t="s">
        <v>4598</v>
      </c>
      <c r="H243" s="53" t="s">
        <v>4680</v>
      </c>
      <c r="I243" s="58" t="s">
        <v>3153</v>
      </c>
      <c r="J243" s="64" t="s">
        <v>269</v>
      </c>
      <c r="K243" s="103" t="s">
        <v>4131</v>
      </c>
      <c r="L243" s="53" t="s">
        <v>170</v>
      </c>
      <c r="M243" s="68">
        <v>1</v>
      </c>
      <c r="N243" s="53" t="s">
        <v>150</v>
      </c>
      <c r="O243" s="70" t="s">
        <v>5026</v>
      </c>
      <c r="P243" s="53" t="s">
        <v>3891</v>
      </c>
      <c r="Q243" s="58"/>
      <c r="R243" s="53">
        <v>2019</v>
      </c>
      <c r="S243" s="53"/>
      <c r="T243" s="123"/>
      <c r="U243" s="99"/>
      <c r="V243" s="99" t="s">
        <v>685</v>
      </c>
      <c r="W243" s="53" t="s">
        <v>236</v>
      </c>
      <c r="X243" s="103" t="s">
        <v>4131</v>
      </c>
      <c r="Y243" s="68" t="s">
        <v>785</v>
      </c>
      <c r="Z243" s="68">
        <v>24.4</v>
      </c>
      <c r="AA243" s="58"/>
      <c r="AB243" s="60" t="s">
        <v>253</v>
      </c>
      <c r="AC243" s="58"/>
      <c r="AD243" s="58"/>
      <c r="AE243" s="58" t="s">
        <v>157</v>
      </c>
      <c r="AF243" s="58"/>
      <c r="AG243" s="64" t="s">
        <v>3107</v>
      </c>
      <c r="AH243" s="53" t="s">
        <v>155</v>
      </c>
      <c r="AI243" s="58" t="s">
        <v>3154</v>
      </c>
      <c r="AJ243" s="101" t="s">
        <v>3155</v>
      </c>
      <c r="AK243" s="58" t="s">
        <v>253</v>
      </c>
      <c r="AL243" s="63" t="s">
        <v>2254</v>
      </c>
      <c r="AM243" s="122" t="s">
        <v>3156</v>
      </c>
      <c r="AN243" s="103" t="s">
        <v>3157</v>
      </c>
      <c r="AO243" s="58"/>
      <c r="AS243" s="66"/>
      <c r="AV243" s="54">
        <v>7140202</v>
      </c>
      <c r="AW243" s="53">
        <v>491</v>
      </c>
      <c r="BJ243" s="40"/>
      <c r="BK243" s="40"/>
      <c r="BN243" s="16"/>
      <c r="BO243" s="16"/>
    </row>
    <row r="244" spans="1:67" s="67" customFormat="1" ht="16.5" customHeight="1" x14ac:dyDescent="0.25">
      <c r="A244" s="16"/>
      <c r="B244" s="68">
        <f>SUBTOTAL(103,$K$83:K244)</f>
        <v>161</v>
      </c>
      <c r="C244" s="53">
        <v>116</v>
      </c>
      <c r="D244" s="53" t="s">
        <v>2118</v>
      </c>
      <c r="E244" s="110" t="s">
        <v>19</v>
      </c>
      <c r="F244" s="110" t="s">
        <v>639</v>
      </c>
      <c r="G244" s="110" t="s">
        <v>4598</v>
      </c>
      <c r="H244" s="53" t="s">
        <v>4681</v>
      </c>
      <c r="I244" s="108" t="s">
        <v>784</v>
      </c>
      <c r="J244" s="108" t="s">
        <v>269</v>
      </c>
      <c r="K244" s="144" t="s">
        <v>4132</v>
      </c>
      <c r="L244" s="110" t="s">
        <v>170</v>
      </c>
      <c r="M244" s="68">
        <v>1</v>
      </c>
      <c r="N244" s="110" t="s">
        <v>150</v>
      </c>
      <c r="O244" s="70" t="s">
        <v>5026</v>
      </c>
      <c r="P244" s="53" t="s">
        <v>3891</v>
      </c>
      <c r="Q244" s="58"/>
      <c r="R244" s="110">
        <v>2021</v>
      </c>
      <c r="S244" s="110"/>
      <c r="T244" s="110"/>
      <c r="U244" s="110"/>
      <c r="V244" s="110" t="s">
        <v>685</v>
      </c>
      <c r="W244" s="110" t="s">
        <v>236</v>
      </c>
      <c r="X244" s="109" t="s">
        <v>4132</v>
      </c>
      <c r="Y244" s="110" t="s">
        <v>2709</v>
      </c>
      <c r="Z244" s="110" t="s">
        <v>3158</v>
      </c>
      <c r="AA244" s="58"/>
      <c r="AB244" s="187" t="s">
        <v>156</v>
      </c>
      <c r="AC244" s="108" t="s">
        <v>157</v>
      </c>
      <c r="AD244" s="70" t="s">
        <v>157</v>
      </c>
      <c r="AE244" s="108"/>
      <c r="AF244" s="53" t="s">
        <v>253</v>
      </c>
      <c r="AG244" s="108" t="s">
        <v>3159</v>
      </c>
      <c r="AH244" s="110"/>
      <c r="AI244" s="108" t="s">
        <v>1103</v>
      </c>
      <c r="AJ244" s="111" t="s">
        <v>3160</v>
      </c>
      <c r="AK244" s="108" t="s">
        <v>156</v>
      </c>
      <c r="AL244" s="112" t="s">
        <v>3161</v>
      </c>
      <c r="AM244" s="108" t="s">
        <v>3162</v>
      </c>
      <c r="AN244" s="113" t="s">
        <v>3163</v>
      </c>
      <c r="AO244" s="112"/>
      <c r="AP244" s="114"/>
      <c r="AQ244" s="114"/>
      <c r="AR244" s="40"/>
      <c r="AS244" s="40"/>
      <c r="AT244" s="40"/>
      <c r="AV244" s="54">
        <v>7140202</v>
      </c>
      <c r="AW244" s="53">
        <v>492</v>
      </c>
      <c r="BJ244" s="40"/>
      <c r="BK244" s="40"/>
      <c r="BN244" s="16"/>
      <c r="BO244" s="16"/>
    </row>
    <row r="245" spans="1:67" s="67" customFormat="1" ht="16.5" customHeight="1" x14ac:dyDescent="0.25">
      <c r="A245" s="16"/>
      <c r="B245" s="68">
        <f>SUBTOTAL(103,$K$83:K245)</f>
        <v>162</v>
      </c>
      <c r="C245" s="53">
        <v>117</v>
      </c>
      <c r="D245" s="53" t="s">
        <v>2118</v>
      </c>
      <c r="E245" s="53" t="s">
        <v>19</v>
      </c>
      <c r="F245" s="53" t="s">
        <v>639</v>
      </c>
      <c r="G245" s="110" t="s">
        <v>4598</v>
      </c>
      <c r="H245" s="53" t="s">
        <v>4682</v>
      </c>
      <c r="I245" s="64" t="s">
        <v>314</v>
      </c>
      <c r="J245" s="64" t="s">
        <v>1799</v>
      </c>
      <c r="K245" s="103" t="s">
        <v>4133</v>
      </c>
      <c r="L245" s="53" t="s">
        <v>170</v>
      </c>
      <c r="M245" s="68">
        <v>1</v>
      </c>
      <c r="N245" s="53" t="s">
        <v>150</v>
      </c>
      <c r="O245" s="70" t="s">
        <v>5026</v>
      </c>
      <c r="P245" s="53" t="s">
        <v>3891</v>
      </c>
      <c r="Q245" s="58"/>
      <c r="R245" s="53">
        <v>2015</v>
      </c>
      <c r="S245" s="53"/>
      <c r="T245" s="123"/>
      <c r="U245" s="99"/>
      <c r="V245" s="99" t="s">
        <v>801</v>
      </c>
      <c r="W245" s="53" t="s">
        <v>236</v>
      </c>
      <c r="X245" s="103" t="s">
        <v>4133</v>
      </c>
      <c r="Y245" s="68" t="s">
        <v>879</v>
      </c>
      <c r="Z245" s="68">
        <v>25.8</v>
      </c>
      <c r="AA245" s="58"/>
      <c r="AB245" s="60" t="s">
        <v>253</v>
      </c>
      <c r="AC245" s="58"/>
      <c r="AD245" s="58"/>
      <c r="AE245" s="58" t="s">
        <v>157</v>
      </c>
      <c r="AF245" s="58"/>
      <c r="AG245" s="64" t="s">
        <v>3164</v>
      </c>
      <c r="AH245" s="53" t="s">
        <v>155</v>
      </c>
      <c r="AI245" s="64" t="s">
        <v>2801</v>
      </c>
      <c r="AJ245" s="101" t="s">
        <v>3165</v>
      </c>
      <c r="AK245" s="58" t="s">
        <v>253</v>
      </c>
      <c r="AL245" s="63" t="s">
        <v>2411</v>
      </c>
      <c r="AM245" s="122" t="s">
        <v>2649</v>
      </c>
      <c r="AN245" s="103" t="s">
        <v>3166</v>
      </c>
      <c r="AO245" s="58"/>
      <c r="AR245" s="66"/>
      <c r="AS245" s="66"/>
      <c r="AV245" s="54">
        <v>7140202</v>
      </c>
      <c r="AW245" s="53">
        <v>493</v>
      </c>
      <c r="BJ245" s="40"/>
      <c r="BK245" s="40"/>
      <c r="BN245" s="16"/>
      <c r="BO245" s="16"/>
    </row>
    <row r="246" spans="1:67" s="67" customFormat="1" ht="16.5" customHeight="1" x14ac:dyDescent="0.25">
      <c r="A246" s="16"/>
      <c r="B246" s="68">
        <f>SUBTOTAL(103,$K$83:K246)</f>
        <v>163</v>
      </c>
      <c r="C246" s="53">
        <v>118</v>
      </c>
      <c r="D246" s="53" t="s">
        <v>2118</v>
      </c>
      <c r="E246" s="53" t="s">
        <v>19</v>
      </c>
      <c r="F246" s="53" t="s">
        <v>639</v>
      </c>
      <c r="G246" s="110" t="s">
        <v>4598</v>
      </c>
      <c r="H246" s="53" t="s">
        <v>4683</v>
      </c>
      <c r="I246" s="64" t="s">
        <v>3167</v>
      </c>
      <c r="J246" s="58" t="s">
        <v>532</v>
      </c>
      <c r="K246" s="103" t="s">
        <v>4134</v>
      </c>
      <c r="L246" s="53" t="s">
        <v>170</v>
      </c>
      <c r="M246" s="68">
        <v>1</v>
      </c>
      <c r="N246" s="53" t="s">
        <v>150</v>
      </c>
      <c r="O246" s="70" t="s">
        <v>5026</v>
      </c>
      <c r="P246" s="53" t="s">
        <v>3891</v>
      </c>
      <c r="Q246" s="58"/>
      <c r="R246" s="53">
        <v>2020</v>
      </c>
      <c r="S246" s="53"/>
      <c r="T246" s="123"/>
      <c r="U246" s="99"/>
      <c r="V246" s="99" t="s">
        <v>685</v>
      </c>
      <c r="W246" s="53" t="s">
        <v>236</v>
      </c>
      <c r="X246" s="103" t="s">
        <v>4134</v>
      </c>
      <c r="Y246" s="68" t="s">
        <v>785</v>
      </c>
      <c r="Z246" s="68">
        <v>22.1</v>
      </c>
      <c r="AA246" s="58"/>
      <c r="AB246" s="60" t="s">
        <v>253</v>
      </c>
      <c r="AC246" s="58"/>
      <c r="AD246" s="58"/>
      <c r="AE246" s="58" t="s">
        <v>157</v>
      </c>
      <c r="AF246" s="58"/>
      <c r="AG246" s="64" t="s">
        <v>3168</v>
      </c>
      <c r="AH246" s="53"/>
      <c r="AI246" s="58"/>
      <c r="AJ246" s="101" t="s">
        <v>3169</v>
      </c>
      <c r="AK246" s="58" t="s">
        <v>2194</v>
      </c>
      <c r="AL246" s="58" t="s">
        <v>3170</v>
      </c>
      <c r="AM246" s="122" t="s">
        <v>3171</v>
      </c>
      <c r="AN246" s="103" t="s">
        <v>3172</v>
      </c>
      <c r="AO246" s="58"/>
      <c r="AR246" s="66"/>
      <c r="AS246" s="66"/>
      <c r="AV246" s="54">
        <v>7140202</v>
      </c>
      <c r="AW246" s="53">
        <v>494</v>
      </c>
      <c r="BJ246" s="40"/>
      <c r="BK246" s="40"/>
      <c r="BN246" s="16"/>
      <c r="BO246" s="16"/>
    </row>
    <row r="247" spans="1:67" s="43" customFormat="1" ht="16.5" customHeight="1" x14ac:dyDescent="0.25">
      <c r="A247" s="16"/>
      <c r="B247" s="68">
        <f>SUBTOTAL(103,$K$83:K247)</f>
        <v>164</v>
      </c>
      <c r="C247" s="53">
        <v>119</v>
      </c>
      <c r="D247" s="40" t="s">
        <v>2118</v>
      </c>
      <c r="E247" s="53" t="s">
        <v>19</v>
      </c>
      <c r="F247" s="53" t="s">
        <v>639</v>
      </c>
      <c r="G247" s="110" t="s">
        <v>4598</v>
      </c>
      <c r="H247" s="53" t="s">
        <v>4684</v>
      </c>
      <c r="I247" s="58" t="s">
        <v>3173</v>
      </c>
      <c r="J247" s="58" t="s">
        <v>3174</v>
      </c>
      <c r="K247" s="103" t="s">
        <v>4135</v>
      </c>
      <c r="L247" s="68" t="s">
        <v>170</v>
      </c>
      <c r="M247" s="68">
        <v>1</v>
      </c>
      <c r="N247" s="68" t="s">
        <v>150</v>
      </c>
      <c r="O247" s="70" t="s">
        <v>5026</v>
      </c>
      <c r="P247" s="53" t="s">
        <v>3891</v>
      </c>
      <c r="Q247" s="58"/>
      <c r="R247" s="53">
        <v>2020</v>
      </c>
      <c r="S247" s="53"/>
      <c r="T247" s="53"/>
      <c r="U247" s="53"/>
      <c r="V247" s="53" t="s">
        <v>607</v>
      </c>
      <c r="W247" s="53" t="s">
        <v>236</v>
      </c>
      <c r="X247" s="197" t="s">
        <v>4135</v>
      </c>
      <c r="Y247" s="53" t="s">
        <v>2871</v>
      </c>
      <c r="Z247" s="53">
        <v>24.67</v>
      </c>
      <c r="AA247" s="58"/>
      <c r="AB247" s="67" t="s">
        <v>858</v>
      </c>
      <c r="AC247" s="67" t="s">
        <v>157</v>
      </c>
      <c r="AD247" s="67" t="s">
        <v>157</v>
      </c>
      <c r="AE247" s="67"/>
      <c r="AF247" s="67"/>
      <c r="AG247" s="67" t="s">
        <v>3175</v>
      </c>
      <c r="AH247" s="40"/>
      <c r="AI247" s="67" t="s">
        <v>1703</v>
      </c>
      <c r="AJ247" s="214" t="s">
        <v>3176</v>
      </c>
      <c r="AK247" s="67" t="s">
        <v>858</v>
      </c>
      <c r="AL247" s="67" t="s">
        <v>2416</v>
      </c>
      <c r="AM247" s="67" t="s">
        <v>3177</v>
      </c>
      <c r="AN247" s="151" t="s">
        <v>3178</v>
      </c>
      <c r="AO247" s="67"/>
      <c r="AP247" s="66"/>
      <c r="AQ247" s="67"/>
      <c r="AR247" s="67"/>
      <c r="AS247" s="67"/>
      <c r="AT247" s="40"/>
      <c r="AU247" s="40"/>
      <c r="AV247" s="53">
        <v>7140202</v>
      </c>
      <c r="AW247" s="40">
        <v>495</v>
      </c>
      <c r="AX247" s="67"/>
      <c r="AY247" s="67"/>
      <c r="AZ247" s="67"/>
      <c r="BA247" s="67"/>
      <c r="BB247" s="67"/>
      <c r="BC247" s="67"/>
      <c r="BD247" s="67"/>
      <c r="BE247" s="67"/>
      <c r="BF247" s="67"/>
      <c r="BG247" s="67"/>
      <c r="BH247" s="67"/>
      <c r="BI247" s="67"/>
      <c r="BJ247" s="40"/>
      <c r="BK247" s="40"/>
      <c r="BL247" s="67"/>
      <c r="BM247" s="67"/>
      <c r="BN247" s="16"/>
      <c r="BO247" s="16"/>
    </row>
    <row r="248" spans="1:67" s="39" customFormat="1" ht="16.5" customHeight="1" x14ac:dyDescent="0.25">
      <c r="A248" s="16"/>
      <c r="B248" s="68">
        <f>SUBTOTAL(103,$K$83:K248)</f>
        <v>165</v>
      </c>
      <c r="C248" s="53">
        <v>120</v>
      </c>
      <c r="D248" s="40" t="s">
        <v>2118</v>
      </c>
      <c r="E248" s="53" t="s">
        <v>19</v>
      </c>
      <c r="F248" s="59" t="s">
        <v>639</v>
      </c>
      <c r="G248" s="110" t="s">
        <v>4598</v>
      </c>
      <c r="H248" s="53" t="s">
        <v>4685</v>
      </c>
      <c r="I248" s="73" t="s">
        <v>3179</v>
      </c>
      <c r="J248" s="74" t="s">
        <v>3180</v>
      </c>
      <c r="K248" s="75" t="s">
        <v>4136</v>
      </c>
      <c r="L248" s="226" t="s">
        <v>170</v>
      </c>
      <c r="M248" s="68">
        <v>1</v>
      </c>
      <c r="N248" s="226" t="s">
        <v>2305</v>
      </c>
      <c r="O248" s="70" t="s">
        <v>5026</v>
      </c>
      <c r="P248" s="53" t="s">
        <v>3891</v>
      </c>
      <c r="Q248" s="58"/>
      <c r="R248" s="59" t="s">
        <v>410</v>
      </c>
      <c r="S248" s="59"/>
      <c r="T248" s="59"/>
      <c r="U248" s="59"/>
      <c r="V248" s="53" t="s">
        <v>693</v>
      </c>
      <c r="W248" s="59" t="s">
        <v>236</v>
      </c>
      <c r="X248" s="75" t="s">
        <v>4136</v>
      </c>
      <c r="Y248" s="59" t="s">
        <v>785</v>
      </c>
      <c r="Z248" s="59" t="s">
        <v>599</v>
      </c>
      <c r="AA248" s="58"/>
      <c r="AB248" s="160" t="s">
        <v>2626</v>
      </c>
      <c r="AC248" s="160"/>
      <c r="AD248" s="160" t="s">
        <v>157</v>
      </c>
      <c r="AE248" s="160" t="s">
        <v>157</v>
      </c>
      <c r="AF248" s="160"/>
      <c r="AG248" s="227" t="s">
        <v>3181</v>
      </c>
      <c r="AH248" s="160"/>
      <c r="AI248" s="160"/>
      <c r="AJ248" s="163" t="s">
        <v>3182</v>
      </c>
      <c r="AK248" s="160" t="s">
        <v>2626</v>
      </c>
      <c r="AL248" s="160" t="s">
        <v>2629</v>
      </c>
      <c r="AM248" s="227" t="s">
        <v>3183</v>
      </c>
      <c r="AN248" s="163" t="s">
        <v>3184</v>
      </c>
      <c r="AO248" s="160" t="s">
        <v>164</v>
      </c>
      <c r="AP248" s="67" t="s">
        <v>3185</v>
      </c>
      <c r="AQ248" s="67" t="s">
        <v>166</v>
      </c>
      <c r="AR248" s="67" t="s">
        <v>3856</v>
      </c>
      <c r="AS248" s="67"/>
      <c r="AT248" s="67"/>
      <c r="AU248" s="67"/>
      <c r="AV248" s="54">
        <v>7140202</v>
      </c>
      <c r="AW248" s="40">
        <v>496</v>
      </c>
      <c r="AX248" s="67"/>
      <c r="AY248" s="67"/>
      <c r="AZ248" s="67"/>
      <c r="BA248" s="67"/>
      <c r="BB248" s="67"/>
      <c r="BC248" s="67"/>
      <c r="BD248" s="67"/>
      <c r="BE248" s="67"/>
      <c r="BF248" s="67"/>
      <c r="BG248" s="67"/>
      <c r="BH248" s="67"/>
      <c r="BI248" s="67"/>
      <c r="BJ248" s="40"/>
      <c r="BK248" s="40"/>
      <c r="BL248" s="67"/>
      <c r="BM248" s="67"/>
      <c r="BN248" s="16"/>
      <c r="BO248" s="16"/>
    </row>
    <row r="249" spans="1:67" s="39" customFormat="1" ht="16.5" customHeight="1" x14ac:dyDescent="0.25">
      <c r="A249" s="16"/>
      <c r="B249" s="68">
        <f>SUBTOTAL(103,$K$83:K249)</f>
        <v>166</v>
      </c>
      <c r="C249" s="53">
        <v>121</v>
      </c>
      <c r="D249" s="40" t="s">
        <v>2118</v>
      </c>
      <c r="E249" s="53" t="s">
        <v>19</v>
      </c>
      <c r="F249" s="53" t="s">
        <v>639</v>
      </c>
      <c r="G249" s="110" t="s">
        <v>4598</v>
      </c>
      <c r="H249" s="53" t="s">
        <v>4686</v>
      </c>
      <c r="I249" s="58" t="s">
        <v>3186</v>
      </c>
      <c r="J249" s="64" t="s">
        <v>370</v>
      </c>
      <c r="K249" s="103" t="s">
        <v>4137</v>
      </c>
      <c r="L249" s="53" t="s">
        <v>170</v>
      </c>
      <c r="M249" s="68">
        <v>1</v>
      </c>
      <c r="N249" s="53" t="s">
        <v>150</v>
      </c>
      <c r="O249" s="70" t="s">
        <v>5026</v>
      </c>
      <c r="P249" s="53" t="s">
        <v>3891</v>
      </c>
      <c r="Q249" s="58"/>
      <c r="R249" s="228">
        <v>2019</v>
      </c>
      <c r="S249" s="228"/>
      <c r="T249" s="228"/>
      <c r="U249" s="99"/>
      <c r="V249" s="99" t="s">
        <v>607</v>
      </c>
      <c r="W249" s="53" t="s">
        <v>236</v>
      </c>
      <c r="X249" s="103" t="s">
        <v>4137</v>
      </c>
      <c r="Y249" s="68" t="s">
        <v>694</v>
      </c>
      <c r="Z249" s="68">
        <v>26.6</v>
      </c>
      <c r="AA249" s="58"/>
      <c r="AB249" s="66" t="s">
        <v>2849</v>
      </c>
      <c r="AC249" s="66"/>
      <c r="AD249" s="66"/>
      <c r="AE249" s="66" t="s">
        <v>157</v>
      </c>
      <c r="AF249" s="66"/>
      <c r="AG249" s="66" t="s">
        <v>3187</v>
      </c>
      <c r="AH249" s="229" t="s">
        <v>155</v>
      </c>
      <c r="AI249" s="66" t="s">
        <v>3080</v>
      </c>
      <c r="AJ249" s="151" t="s">
        <v>3188</v>
      </c>
      <c r="AK249" s="66" t="s">
        <v>2849</v>
      </c>
      <c r="AL249" s="127" t="s">
        <v>3189</v>
      </c>
      <c r="AM249" s="67" t="s">
        <v>3190</v>
      </c>
      <c r="AN249" s="147" t="s">
        <v>3191</v>
      </c>
      <c r="AO249" s="67" t="s">
        <v>498</v>
      </c>
      <c r="AP249" s="67"/>
      <c r="AQ249" s="67"/>
      <c r="AR249" s="66"/>
      <c r="AS249" s="66"/>
      <c r="AT249" s="67"/>
      <c r="AU249" s="67"/>
      <c r="AV249" s="54">
        <v>7140202</v>
      </c>
      <c r="AW249" s="40">
        <v>498</v>
      </c>
      <c r="AX249" s="67"/>
      <c r="AY249" s="67"/>
      <c r="AZ249" s="67"/>
      <c r="BA249" s="67"/>
      <c r="BB249" s="67"/>
      <c r="BC249" s="67"/>
      <c r="BD249" s="67"/>
      <c r="BE249" s="67"/>
      <c r="BF249" s="67"/>
      <c r="BG249" s="67"/>
      <c r="BH249" s="67"/>
      <c r="BI249" s="67"/>
      <c r="BJ249" s="40"/>
      <c r="BK249" s="40"/>
      <c r="BL249" s="67"/>
      <c r="BM249" s="67"/>
      <c r="BN249" s="16"/>
      <c r="BO249" s="16"/>
    </row>
    <row r="250" spans="1:67" s="39" customFormat="1" ht="16.5" customHeight="1" x14ac:dyDescent="0.25">
      <c r="A250" s="16"/>
      <c r="B250" s="68">
        <f>SUBTOTAL(103,$K$83:K250)</f>
        <v>167</v>
      </c>
      <c r="C250" s="53">
        <v>122</v>
      </c>
      <c r="D250" s="40" t="s">
        <v>2118</v>
      </c>
      <c r="E250" s="53" t="s">
        <v>19</v>
      </c>
      <c r="F250" s="53" t="s">
        <v>639</v>
      </c>
      <c r="G250" s="110" t="s">
        <v>4598</v>
      </c>
      <c r="H250" s="53" t="s">
        <v>4687</v>
      </c>
      <c r="I250" s="58" t="s">
        <v>2425</v>
      </c>
      <c r="J250" s="58" t="s">
        <v>370</v>
      </c>
      <c r="K250" s="99" t="s">
        <v>4435</v>
      </c>
      <c r="L250" s="53" t="s">
        <v>170</v>
      </c>
      <c r="M250" s="68">
        <v>1</v>
      </c>
      <c r="N250" s="53" t="s">
        <v>150</v>
      </c>
      <c r="O250" s="70" t="s">
        <v>5026</v>
      </c>
      <c r="P250" s="53" t="s">
        <v>3891</v>
      </c>
      <c r="Q250" s="58"/>
      <c r="R250" s="53">
        <v>2020</v>
      </c>
      <c r="S250" s="53"/>
      <c r="T250" s="53"/>
      <c r="U250" s="123"/>
      <c r="V250" s="123" t="s">
        <v>647</v>
      </c>
      <c r="W250" s="53" t="s">
        <v>236</v>
      </c>
      <c r="X250" s="139">
        <v>37480</v>
      </c>
      <c r="Y250" s="68" t="s">
        <v>3106</v>
      </c>
      <c r="Z250" s="68">
        <v>24.5</v>
      </c>
      <c r="AA250" s="58"/>
      <c r="AB250" s="67" t="s">
        <v>253</v>
      </c>
      <c r="AC250" s="67"/>
      <c r="AD250" s="67"/>
      <c r="AE250" s="67" t="s">
        <v>157</v>
      </c>
      <c r="AF250" s="67"/>
      <c r="AG250" s="66" t="s">
        <v>3107</v>
      </c>
      <c r="AH250" s="40" t="s">
        <v>155</v>
      </c>
      <c r="AI250" s="67" t="s">
        <v>3192</v>
      </c>
      <c r="AJ250" s="147" t="s">
        <v>3193</v>
      </c>
      <c r="AK250" s="67" t="s">
        <v>253</v>
      </c>
      <c r="AL250" s="67" t="s">
        <v>2254</v>
      </c>
      <c r="AM250" s="67" t="s">
        <v>3194</v>
      </c>
      <c r="AN250" s="147" t="s">
        <v>3195</v>
      </c>
      <c r="AO250" s="66"/>
      <c r="AP250" s="44"/>
      <c r="AQ250" s="44"/>
      <c r="AR250" s="67"/>
      <c r="AS250" s="66"/>
      <c r="AT250" s="67"/>
      <c r="AU250" s="67"/>
      <c r="AV250" s="54">
        <v>7140202</v>
      </c>
      <c r="AW250" s="40">
        <v>499</v>
      </c>
      <c r="AX250" s="67"/>
      <c r="AY250" s="67"/>
      <c r="AZ250" s="67"/>
      <c r="BA250" s="67"/>
      <c r="BB250" s="67"/>
      <c r="BC250" s="67"/>
      <c r="BD250" s="67"/>
      <c r="BE250" s="67"/>
      <c r="BF250" s="67"/>
      <c r="BG250" s="67"/>
      <c r="BH250" s="67"/>
      <c r="BI250" s="67"/>
      <c r="BJ250" s="40"/>
      <c r="BK250" s="40"/>
      <c r="BL250" s="67"/>
      <c r="BM250" s="67"/>
      <c r="BN250" s="16"/>
      <c r="BO250" s="16"/>
    </row>
    <row r="251" spans="1:67" s="39" customFormat="1" ht="16.5" customHeight="1" x14ac:dyDescent="0.25">
      <c r="A251" s="16"/>
      <c r="B251" s="68">
        <f>SUBTOTAL(103,$K$83:K251)</f>
        <v>168</v>
      </c>
      <c r="C251" s="53">
        <v>123</v>
      </c>
      <c r="D251" s="40" t="s">
        <v>2118</v>
      </c>
      <c r="E251" s="53" t="s">
        <v>19</v>
      </c>
      <c r="F251" s="53" t="s">
        <v>639</v>
      </c>
      <c r="G251" s="110" t="s">
        <v>4598</v>
      </c>
      <c r="H251" s="53" t="s">
        <v>4688</v>
      </c>
      <c r="I251" s="58" t="s">
        <v>3196</v>
      </c>
      <c r="J251" s="58" t="s">
        <v>370</v>
      </c>
      <c r="K251" s="103" t="s">
        <v>4138</v>
      </c>
      <c r="L251" s="53" t="s">
        <v>170</v>
      </c>
      <c r="M251" s="68">
        <v>1</v>
      </c>
      <c r="N251" s="53" t="s">
        <v>150</v>
      </c>
      <c r="O251" s="70" t="s">
        <v>5026</v>
      </c>
      <c r="P251" s="53" t="s">
        <v>3891</v>
      </c>
      <c r="Q251" s="58"/>
      <c r="R251" s="53">
        <v>2025</v>
      </c>
      <c r="S251" s="53"/>
      <c r="T251" s="53"/>
      <c r="U251" s="53"/>
      <c r="V251" s="53" t="s">
        <v>3197</v>
      </c>
      <c r="W251" s="53" t="s">
        <v>818</v>
      </c>
      <c r="X251" s="57" t="s">
        <v>4138</v>
      </c>
      <c r="Y251" s="53" t="s">
        <v>2820</v>
      </c>
      <c r="Z251" s="53">
        <v>25.4</v>
      </c>
      <c r="AA251" s="58"/>
      <c r="AB251" s="67" t="s">
        <v>2298</v>
      </c>
      <c r="AC251" s="67" t="s">
        <v>157</v>
      </c>
      <c r="AD251" s="67" t="s">
        <v>157</v>
      </c>
      <c r="AE251" s="67"/>
      <c r="AF251" s="67"/>
      <c r="AG251" s="67" t="s">
        <v>3198</v>
      </c>
      <c r="AH251" s="40"/>
      <c r="AI251" s="67"/>
      <c r="AJ251" s="214" t="s">
        <v>3199</v>
      </c>
      <c r="AK251" s="67" t="s">
        <v>253</v>
      </c>
      <c r="AL251" s="67" t="s">
        <v>3200</v>
      </c>
      <c r="AM251" s="66" t="s">
        <v>3201</v>
      </c>
      <c r="AN251" s="151" t="s">
        <v>3202</v>
      </c>
      <c r="AO251" s="67"/>
      <c r="AP251" s="66"/>
      <c r="AQ251" s="67"/>
      <c r="AR251" s="67"/>
      <c r="AS251" s="67"/>
      <c r="AT251" s="40"/>
      <c r="AU251" s="40"/>
      <c r="AV251" s="54">
        <v>7140202</v>
      </c>
      <c r="AW251" s="40">
        <v>500</v>
      </c>
      <c r="AX251" s="67"/>
      <c r="AY251" s="67"/>
      <c r="AZ251" s="67"/>
      <c r="BA251" s="67"/>
      <c r="BB251" s="67"/>
      <c r="BC251" s="67"/>
      <c r="BD251" s="67"/>
      <c r="BE251" s="67"/>
      <c r="BF251" s="67"/>
      <c r="BG251" s="67"/>
      <c r="BH251" s="67"/>
      <c r="BI251" s="67"/>
      <c r="BJ251" s="40"/>
      <c r="BK251" s="40"/>
      <c r="BL251" s="67"/>
      <c r="BM251" s="67"/>
      <c r="BN251" s="16"/>
      <c r="BO251" s="16"/>
    </row>
    <row r="252" spans="1:67" s="39" customFormat="1" ht="16.5" customHeight="1" x14ac:dyDescent="0.25">
      <c r="A252" s="16"/>
      <c r="B252" s="68">
        <f>SUBTOTAL(103,$K$83:K252)</f>
        <v>169</v>
      </c>
      <c r="C252" s="53">
        <v>124</v>
      </c>
      <c r="D252" s="40" t="s">
        <v>2118</v>
      </c>
      <c r="E252" s="53" t="s">
        <v>19</v>
      </c>
      <c r="F252" s="53" t="s">
        <v>639</v>
      </c>
      <c r="G252" s="110" t="s">
        <v>4598</v>
      </c>
      <c r="H252" s="53" t="s">
        <v>4689</v>
      </c>
      <c r="I252" s="58" t="s">
        <v>843</v>
      </c>
      <c r="J252" s="58" t="s">
        <v>370</v>
      </c>
      <c r="K252" s="103" t="s">
        <v>4139</v>
      </c>
      <c r="L252" s="53" t="s">
        <v>170</v>
      </c>
      <c r="M252" s="68">
        <v>1</v>
      </c>
      <c r="N252" s="53" t="s">
        <v>150</v>
      </c>
      <c r="O252" s="70" t="s">
        <v>5026</v>
      </c>
      <c r="P252" s="53" t="s">
        <v>3891</v>
      </c>
      <c r="Q252" s="58"/>
      <c r="R252" s="53">
        <v>2025</v>
      </c>
      <c r="S252" s="53"/>
      <c r="T252" s="53"/>
      <c r="U252" s="53"/>
      <c r="V252" s="53" t="s">
        <v>3072</v>
      </c>
      <c r="W252" s="53" t="s">
        <v>818</v>
      </c>
      <c r="X252" s="197" t="s">
        <v>4139</v>
      </c>
      <c r="Y252" s="53" t="s">
        <v>785</v>
      </c>
      <c r="Z252" s="53" t="s">
        <v>3203</v>
      </c>
      <c r="AA252" s="58"/>
      <c r="AB252" s="67" t="s">
        <v>156</v>
      </c>
      <c r="AC252" s="67" t="s">
        <v>157</v>
      </c>
      <c r="AD252" s="67" t="s">
        <v>157</v>
      </c>
      <c r="AE252" s="67"/>
      <c r="AF252" s="67"/>
      <c r="AG252" s="67" t="s">
        <v>3204</v>
      </c>
      <c r="AH252" s="40"/>
      <c r="AI252" s="67"/>
      <c r="AJ252" s="214" t="s">
        <v>3205</v>
      </c>
      <c r="AK252" s="67" t="s">
        <v>156</v>
      </c>
      <c r="AL252" s="67" t="s">
        <v>220</v>
      </c>
      <c r="AM252" s="67" t="s">
        <v>1471</v>
      </c>
      <c r="AN252" s="151" t="s">
        <v>3206</v>
      </c>
      <c r="AO252" s="67" t="s">
        <v>2827</v>
      </c>
      <c r="AP252" s="66"/>
      <c r="AQ252" s="67"/>
      <c r="AR252" s="67"/>
      <c r="AS252" s="67"/>
      <c r="AT252" s="40"/>
      <c r="AU252" s="40"/>
      <c r="AV252" s="54">
        <v>7140202</v>
      </c>
      <c r="AW252" s="40">
        <v>501</v>
      </c>
      <c r="AX252" s="67"/>
      <c r="AY252" s="67"/>
      <c r="AZ252" s="67"/>
      <c r="BA252" s="67"/>
      <c r="BB252" s="67"/>
      <c r="BC252" s="67"/>
      <c r="BD252" s="67"/>
      <c r="BE252" s="67"/>
      <c r="BF252" s="67"/>
      <c r="BG252" s="67"/>
      <c r="BH252" s="67"/>
      <c r="BI252" s="67"/>
      <c r="BJ252" s="40"/>
      <c r="BK252" s="40"/>
      <c r="BL252" s="67"/>
      <c r="BM252" s="67"/>
      <c r="BN252" s="16"/>
      <c r="BO252" s="16"/>
    </row>
    <row r="253" spans="1:67" s="39" customFormat="1" ht="16.5" customHeight="1" x14ac:dyDescent="0.25">
      <c r="A253" s="16"/>
      <c r="B253" s="68">
        <f>SUBTOTAL(103,$K$83:K253)</f>
        <v>170</v>
      </c>
      <c r="C253" s="53">
        <v>125</v>
      </c>
      <c r="D253" s="40" t="s">
        <v>2118</v>
      </c>
      <c r="E253" s="53" t="s">
        <v>19</v>
      </c>
      <c r="F253" s="53" t="s">
        <v>639</v>
      </c>
      <c r="G253" s="110" t="s">
        <v>4598</v>
      </c>
      <c r="H253" s="53" t="s">
        <v>4690</v>
      </c>
      <c r="I253" s="58" t="s">
        <v>1560</v>
      </c>
      <c r="J253" s="58" t="s">
        <v>370</v>
      </c>
      <c r="K253" s="103" t="s">
        <v>4140</v>
      </c>
      <c r="L253" s="68" t="s">
        <v>170</v>
      </c>
      <c r="M253" s="68">
        <v>1</v>
      </c>
      <c r="N253" s="68" t="s">
        <v>150</v>
      </c>
      <c r="O253" s="70" t="s">
        <v>5026</v>
      </c>
      <c r="P253" s="53" t="s">
        <v>3891</v>
      </c>
      <c r="Q253" s="58"/>
      <c r="R253" s="53">
        <v>2012</v>
      </c>
      <c r="S253" s="53"/>
      <c r="T253" s="53"/>
      <c r="U253" s="53"/>
      <c r="V253" s="53" t="s">
        <v>779</v>
      </c>
      <c r="W253" s="53" t="s">
        <v>236</v>
      </c>
      <c r="X253" s="57" t="s">
        <v>4140</v>
      </c>
      <c r="Y253" s="53" t="s">
        <v>819</v>
      </c>
      <c r="Z253" s="53">
        <v>22.2</v>
      </c>
      <c r="AA253" s="58"/>
      <c r="AB253" s="67" t="s">
        <v>2206</v>
      </c>
      <c r="AC253" s="67" t="s">
        <v>157</v>
      </c>
      <c r="AD253" s="67" t="s">
        <v>157</v>
      </c>
      <c r="AE253" s="67"/>
      <c r="AF253" s="67"/>
      <c r="AG253" s="67" t="s">
        <v>3207</v>
      </c>
      <c r="AH253" s="40"/>
      <c r="AI253" s="67"/>
      <c r="AJ253" s="214" t="s">
        <v>3208</v>
      </c>
      <c r="AK253" s="67" t="s">
        <v>2206</v>
      </c>
      <c r="AL253" s="67" t="s">
        <v>3209</v>
      </c>
      <c r="AM253" s="66" t="s">
        <v>3210</v>
      </c>
      <c r="AN253" s="151" t="s">
        <v>3211</v>
      </c>
      <c r="AO253" s="67"/>
      <c r="AP253" s="66"/>
      <c r="AQ253" s="67"/>
      <c r="AR253" s="67"/>
      <c r="AS253" s="67"/>
      <c r="AT253" s="40"/>
      <c r="AU253" s="40"/>
      <c r="AV253" s="54">
        <v>7140202</v>
      </c>
      <c r="AW253" s="40">
        <v>502</v>
      </c>
      <c r="AX253" s="67"/>
      <c r="AY253" s="67"/>
      <c r="AZ253" s="67"/>
      <c r="BA253" s="67"/>
      <c r="BB253" s="67"/>
      <c r="BC253" s="67"/>
      <c r="BD253" s="67"/>
      <c r="BE253" s="67"/>
      <c r="BF253" s="67"/>
      <c r="BG253" s="67"/>
      <c r="BH253" s="67"/>
      <c r="BI253" s="67"/>
      <c r="BJ253" s="40"/>
      <c r="BK253" s="40"/>
      <c r="BL253" s="67"/>
      <c r="BM253" s="67"/>
      <c r="BN253" s="16"/>
      <c r="BO253" s="16"/>
    </row>
    <row r="254" spans="1:67" s="43" customFormat="1" ht="16.5" customHeight="1" x14ac:dyDescent="0.25">
      <c r="A254" s="16"/>
      <c r="B254" s="68">
        <f>SUBTOTAL(103,$K$83:K254)</f>
        <v>171</v>
      </c>
      <c r="C254" s="53">
        <v>126</v>
      </c>
      <c r="D254" s="40" t="s">
        <v>2118</v>
      </c>
      <c r="E254" s="53" t="s">
        <v>19</v>
      </c>
      <c r="F254" s="53" t="s">
        <v>639</v>
      </c>
      <c r="G254" s="110" t="s">
        <v>4598</v>
      </c>
      <c r="H254" s="53" t="s">
        <v>4691</v>
      </c>
      <c r="I254" s="58" t="s">
        <v>1611</v>
      </c>
      <c r="J254" s="58" t="s">
        <v>556</v>
      </c>
      <c r="K254" s="103" t="s">
        <v>4141</v>
      </c>
      <c r="L254" s="53" t="s">
        <v>170</v>
      </c>
      <c r="M254" s="68">
        <v>1</v>
      </c>
      <c r="N254" s="53" t="s">
        <v>150</v>
      </c>
      <c r="O254" s="70" t="s">
        <v>5026</v>
      </c>
      <c r="P254" s="53" t="s">
        <v>3891</v>
      </c>
      <c r="Q254" s="58"/>
      <c r="R254" s="53">
        <v>2001</v>
      </c>
      <c r="S254" s="53"/>
      <c r="T254" s="123"/>
      <c r="U254" s="99"/>
      <c r="V254" s="99" t="s">
        <v>328</v>
      </c>
      <c r="W254" s="53" t="s">
        <v>236</v>
      </c>
      <c r="X254" s="103" t="s">
        <v>4141</v>
      </c>
      <c r="Y254" s="68" t="s">
        <v>2915</v>
      </c>
      <c r="Z254" s="68">
        <v>23.16</v>
      </c>
      <c r="AA254" s="58"/>
      <c r="AB254" s="67" t="s">
        <v>2527</v>
      </c>
      <c r="AC254" s="67"/>
      <c r="AD254" s="67"/>
      <c r="AE254" s="67" t="s">
        <v>157</v>
      </c>
      <c r="AF254" s="67"/>
      <c r="AG254" s="66" t="s">
        <v>3212</v>
      </c>
      <c r="AH254" s="40"/>
      <c r="AI254" s="67"/>
      <c r="AJ254" s="151" t="s">
        <v>3213</v>
      </c>
      <c r="AK254" s="67" t="s">
        <v>2529</v>
      </c>
      <c r="AL254" s="67" t="s">
        <v>2955</v>
      </c>
      <c r="AM254" s="67" t="s">
        <v>3214</v>
      </c>
      <c r="AN254" s="151" t="s">
        <v>3215</v>
      </c>
      <c r="AO254" s="67" t="s">
        <v>1041</v>
      </c>
      <c r="AP254" s="67"/>
      <c r="AQ254" s="67"/>
      <c r="AR254" s="66"/>
      <c r="AS254" s="66"/>
      <c r="AT254" s="40"/>
      <c r="AU254" s="40"/>
      <c r="AV254" s="54">
        <v>7140202</v>
      </c>
      <c r="AW254" s="40">
        <v>504</v>
      </c>
      <c r="AX254" s="67"/>
      <c r="AY254" s="40"/>
      <c r="AZ254" s="40"/>
      <c r="BA254" s="67"/>
      <c r="BB254" s="67"/>
      <c r="BC254" s="67"/>
      <c r="BD254" s="67"/>
      <c r="BE254" s="67"/>
      <c r="BF254" s="67"/>
      <c r="BG254" s="67"/>
      <c r="BH254" s="67"/>
      <c r="BI254" s="36"/>
      <c r="BJ254" s="36"/>
      <c r="BK254" s="37"/>
      <c r="BL254" s="67"/>
      <c r="BM254" s="67"/>
      <c r="BN254" s="16"/>
      <c r="BO254" s="16"/>
    </row>
    <row r="255" spans="1:67" s="230" customFormat="1" ht="16.5" customHeight="1" x14ac:dyDescent="0.25">
      <c r="A255" s="16"/>
      <c r="B255" s="68">
        <f>SUBTOTAL(103,$K$83:K255)</f>
        <v>172</v>
      </c>
      <c r="C255" s="53">
        <v>127</v>
      </c>
      <c r="D255" s="53" t="s">
        <v>2118</v>
      </c>
      <c r="E255" s="53" t="s">
        <v>19</v>
      </c>
      <c r="F255" s="53" t="s">
        <v>639</v>
      </c>
      <c r="G255" s="110" t="s">
        <v>4598</v>
      </c>
      <c r="H255" s="53" t="s">
        <v>4692</v>
      </c>
      <c r="I255" s="58" t="s">
        <v>3216</v>
      </c>
      <c r="J255" s="58" t="s">
        <v>556</v>
      </c>
      <c r="K255" s="103" t="s">
        <v>4142</v>
      </c>
      <c r="L255" s="68" t="s">
        <v>170</v>
      </c>
      <c r="M255" s="68">
        <v>1</v>
      </c>
      <c r="N255" s="68" t="s">
        <v>150</v>
      </c>
      <c r="O255" s="70" t="s">
        <v>5026</v>
      </c>
      <c r="P255" s="53" t="s">
        <v>3891</v>
      </c>
      <c r="Q255" s="58"/>
      <c r="R255" s="53">
        <v>2018</v>
      </c>
      <c r="S255" s="53"/>
      <c r="T255" s="53"/>
      <c r="U255" s="53"/>
      <c r="V255" s="53" t="s">
        <v>647</v>
      </c>
      <c r="W255" s="53" t="s">
        <v>236</v>
      </c>
      <c r="X255" s="197" t="s">
        <v>4142</v>
      </c>
      <c r="Y255" s="53" t="s">
        <v>819</v>
      </c>
      <c r="Z255" s="53">
        <v>24.9</v>
      </c>
      <c r="AA255" s="58"/>
      <c r="AB255" s="58" t="s">
        <v>253</v>
      </c>
      <c r="AC255" s="58" t="s">
        <v>157</v>
      </c>
      <c r="AD255" s="58" t="s">
        <v>157</v>
      </c>
      <c r="AE255" s="58"/>
      <c r="AF255" s="60"/>
      <c r="AG255" s="58" t="s">
        <v>3217</v>
      </c>
      <c r="AH255" s="53"/>
      <c r="AI255" s="58" t="s">
        <v>3218</v>
      </c>
      <c r="AJ255" s="120" t="s">
        <v>3219</v>
      </c>
      <c r="AK255" s="58" t="s">
        <v>253</v>
      </c>
      <c r="AL255" s="63" t="s">
        <v>2411</v>
      </c>
      <c r="AM255" s="58" t="s">
        <v>3220</v>
      </c>
      <c r="AN255" s="57" t="s">
        <v>3221</v>
      </c>
      <c r="AO255" s="63"/>
      <c r="AP255" s="102"/>
      <c r="AQ255" s="58"/>
      <c r="AR255" s="67"/>
      <c r="AS255" s="67"/>
      <c r="AT255" s="40"/>
      <c r="AU255" s="40"/>
      <c r="AV255" s="54">
        <v>7140202</v>
      </c>
      <c r="AW255" s="53">
        <v>505</v>
      </c>
      <c r="AX255" s="67"/>
      <c r="AY255" s="67"/>
      <c r="AZ255" s="67"/>
      <c r="BA255" s="67"/>
      <c r="BB255" s="67"/>
      <c r="BC255" s="67"/>
      <c r="BD255" s="67"/>
      <c r="BE255" s="67"/>
      <c r="BF255" s="67"/>
      <c r="BG255" s="67"/>
      <c r="BH255" s="67"/>
      <c r="BI255" s="67"/>
      <c r="BJ255" s="40"/>
      <c r="BK255" s="40"/>
      <c r="BL255" s="67"/>
      <c r="BM255" s="67"/>
      <c r="BN255" s="16"/>
      <c r="BO255" s="16"/>
    </row>
    <row r="256" spans="1:67" s="67" customFormat="1" ht="15.95" customHeight="1" x14ac:dyDescent="0.25">
      <c r="A256" s="16"/>
      <c r="B256" s="55"/>
      <c r="C256" s="59"/>
      <c r="D256" s="53"/>
      <c r="E256" s="68"/>
      <c r="F256" s="49"/>
      <c r="G256" s="49"/>
      <c r="H256" s="49"/>
      <c r="I256" s="56" t="s">
        <v>995</v>
      </c>
      <c r="J256" s="49"/>
      <c r="K256" s="103"/>
      <c r="L256" s="53"/>
      <c r="M256" s="53"/>
      <c r="N256" s="68"/>
      <c r="O256" s="58"/>
      <c r="P256" s="53"/>
      <c r="Q256" s="58"/>
      <c r="R256" s="53"/>
      <c r="S256" s="68"/>
      <c r="T256" s="53"/>
      <c r="U256" s="53"/>
      <c r="V256" s="53"/>
      <c r="W256" s="53"/>
      <c r="X256" s="57"/>
      <c r="Y256" s="59"/>
      <c r="Z256" s="53"/>
      <c r="AA256" s="58"/>
      <c r="AB256" s="98"/>
      <c r="AC256" s="58"/>
      <c r="AD256" s="53"/>
      <c r="AE256" s="53"/>
      <c r="AF256" s="148"/>
      <c r="AG256" s="58"/>
      <c r="AH256" s="53"/>
      <c r="AI256" s="58"/>
      <c r="AJ256" s="61"/>
      <c r="AK256" s="68"/>
      <c r="AL256" s="63"/>
      <c r="AM256" s="64"/>
      <c r="AN256" s="65"/>
      <c r="AO256" s="53"/>
      <c r="AP256" s="66"/>
      <c r="AR256" s="38"/>
      <c r="AT256" s="40"/>
      <c r="AU256" s="40"/>
      <c r="AV256" s="54">
        <v>7140206</v>
      </c>
      <c r="AW256" s="53">
        <v>119</v>
      </c>
      <c r="AY256" s="40"/>
      <c r="AZ256" s="40"/>
      <c r="BI256" s="36"/>
      <c r="BJ256" s="36"/>
      <c r="BK256" s="37"/>
      <c r="BN256" s="16"/>
      <c r="BO256" s="16"/>
    </row>
    <row r="257" spans="1:67" s="67" customFormat="1" ht="15.95" customHeight="1" x14ac:dyDescent="0.25">
      <c r="A257" s="16"/>
      <c r="B257" s="68">
        <f>SUBTOTAL(103,$K$257:K257)</f>
        <v>1</v>
      </c>
      <c r="C257" s="59" t="s">
        <v>146</v>
      </c>
      <c r="D257" s="53" t="s">
        <v>158</v>
      </c>
      <c r="E257" s="68" t="s">
        <v>19</v>
      </c>
      <c r="F257" s="53" t="s">
        <v>105</v>
      </c>
      <c r="G257" s="53" t="s">
        <v>4697</v>
      </c>
      <c r="H257" s="53" t="s">
        <v>4693</v>
      </c>
      <c r="I257" s="58" t="s">
        <v>996</v>
      </c>
      <c r="J257" s="58" t="s">
        <v>997</v>
      </c>
      <c r="K257" s="103" t="s">
        <v>4143</v>
      </c>
      <c r="L257" s="68" t="s">
        <v>149</v>
      </c>
      <c r="M257" s="53">
        <v>0</v>
      </c>
      <c r="N257" s="68" t="s">
        <v>150</v>
      </c>
      <c r="O257" s="58" t="s">
        <v>5027</v>
      </c>
      <c r="P257" s="53" t="s">
        <v>3723</v>
      </c>
      <c r="Q257" s="58" t="s">
        <v>27</v>
      </c>
      <c r="R257" s="53">
        <v>2010</v>
      </c>
      <c r="S257" s="59" t="s">
        <v>153</v>
      </c>
      <c r="T257" s="53" t="s">
        <v>173</v>
      </c>
      <c r="U257" s="53"/>
      <c r="V257" s="53"/>
      <c r="W257" s="53"/>
      <c r="X257" s="57" t="s">
        <v>4143</v>
      </c>
      <c r="Y257" s="59"/>
      <c r="Z257" s="53"/>
      <c r="AA257" s="58"/>
      <c r="AB257" s="76" t="s">
        <v>156</v>
      </c>
      <c r="AC257" s="53" t="s">
        <v>157</v>
      </c>
      <c r="AD257" s="53"/>
      <c r="AE257" s="58"/>
      <c r="AF257" s="148"/>
      <c r="AG257" s="58" t="s">
        <v>998</v>
      </c>
      <c r="AH257" s="53" t="s">
        <v>155</v>
      </c>
      <c r="AI257" s="58"/>
      <c r="AJ257" s="61" t="s">
        <v>999</v>
      </c>
      <c r="AK257" s="68" t="s">
        <v>156</v>
      </c>
      <c r="AL257" s="71" t="s">
        <v>220</v>
      </c>
      <c r="AM257" s="83" t="s">
        <v>1000</v>
      </c>
      <c r="AN257" s="65" t="s">
        <v>1001</v>
      </c>
      <c r="AO257" s="53" t="s">
        <v>164</v>
      </c>
      <c r="AP257" s="66" t="s">
        <v>132</v>
      </c>
      <c r="AQ257" s="67" t="s">
        <v>1002</v>
      </c>
      <c r="AR257" s="38"/>
      <c r="AT257" s="40"/>
      <c r="AU257" s="40"/>
      <c r="AV257" s="54">
        <v>7140206</v>
      </c>
      <c r="AW257" s="53">
        <v>120</v>
      </c>
      <c r="AY257" s="40"/>
      <c r="AZ257" s="40"/>
      <c r="BI257" s="36"/>
      <c r="BJ257" s="36"/>
      <c r="BK257" s="37"/>
      <c r="BN257" s="16"/>
      <c r="BO257" s="16"/>
    </row>
    <row r="258" spans="1:67" s="67" customFormat="1" ht="15.95" customHeight="1" x14ac:dyDescent="0.25">
      <c r="A258" s="16"/>
      <c r="B258" s="68">
        <f>SUBTOTAL(103,$K$257:K258)</f>
        <v>2</v>
      </c>
      <c r="C258" s="59" t="s">
        <v>167</v>
      </c>
      <c r="D258" s="53" t="s">
        <v>158</v>
      </c>
      <c r="E258" s="53" t="s">
        <v>19</v>
      </c>
      <c r="F258" s="53" t="s">
        <v>105</v>
      </c>
      <c r="G258" s="53" t="s">
        <v>4697</v>
      </c>
      <c r="H258" s="53" t="s">
        <v>4694</v>
      </c>
      <c r="I258" s="58" t="s">
        <v>420</v>
      </c>
      <c r="J258" s="58" t="s">
        <v>342</v>
      </c>
      <c r="K258" s="103" t="s">
        <v>4144</v>
      </c>
      <c r="L258" s="53" t="s">
        <v>170</v>
      </c>
      <c r="M258" s="68">
        <v>1</v>
      </c>
      <c r="N258" s="53" t="s">
        <v>150</v>
      </c>
      <c r="O258" s="58" t="s">
        <v>5027</v>
      </c>
      <c r="P258" s="53" t="s">
        <v>3723</v>
      </c>
      <c r="Q258" s="58" t="s">
        <v>27</v>
      </c>
      <c r="R258" s="53">
        <v>2017</v>
      </c>
      <c r="S258" s="53" t="s">
        <v>236</v>
      </c>
      <c r="T258" s="53" t="s">
        <v>1003</v>
      </c>
      <c r="U258" s="53"/>
      <c r="V258" s="53" t="s">
        <v>250</v>
      </c>
      <c r="W258" s="53" t="s">
        <v>248</v>
      </c>
      <c r="X258" s="57" t="s">
        <v>4144</v>
      </c>
      <c r="Y258" s="53"/>
      <c r="Z258" s="53"/>
      <c r="AA258" s="58"/>
      <c r="AB258" s="76" t="s">
        <v>156</v>
      </c>
      <c r="AC258" s="58" t="s">
        <v>157</v>
      </c>
      <c r="AD258" s="58" t="s">
        <v>157</v>
      </c>
      <c r="AE258" s="58"/>
      <c r="AF258" s="58"/>
      <c r="AG258" s="58" t="s">
        <v>1004</v>
      </c>
      <c r="AH258" s="53" t="s">
        <v>155</v>
      </c>
      <c r="AI258" s="58" t="s">
        <v>1005</v>
      </c>
      <c r="AJ258" s="61" t="s">
        <v>1006</v>
      </c>
      <c r="AK258" s="68" t="s">
        <v>156</v>
      </c>
      <c r="AL258" s="63" t="s">
        <v>357</v>
      </c>
      <c r="AM258" s="64" t="s">
        <v>1007</v>
      </c>
      <c r="AN258" s="65" t="s">
        <v>1008</v>
      </c>
      <c r="AO258" s="53" t="s">
        <v>164</v>
      </c>
      <c r="AP258" s="66"/>
      <c r="AQ258" s="67" t="s">
        <v>267</v>
      </c>
      <c r="AR258" s="38"/>
      <c r="AT258" s="40"/>
      <c r="AU258" s="40"/>
      <c r="AV258" s="54">
        <v>7140206</v>
      </c>
      <c r="AW258" s="53">
        <v>121</v>
      </c>
      <c r="AY258" s="40"/>
      <c r="AZ258" s="40"/>
      <c r="BI258" s="36"/>
      <c r="BJ258" s="36"/>
      <c r="BK258" s="37"/>
      <c r="BN258" s="16"/>
      <c r="BO258" s="16"/>
    </row>
    <row r="259" spans="1:67" s="67" customFormat="1" ht="15.95" customHeight="1" x14ac:dyDescent="0.25">
      <c r="A259" s="16"/>
      <c r="B259" s="68">
        <f>SUBTOTAL(103,$K$257:K259)</f>
        <v>3</v>
      </c>
      <c r="C259" s="59" t="s">
        <v>181</v>
      </c>
      <c r="D259" s="53" t="s">
        <v>158</v>
      </c>
      <c r="E259" s="68" t="s">
        <v>19</v>
      </c>
      <c r="F259" s="59" t="s">
        <v>105</v>
      </c>
      <c r="G259" s="53" t="s">
        <v>4697</v>
      </c>
      <c r="H259" s="53" t="s">
        <v>4695</v>
      </c>
      <c r="I259" s="73" t="s">
        <v>472</v>
      </c>
      <c r="J259" s="74" t="s">
        <v>1009</v>
      </c>
      <c r="K259" s="75" t="s">
        <v>4145</v>
      </c>
      <c r="L259" s="59" t="s">
        <v>170</v>
      </c>
      <c r="M259" s="68">
        <v>1</v>
      </c>
      <c r="N259" s="59" t="s">
        <v>150</v>
      </c>
      <c r="O259" s="58" t="s">
        <v>5027</v>
      </c>
      <c r="P259" s="53" t="s">
        <v>3723</v>
      </c>
      <c r="Q259" s="73" t="s">
        <v>1010</v>
      </c>
      <c r="R259" s="59" t="s">
        <v>1011</v>
      </c>
      <c r="S259" s="59" t="s">
        <v>153</v>
      </c>
      <c r="T259" s="59" t="s">
        <v>1012</v>
      </c>
      <c r="U259" s="59"/>
      <c r="V259" s="59" t="s">
        <v>1013</v>
      </c>
      <c r="W259" s="59" t="s">
        <v>248</v>
      </c>
      <c r="X259" s="75" t="s">
        <v>4145</v>
      </c>
      <c r="Y259" s="59"/>
      <c r="Z259" s="59"/>
      <c r="AA259" s="58"/>
      <c r="AB259" s="76" t="s">
        <v>156</v>
      </c>
      <c r="AC259" s="59" t="s">
        <v>157</v>
      </c>
      <c r="AD259" s="59" t="s">
        <v>157</v>
      </c>
      <c r="AE259" s="59"/>
      <c r="AF259" s="59"/>
      <c r="AG259" s="59" t="s">
        <v>228</v>
      </c>
      <c r="AH259" s="59" t="s">
        <v>155</v>
      </c>
      <c r="AI259" s="59"/>
      <c r="AJ259" s="77" t="s">
        <v>1014</v>
      </c>
      <c r="AK259" s="59" t="s">
        <v>156</v>
      </c>
      <c r="AL259" s="71" t="s">
        <v>297</v>
      </c>
      <c r="AM259" s="83" t="s">
        <v>1015</v>
      </c>
      <c r="AN259" s="78" t="s">
        <v>1016</v>
      </c>
      <c r="AO259" s="59" t="s">
        <v>632</v>
      </c>
      <c r="AP259" s="66"/>
      <c r="AQ259" s="67" t="s">
        <v>166</v>
      </c>
      <c r="AR259" s="38"/>
      <c r="AT259" s="40"/>
      <c r="AU259" s="40"/>
      <c r="AV259" s="54">
        <v>7140206</v>
      </c>
      <c r="AW259" s="53">
        <v>122</v>
      </c>
      <c r="AY259" s="40"/>
      <c r="AZ259" s="40"/>
      <c r="BI259" s="36"/>
      <c r="BJ259" s="36"/>
      <c r="BK259" s="37"/>
      <c r="BN259" s="16"/>
      <c r="BO259" s="16"/>
    </row>
    <row r="260" spans="1:67" s="67" customFormat="1" ht="15.95" customHeight="1" x14ac:dyDescent="0.25">
      <c r="A260" s="16"/>
      <c r="B260" s="68">
        <f>SUBTOTAL(103,$K$257:K260)</f>
        <v>4</v>
      </c>
      <c r="C260" s="59" t="s">
        <v>194</v>
      </c>
      <c r="D260" s="53" t="s">
        <v>158</v>
      </c>
      <c r="E260" s="53" t="s">
        <v>19</v>
      </c>
      <c r="F260" s="53" t="s">
        <v>105</v>
      </c>
      <c r="G260" s="53" t="s">
        <v>4697</v>
      </c>
      <c r="H260" s="53" t="s">
        <v>4696</v>
      </c>
      <c r="I260" s="58" t="s">
        <v>1017</v>
      </c>
      <c r="J260" s="58" t="s">
        <v>1018</v>
      </c>
      <c r="K260" s="103" t="s">
        <v>4146</v>
      </c>
      <c r="L260" s="53" t="s">
        <v>149</v>
      </c>
      <c r="M260" s="53">
        <v>0</v>
      </c>
      <c r="N260" s="53" t="s">
        <v>150</v>
      </c>
      <c r="O260" s="58" t="s">
        <v>5027</v>
      </c>
      <c r="P260" s="53" t="s">
        <v>3723</v>
      </c>
      <c r="Q260" s="58" t="s">
        <v>27</v>
      </c>
      <c r="R260" s="53">
        <v>2009</v>
      </c>
      <c r="S260" s="53" t="s">
        <v>153</v>
      </c>
      <c r="T260" s="53" t="s">
        <v>1019</v>
      </c>
      <c r="U260" s="53"/>
      <c r="V260" s="53" t="s">
        <v>423</v>
      </c>
      <c r="W260" s="53" t="s">
        <v>248</v>
      </c>
      <c r="X260" s="57" t="s">
        <v>4146</v>
      </c>
      <c r="Y260" s="53"/>
      <c r="Z260" s="53"/>
      <c r="AA260" s="58"/>
      <c r="AB260" s="76" t="s">
        <v>156</v>
      </c>
      <c r="AC260" s="58" t="s">
        <v>157</v>
      </c>
      <c r="AD260" s="58" t="s">
        <v>157</v>
      </c>
      <c r="AE260" s="58"/>
      <c r="AF260" s="58"/>
      <c r="AG260" s="64" t="s">
        <v>1020</v>
      </c>
      <c r="AH260" s="53" t="s">
        <v>155</v>
      </c>
      <c r="AI260" s="58"/>
      <c r="AJ260" s="61" t="s">
        <v>1021</v>
      </c>
      <c r="AK260" s="62" t="s">
        <v>156</v>
      </c>
      <c r="AL260" s="58" t="s">
        <v>366</v>
      </c>
      <c r="AM260" s="64" t="s">
        <v>1022</v>
      </c>
      <c r="AN260" s="65" t="s">
        <v>1023</v>
      </c>
      <c r="AO260" s="53" t="s">
        <v>164</v>
      </c>
      <c r="AP260" s="66"/>
      <c r="AQ260" s="88" t="s">
        <v>1024</v>
      </c>
      <c r="AU260" s="40"/>
      <c r="AV260" s="54">
        <v>7140206</v>
      </c>
      <c r="AW260" s="53">
        <v>123</v>
      </c>
      <c r="BJ260" s="40"/>
      <c r="BK260" s="40"/>
      <c r="BN260" s="16"/>
      <c r="BO260" s="16"/>
    </row>
    <row r="261" spans="1:67" s="67" customFormat="1" ht="15.95" customHeight="1" x14ac:dyDescent="0.25">
      <c r="A261" s="16"/>
      <c r="B261" s="68"/>
      <c r="C261" s="59"/>
      <c r="D261" s="53"/>
      <c r="E261" s="53"/>
      <c r="F261" s="53"/>
      <c r="G261" s="53"/>
      <c r="H261" s="53"/>
      <c r="I261" s="56" t="s">
        <v>3721</v>
      </c>
      <c r="J261" s="58"/>
      <c r="K261" s="103"/>
      <c r="L261" s="53"/>
      <c r="M261" s="53"/>
      <c r="N261" s="53"/>
      <c r="O261" s="58"/>
      <c r="P261" s="53"/>
      <c r="Q261" s="58"/>
      <c r="R261" s="53"/>
      <c r="S261" s="53"/>
      <c r="T261" s="53"/>
      <c r="U261" s="53"/>
      <c r="V261" s="53"/>
      <c r="W261" s="53"/>
      <c r="X261" s="57"/>
      <c r="Y261" s="53"/>
      <c r="Z261" s="53"/>
      <c r="AA261" s="58"/>
      <c r="AB261" s="76"/>
      <c r="AC261" s="58"/>
      <c r="AD261" s="58"/>
      <c r="AE261" s="58"/>
      <c r="AF261" s="58"/>
      <c r="AG261" s="64"/>
      <c r="AH261" s="53"/>
      <c r="AI261" s="58"/>
      <c r="AJ261" s="61"/>
      <c r="AK261" s="68"/>
      <c r="AL261" s="63"/>
      <c r="AM261" s="79"/>
      <c r="AN261" s="65"/>
      <c r="AO261" s="53"/>
      <c r="AP261" s="66"/>
      <c r="AQ261" s="88"/>
      <c r="AU261" s="40"/>
      <c r="AV261" s="54"/>
      <c r="AW261" s="53"/>
      <c r="BJ261" s="40"/>
      <c r="BK261" s="40"/>
      <c r="BN261" s="16"/>
      <c r="BO261" s="16"/>
    </row>
    <row r="262" spans="1:67" s="67" customFormat="1" ht="15.95" customHeight="1" x14ac:dyDescent="0.25">
      <c r="A262" s="16"/>
      <c r="B262" s="68">
        <f>SUBTOTAL(103,$K$257:K262)</f>
        <v>5</v>
      </c>
      <c r="C262" s="53">
        <v>1</v>
      </c>
      <c r="D262" s="53" t="s">
        <v>2118</v>
      </c>
      <c r="E262" s="53" t="s">
        <v>19</v>
      </c>
      <c r="F262" s="53" t="s">
        <v>105</v>
      </c>
      <c r="G262" s="53" t="s">
        <v>4969</v>
      </c>
      <c r="H262" s="53" t="s">
        <v>4698</v>
      </c>
      <c r="I262" s="58" t="s">
        <v>3722</v>
      </c>
      <c r="J262" s="58" t="s">
        <v>1834</v>
      </c>
      <c r="K262" s="103" t="s">
        <v>4147</v>
      </c>
      <c r="L262" s="53" t="s">
        <v>149</v>
      </c>
      <c r="M262" s="53">
        <v>0</v>
      </c>
      <c r="N262" s="53" t="s">
        <v>2434</v>
      </c>
      <c r="O262" s="58" t="s">
        <v>5028</v>
      </c>
      <c r="P262" s="53" t="s">
        <v>3723</v>
      </c>
      <c r="Q262" s="64" t="s">
        <v>3723</v>
      </c>
      <c r="R262" s="53">
        <v>2013</v>
      </c>
      <c r="S262" s="53" t="s">
        <v>153</v>
      </c>
      <c r="T262" s="53">
        <v>7.12</v>
      </c>
      <c r="U262" s="123"/>
      <c r="V262" s="68" t="s">
        <v>1970</v>
      </c>
      <c r="W262" s="53" t="s">
        <v>248</v>
      </c>
      <c r="X262" s="103" t="s">
        <v>4147</v>
      </c>
      <c r="Y262" s="53"/>
      <c r="Z262" s="53"/>
      <c r="AA262" s="58"/>
      <c r="AB262" s="188" t="s">
        <v>2543</v>
      </c>
      <c r="AC262" s="58" t="s">
        <v>157</v>
      </c>
      <c r="AD262" s="58" t="s">
        <v>157</v>
      </c>
      <c r="AE262" s="58"/>
      <c r="AF262" s="150"/>
      <c r="AG262" s="58" t="s">
        <v>3282</v>
      </c>
      <c r="AH262" s="53" t="s">
        <v>155</v>
      </c>
      <c r="AI262" s="58"/>
      <c r="AJ262" s="103" t="s">
        <v>3724</v>
      </c>
      <c r="AK262" s="53" t="s">
        <v>2543</v>
      </c>
      <c r="AL262" s="53" t="s">
        <v>3725</v>
      </c>
      <c r="AM262" s="58" t="s">
        <v>3726</v>
      </c>
      <c r="AN262" s="103" t="s">
        <v>3727</v>
      </c>
      <c r="AO262" s="64"/>
      <c r="AQ262" s="58" t="s">
        <v>2427</v>
      </c>
      <c r="AR262" s="88"/>
      <c r="AU262" s="40"/>
      <c r="AV262" s="54">
        <v>7140206</v>
      </c>
      <c r="AW262" s="53">
        <v>589</v>
      </c>
      <c r="BJ262" s="40"/>
      <c r="BK262" s="40"/>
      <c r="BN262" s="16"/>
      <c r="BO262" s="16"/>
    </row>
    <row r="263" spans="1:67" s="67" customFormat="1" ht="15.95" customHeight="1" x14ac:dyDescent="0.25">
      <c r="A263" s="16"/>
      <c r="B263" s="68">
        <f>SUBTOTAL(103,$K$257:K263)</f>
        <v>6</v>
      </c>
      <c r="C263" s="53">
        <v>2</v>
      </c>
      <c r="D263" s="53" t="s">
        <v>2118</v>
      </c>
      <c r="E263" s="53" t="s">
        <v>19</v>
      </c>
      <c r="F263" s="53" t="s">
        <v>105</v>
      </c>
      <c r="G263" s="53" t="s">
        <v>4969</v>
      </c>
      <c r="H263" s="53" t="s">
        <v>4699</v>
      </c>
      <c r="I263" s="58" t="s">
        <v>3728</v>
      </c>
      <c r="J263" s="64" t="s">
        <v>1968</v>
      </c>
      <c r="K263" s="103" t="s">
        <v>4148</v>
      </c>
      <c r="L263" s="53" t="s">
        <v>170</v>
      </c>
      <c r="M263" s="68">
        <v>1</v>
      </c>
      <c r="N263" s="53" t="s">
        <v>150</v>
      </c>
      <c r="O263" s="58" t="s">
        <v>5028</v>
      </c>
      <c r="P263" s="53" t="s">
        <v>3723</v>
      </c>
      <c r="Q263" s="64" t="s">
        <v>3723</v>
      </c>
      <c r="R263" s="53">
        <v>2011</v>
      </c>
      <c r="S263" s="53" t="s">
        <v>197</v>
      </c>
      <c r="T263" s="53"/>
      <c r="U263" s="99"/>
      <c r="V263" s="68" t="s">
        <v>3729</v>
      </c>
      <c r="W263" s="53" t="s">
        <v>248</v>
      </c>
      <c r="X263" s="103" t="s">
        <v>4148</v>
      </c>
      <c r="Y263" s="53"/>
      <c r="Z263" s="53"/>
      <c r="AA263" s="58"/>
      <c r="AB263" s="188" t="s">
        <v>2211</v>
      </c>
      <c r="AC263" s="58" t="s">
        <v>157</v>
      </c>
      <c r="AD263" s="58" t="s">
        <v>157</v>
      </c>
      <c r="AE263" s="53"/>
      <c r="AF263" s="150"/>
      <c r="AG263" s="58" t="s">
        <v>2534</v>
      </c>
      <c r="AH263" s="53" t="s">
        <v>155</v>
      </c>
      <c r="AI263" s="58"/>
      <c r="AJ263" s="103" t="s">
        <v>3730</v>
      </c>
      <c r="AK263" s="53" t="s">
        <v>2211</v>
      </c>
      <c r="AL263" s="53" t="s">
        <v>3603</v>
      </c>
      <c r="AM263" s="58" t="s">
        <v>3731</v>
      </c>
      <c r="AN263" s="103" t="s">
        <v>3732</v>
      </c>
      <c r="AO263" s="64" t="s">
        <v>3733</v>
      </c>
      <c r="AP263" s="66"/>
      <c r="AQ263" s="58" t="s">
        <v>2427</v>
      </c>
      <c r="AU263" s="40"/>
      <c r="AV263" s="40">
        <v>7140206</v>
      </c>
      <c r="AW263" s="53">
        <v>590</v>
      </c>
      <c r="BJ263" s="40"/>
      <c r="BK263" s="40"/>
      <c r="BN263" s="16"/>
      <c r="BO263" s="16"/>
    </row>
    <row r="264" spans="1:67" s="67" customFormat="1" ht="15.95" customHeight="1" x14ac:dyDescent="0.25">
      <c r="A264" s="16"/>
      <c r="B264" s="68">
        <f>SUBTOTAL(103,$K$257:K264)</f>
        <v>7</v>
      </c>
      <c r="C264" s="53">
        <v>3</v>
      </c>
      <c r="D264" s="53" t="s">
        <v>2118</v>
      </c>
      <c r="E264" s="53" t="s">
        <v>19</v>
      </c>
      <c r="F264" s="53" t="s">
        <v>105</v>
      </c>
      <c r="G264" s="53" t="s">
        <v>4969</v>
      </c>
      <c r="H264" s="53" t="s">
        <v>4700</v>
      </c>
      <c r="I264" s="58" t="s">
        <v>3734</v>
      </c>
      <c r="J264" s="64" t="s">
        <v>3735</v>
      </c>
      <c r="K264" s="103" t="s">
        <v>4149</v>
      </c>
      <c r="L264" s="53" t="s">
        <v>149</v>
      </c>
      <c r="M264" s="53">
        <v>0</v>
      </c>
      <c r="N264" s="53" t="s">
        <v>150</v>
      </c>
      <c r="O264" s="58" t="s">
        <v>5028</v>
      </c>
      <c r="P264" s="53" t="s">
        <v>3723</v>
      </c>
      <c r="Q264" s="64" t="s">
        <v>3723</v>
      </c>
      <c r="R264" s="53">
        <v>2009</v>
      </c>
      <c r="S264" s="53" t="s">
        <v>197</v>
      </c>
      <c r="T264" s="99" t="s">
        <v>3736</v>
      </c>
      <c r="U264" s="99"/>
      <c r="V264" s="68" t="s">
        <v>401</v>
      </c>
      <c r="W264" s="53" t="s">
        <v>248</v>
      </c>
      <c r="X264" s="103" t="s">
        <v>4149</v>
      </c>
      <c r="Y264" s="53"/>
      <c r="Z264" s="53"/>
      <c r="AA264" s="58"/>
      <c r="AB264" s="188" t="s">
        <v>2206</v>
      </c>
      <c r="AC264" s="58" t="s">
        <v>157</v>
      </c>
      <c r="AD264" s="58" t="s">
        <v>157</v>
      </c>
      <c r="AE264" s="53"/>
      <c r="AF264" s="150"/>
      <c r="AG264" s="58" t="s">
        <v>2577</v>
      </c>
      <c r="AH264" s="53" t="s">
        <v>155</v>
      </c>
      <c r="AI264" s="58"/>
      <c r="AJ264" s="103" t="s">
        <v>3737</v>
      </c>
      <c r="AK264" s="53" t="s">
        <v>2206</v>
      </c>
      <c r="AL264" s="53" t="s">
        <v>3738</v>
      </c>
      <c r="AM264" s="58" t="s">
        <v>3739</v>
      </c>
      <c r="AN264" s="103" t="s">
        <v>3740</v>
      </c>
      <c r="AO264" s="64"/>
      <c r="AP264" s="66" t="s">
        <v>3741</v>
      </c>
      <c r="AQ264" s="58" t="s">
        <v>2427</v>
      </c>
      <c r="AU264" s="40"/>
      <c r="AV264" s="40">
        <v>7140206</v>
      </c>
      <c r="AW264" s="53">
        <v>591</v>
      </c>
      <c r="BJ264" s="40"/>
      <c r="BK264" s="40"/>
      <c r="BN264" s="16"/>
      <c r="BO264" s="16"/>
    </row>
    <row r="265" spans="1:67" s="67" customFormat="1" ht="15.95" customHeight="1" x14ac:dyDescent="0.25">
      <c r="A265" s="16"/>
      <c r="B265" s="68">
        <f>SUBTOTAL(103,$K$257:K265)</f>
        <v>8</v>
      </c>
      <c r="C265" s="53">
        <v>4</v>
      </c>
      <c r="D265" s="53" t="s">
        <v>2118</v>
      </c>
      <c r="E265" s="53" t="s">
        <v>19</v>
      </c>
      <c r="F265" s="53" t="s">
        <v>105</v>
      </c>
      <c r="G265" s="53" t="s">
        <v>4969</v>
      </c>
      <c r="H265" s="53" t="s">
        <v>4701</v>
      </c>
      <c r="I265" s="64" t="s">
        <v>3742</v>
      </c>
      <c r="J265" s="64" t="s">
        <v>3743</v>
      </c>
      <c r="K265" s="103" t="s">
        <v>4150</v>
      </c>
      <c r="L265" s="53" t="s">
        <v>149</v>
      </c>
      <c r="M265" s="53">
        <v>0</v>
      </c>
      <c r="N265" s="53" t="s">
        <v>150</v>
      </c>
      <c r="O265" s="58" t="s">
        <v>5028</v>
      </c>
      <c r="P265" s="53" t="s">
        <v>3723</v>
      </c>
      <c r="Q265" s="64" t="s">
        <v>26</v>
      </c>
      <c r="R265" s="53">
        <v>2015</v>
      </c>
      <c r="S265" s="53" t="s">
        <v>197</v>
      </c>
      <c r="T265" s="123">
        <v>6.88</v>
      </c>
      <c r="U265" s="99"/>
      <c r="V265" s="68"/>
      <c r="W265" s="53"/>
      <c r="X265" s="103" t="s">
        <v>4150</v>
      </c>
      <c r="Y265" s="53"/>
      <c r="Z265" s="53"/>
      <c r="AA265" s="58"/>
      <c r="AB265" s="188" t="s">
        <v>3281</v>
      </c>
      <c r="AC265" s="64" t="s">
        <v>157</v>
      </c>
      <c r="AD265" s="64"/>
      <c r="AE265" s="53"/>
      <c r="AF265" s="68"/>
      <c r="AG265" s="64" t="s">
        <v>3744</v>
      </c>
      <c r="AH265" s="53" t="s">
        <v>155</v>
      </c>
      <c r="AI265" s="58"/>
      <c r="AJ265" s="101" t="s">
        <v>3745</v>
      </c>
      <c r="AK265" s="53" t="s">
        <v>3281</v>
      </c>
      <c r="AL265" s="152" t="s">
        <v>3746</v>
      </c>
      <c r="AM265" s="102" t="s">
        <v>3747</v>
      </c>
      <c r="AN265" s="103" t="s">
        <v>3748</v>
      </c>
      <c r="AO265" s="64" t="s">
        <v>3749</v>
      </c>
      <c r="AP265" s="66"/>
      <c r="AQ265" s="67" t="s">
        <v>2427</v>
      </c>
      <c r="AU265" s="40"/>
      <c r="AV265" s="54">
        <v>7140206</v>
      </c>
      <c r="AW265" s="53">
        <v>592</v>
      </c>
      <c r="BJ265" s="40"/>
      <c r="BK265" s="40"/>
      <c r="BN265" s="16"/>
      <c r="BO265" s="16"/>
    </row>
    <row r="266" spans="1:67" s="67" customFormat="1" ht="15.95" customHeight="1" x14ac:dyDescent="0.25">
      <c r="A266" s="16"/>
      <c r="B266" s="68">
        <f>SUBTOTAL(103,$K$257:K266)</f>
        <v>9</v>
      </c>
      <c r="C266" s="53">
        <v>5</v>
      </c>
      <c r="D266" s="53" t="s">
        <v>2118</v>
      </c>
      <c r="E266" s="53" t="s">
        <v>19</v>
      </c>
      <c r="F266" s="53" t="s">
        <v>105</v>
      </c>
      <c r="G266" s="53" t="s">
        <v>4969</v>
      </c>
      <c r="H266" s="53" t="s">
        <v>4702</v>
      </c>
      <c r="I266" s="58" t="s">
        <v>2740</v>
      </c>
      <c r="J266" s="58" t="s">
        <v>246</v>
      </c>
      <c r="K266" s="103" t="s">
        <v>4151</v>
      </c>
      <c r="L266" s="53" t="s">
        <v>149</v>
      </c>
      <c r="M266" s="53">
        <v>0</v>
      </c>
      <c r="N266" s="53" t="s">
        <v>150</v>
      </c>
      <c r="O266" s="58" t="s">
        <v>5028</v>
      </c>
      <c r="P266" s="53" t="s">
        <v>3723</v>
      </c>
      <c r="Q266" s="58" t="s">
        <v>3750</v>
      </c>
      <c r="R266" s="53">
        <v>2012</v>
      </c>
      <c r="S266" s="53" t="s">
        <v>197</v>
      </c>
      <c r="T266" s="123">
        <v>6.14</v>
      </c>
      <c r="U266" s="99"/>
      <c r="V266" s="68" t="s">
        <v>401</v>
      </c>
      <c r="W266" s="53" t="s">
        <v>248</v>
      </c>
      <c r="X266" s="103" t="s">
        <v>4151</v>
      </c>
      <c r="Y266" s="53"/>
      <c r="Z266" s="53"/>
      <c r="AA266" s="58"/>
      <c r="AB266" s="188" t="s">
        <v>2233</v>
      </c>
      <c r="AC266" s="58" t="s">
        <v>157</v>
      </c>
      <c r="AD266" s="58" t="s">
        <v>157</v>
      </c>
      <c r="AE266" s="53">
        <v>12</v>
      </c>
      <c r="AF266" s="68"/>
      <c r="AG266" s="58" t="s">
        <v>3751</v>
      </c>
      <c r="AH266" s="53" t="s">
        <v>155</v>
      </c>
      <c r="AI266" s="58"/>
      <c r="AJ266" s="140" t="s">
        <v>3752</v>
      </c>
      <c r="AK266" s="53" t="s">
        <v>2233</v>
      </c>
      <c r="AL266" s="152" t="s">
        <v>3624</v>
      </c>
      <c r="AM266" s="58" t="s">
        <v>3753</v>
      </c>
      <c r="AN266" s="57" t="s">
        <v>3754</v>
      </c>
      <c r="AO266" s="64"/>
      <c r="AQ266" s="67" t="s">
        <v>2427</v>
      </c>
      <c r="AU266" s="40"/>
      <c r="AV266" s="54">
        <v>7140206</v>
      </c>
      <c r="AW266" s="53">
        <v>593</v>
      </c>
      <c r="BJ266" s="40"/>
      <c r="BK266" s="40"/>
      <c r="BN266" s="16"/>
      <c r="BO266" s="16"/>
    </row>
    <row r="267" spans="1:67" s="67" customFormat="1" ht="15.95" customHeight="1" x14ac:dyDescent="0.25">
      <c r="A267" s="16"/>
      <c r="B267" s="68">
        <f>SUBTOTAL(103,$K$257:K267)</f>
        <v>10</v>
      </c>
      <c r="C267" s="53">
        <v>6</v>
      </c>
      <c r="D267" s="53" t="s">
        <v>2118</v>
      </c>
      <c r="E267" s="53" t="s">
        <v>19</v>
      </c>
      <c r="F267" s="53" t="s">
        <v>105</v>
      </c>
      <c r="G267" s="53" t="s">
        <v>4969</v>
      </c>
      <c r="H267" s="53" t="s">
        <v>4703</v>
      </c>
      <c r="I267" s="58" t="s">
        <v>1296</v>
      </c>
      <c r="J267" s="58" t="s">
        <v>3755</v>
      </c>
      <c r="K267" s="103" t="s">
        <v>4152</v>
      </c>
      <c r="L267" s="53" t="s">
        <v>149</v>
      </c>
      <c r="M267" s="53">
        <v>0</v>
      </c>
      <c r="N267" s="53" t="s">
        <v>150</v>
      </c>
      <c r="O267" s="58" t="s">
        <v>5028</v>
      </c>
      <c r="P267" s="53" t="s">
        <v>3723</v>
      </c>
      <c r="Q267" s="64" t="s">
        <v>3723</v>
      </c>
      <c r="R267" s="53">
        <v>2010</v>
      </c>
      <c r="S267" s="53" t="s">
        <v>197</v>
      </c>
      <c r="T267" s="123">
        <v>6.95</v>
      </c>
      <c r="U267" s="99" t="s">
        <v>3756</v>
      </c>
      <c r="V267" s="68" t="s">
        <v>423</v>
      </c>
      <c r="W267" s="53" t="s">
        <v>248</v>
      </c>
      <c r="X267" s="103" t="s">
        <v>4152</v>
      </c>
      <c r="Y267" s="53"/>
      <c r="Z267" s="53"/>
      <c r="AA267" s="58"/>
      <c r="AB267" s="188" t="s">
        <v>3757</v>
      </c>
      <c r="AC267" s="58" t="s">
        <v>157</v>
      </c>
      <c r="AD267" s="58" t="s">
        <v>157</v>
      </c>
      <c r="AE267" s="53"/>
      <c r="AF267" s="68"/>
      <c r="AG267" s="58" t="s">
        <v>2534</v>
      </c>
      <c r="AH267" s="53" t="s">
        <v>155</v>
      </c>
      <c r="AI267" s="58"/>
      <c r="AJ267" s="101" t="s">
        <v>3758</v>
      </c>
      <c r="AK267" s="53" t="s">
        <v>2211</v>
      </c>
      <c r="AL267" s="152" t="s">
        <v>3603</v>
      </c>
      <c r="AM267" s="58" t="s">
        <v>3759</v>
      </c>
      <c r="AN267" s="103" t="s">
        <v>3760</v>
      </c>
      <c r="AO267" s="64"/>
      <c r="AP267" s="66"/>
      <c r="AQ267" s="67" t="s">
        <v>2427</v>
      </c>
      <c r="AU267" s="40"/>
      <c r="AV267" s="54">
        <v>7140206</v>
      </c>
      <c r="AW267" s="53">
        <v>594</v>
      </c>
      <c r="BJ267" s="40"/>
      <c r="BK267" s="40"/>
      <c r="BN267" s="16"/>
      <c r="BO267" s="16"/>
    </row>
    <row r="268" spans="1:67" s="67" customFormat="1" ht="15.95" customHeight="1" x14ac:dyDescent="0.25">
      <c r="A268" s="16"/>
      <c r="B268" s="68">
        <f>SUBTOTAL(103,$K$257:K268)</f>
        <v>11</v>
      </c>
      <c r="C268" s="53">
        <v>7</v>
      </c>
      <c r="D268" s="53" t="s">
        <v>2118</v>
      </c>
      <c r="E268" s="53" t="s">
        <v>19</v>
      </c>
      <c r="F268" s="53" t="s">
        <v>106</v>
      </c>
      <c r="G268" s="53" t="s">
        <v>4969</v>
      </c>
      <c r="H268" s="53" t="s">
        <v>4704</v>
      </c>
      <c r="I268" s="58" t="s">
        <v>2125</v>
      </c>
      <c r="J268" s="64" t="s">
        <v>525</v>
      </c>
      <c r="K268" s="103" t="s">
        <v>4153</v>
      </c>
      <c r="L268" s="53" t="s">
        <v>170</v>
      </c>
      <c r="M268" s="68">
        <v>1</v>
      </c>
      <c r="N268" s="53" t="s">
        <v>150</v>
      </c>
      <c r="O268" s="58" t="s">
        <v>5028</v>
      </c>
      <c r="P268" s="53" t="s">
        <v>3723</v>
      </c>
      <c r="Q268" s="58" t="s">
        <v>26</v>
      </c>
      <c r="R268" s="53">
        <v>2022</v>
      </c>
      <c r="S268" s="53" t="s">
        <v>236</v>
      </c>
      <c r="T268" s="99" t="s">
        <v>260</v>
      </c>
      <c r="U268" s="53">
        <v>3.29</v>
      </c>
      <c r="V268" s="68"/>
      <c r="W268" s="53"/>
      <c r="X268" s="103" t="s">
        <v>4153</v>
      </c>
      <c r="Y268" s="53"/>
      <c r="Z268" s="53"/>
      <c r="AA268" s="58"/>
      <c r="AB268" s="188" t="s">
        <v>988</v>
      </c>
      <c r="AC268" s="58" t="s">
        <v>157</v>
      </c>
      <c r="AD268" s="58" t="s">
        <v>157</v>
      </c>
      <c r="AE268" s="53"/>
      <c r="AF268" s="68"/>
      <c r="AG268" s="58" t="s">
        <v>762</v>
      </c>
      <c r="AH268" s="53" t="s">
        <v>155</v>
      </c>
      <c r="AI268" s="58"/>
      <c r="AJ268" s="101" t="s">
        <v>3761</v>
      </c>
      <c r="AK268" s="53" t="s">
        <v>2527</v>
      </c>
      <c r="AL268" s="152" t="s">
        <v>3762</v>
      </c>
      <c r="AM268" s="58" t="s">
        <v>3763</v>
      </c>
      <c r="AN268" s="103" t="s">
        <v>3764</v>
      </c>
      <c r="AO268" s="64" t="s">
        <v>3765</v>
      </c>
      <c r="AQ268" s="67" t="s">
        <v>2427</v>
      </c>
      <c r="AU268" s="40"/>
      <c r="AV268" s="54">
        <v>7140206</v>
      </c>
      <c r="AW268" s="53">
        <v>595</v>
      </c>
      <c r="BJ268" s="40"/>
      <c r="BK268" s="40"/>
      <c r="BN268" s="16"/>
      <c r="BO268" s="16"/>
    </row>
    <row r="269" spans="1:67" s="67" customFormat="1" ht="15.95" customHeight="1" x14ac:dyDescent="0.25">
      <c r="A269" s="16"/>
      <c r="B269" s="68">
        <f>SUBTOTAL(103,$K$257:K269)</f>
        <v>12</v>
      </c>
      <c r="C269" s="53">
        <v>8</v>
      </c>
      <c r="D269" s="53" t="s">
        <v>2118</v>
      </c>
      <c r="E269" s="53" t="s">
        <v>19</v>
      </c>
      <c r="F269" s="53" t="s">
        <v>104</v>
      </c>
      <c r="G269" s="53" t="s">
        <v>4969</v>
      </c>
      <c r="H269" s="53" t="s">
        <v>4705</v>
      </c>
      <c r="I269" s="58" t="s">
        <v>3766</v>
      </c>
      <c r="J269" s="58" t="s">
        <v>3767</v>
      </c>
      <c r="K269" s="103" t="s">
        <v>4154</v>
      </c>
      <c r="L269" s="53" t="s">
        <v>149</v>
      </c>
      <c r="M269" s="53">
        <v>0</v>
      </c>
      <c r="N269" s="53" t="s">
        <v>2434</v>
      </c>
      <c r="O269" s="58" t="s">
        <v>5028</v>
      </c>
      <c r="P269" s="53" t="s">
        <v>3723</v>
      </c>
      <c r="Q269" s="58" t="s">
        <v>3768</v>
      </c>
      <c r="R269" s="53">
        <v>2007</v>
      </c>
      <c r="S269" s="53" t="s">
        <v>248</v>
      </c>
      <c r="T269" s="53">
        <v>6.5</v>
      </c>
      <c r="U269" s="53"/>
      <c r="V269" s="68" t="s">
        <v>283</v>
      </c>
      <c r="W269" s="53" t="s">
        <v>248</v>
      </c>
      <c r="X269" s="197" t="s">
        <v>4154</v>
      </c>
      <c r="Y269" s="53"/>
      <c r="Z269" s="53"/>
      <c r="AA269" s="58"/>
      <c r="AB269" s="188" t="s">
        <v>2543</v>
      </c>
      <c r="AC269" s="58" t="s">
        <v>157</v>
      </c>
      <c r="AD269" s="58" t="s">
        <v>157</v>
      </c>
      <c r="AE269" s="58"/>
      <c r="AF269" s="68"/>
      <c r="AG269" s="58" t="s">
        <v>2371</v>
      </c>
      <c r="AH269" s="53" t="s">
        <v>155</v>
      </c>
      <c r="AI269" s="58"/>
      <c r="AJ269" s="140" t="s">
        <v>3769</v>
      </c>
      <c r="AK269" s="152" t="s">
        <v>2543</v>
      </c>
      <c r="AL269" s="152" t="s">
        <v>3725</v>
      </c>
      <c r="AM269" s="58" t="s">
        <v>3770</v>
      </c>
      <c r="AN269" s="65" t="s">
        <v>3771</v>
      </c>
      <c r="AO269" s="64"/>
      <c r="AQ269" s="67" t="s">
        <v>2427</v>
      </c>
      <c r="AU269" s="40"/>
      <c r="AV269" s="54">
        <v>7140206</v>
      </c>
      <c r="AW269" s="53">
        <v>596</v>
      </c>
      <c r="BJ269" s="40"/>
      <c r="BK269" s="40"/>
      <c r="BN269" s="16"/>
      <c r="BO269" s="16"/>
    </row>
    <row r="270" spans="1:67" s="67" customFormat="1" ht="15.95" customHeight="1" x14ac:dyDescent="0.25">
      <c r="A270" s="16"/>
      <c r="B270" s="55"/>
      <c r="C270" s="59"/>
      <c r="D270" s="53"/>
      <c r="E270" s="68"/>
      <c r="F270" s="49"/>
      <c r="G270" s="49"/>
      <c r="H270" s="49"/>
      <c r="I270" s="56" t="s">
        <v>1025</v>
      </c>
      <c r="J270" s="49"/>
      <c r="K270" s="234"/>
      <c r="L270" s="68"/>
      <c r="M270" s="68"/>
      <c r="N270" s="59"/>
      <c r="O270" s="73"/>
      <c r="P270" s="59"/>
      <c r="Q270" s="73"/>
      <c r="R270" s="53"/>
      <c r="S270" s="59"/>
      <c r="T270" s="68"/>
      <c r="U270" s="68"/>
      <c r="V270" s="53"/>
      <c r="W270" s="59"/>
      <c r="X270" s="81"/>
      <c r="Y270" s="59"/>
      <c r="Z270" s="53"/>
      <c r="AA270" s="58"/>
      <c r="AB270" s="76"/>
      <c r="AC270" s="53"/>
      <c r="AD270" s="53"/>
      <c r="AE270" s="58"/>
      <c r="AF270" s="148"/>
      <c r="AG270" s="59"/>
      <c r="AH270" s="59"/>
      <c r="AI270" s="58"/>
      <c r="AJ270" s="61"/>
      <c r="AK270" s="59"/>
      <c r="AL270" s="53"/>
      <c r="AM270" s="79"/>
      <c r="AN270" s="65"/>
      <c r="AO270" s="53"/>
      <c r="AP270" s="66"/>
      <c r="AR270" s="38"/>
      <c r="AT270" s="40"/>
      <c r="AU270" s="40"/>
      <c r="AV270" s="54">
        <v>7140209</v>
      </c>
      <c r="AW270" s="53">
        <v>124</v>
      </c>
      <c r="AY270" s="40"/>
      <c r="AZ270" s="40"/>
      <c r="BI270" s="36"/>
      <c r="BJ270" s="36"/>
      <c r="BK270" s="37"/>
      <c r="BN270" s="16"/>
      <c r="BO270" s="16"/>
    </row>
    <row r="271" spans="1:67" s="67" customFormat="1" ht="15.95" customHeight="1" x14ac:dyDescent="0.25">
      <c r="A271" s="16"/>
      <c r="B271" s="68">
        <f>SUBTOTAL(103,$K$271:K271)</f>
        <v>1</v>
      </c>
      <c r="C271" s="59" t="s">
        <v>146</v>
      </c>
      <c r="D271" s="53" t="s">
        <v>158</v>
      </c>
      <c r="E271" s="68" t="s">
        <v>19</v>
      </c>
      <c r="F271" s="53" t="s">
        <v>105</v>
      </c>
      <c r="G271" s="53" t="s">
        <v>4707</v>
      </c>
      <c r="H271" s="53" t="s">
        <v>4706</v>
      </c>
      <c r="I271" s="58" t="s">
        <v>182</v>
      </c>
      <c r="J271" s="58" t="s">
        <v>1026</v>
      </c>
      <c r="K271" s="103" t="s">
        <v>4155</v>
      </c>
      <c r="L271" s="53" t="s">
        <v>170</v>
      </c>
      <c r="M271" s="68">
        <v>1</v>
      </c>
      <c r="N271" s="68" t="s">
        <v>150</v>
      </c>
      <c r="O271" s="58" t="s">
        <v>5029</v>
      </c>
      <c r="P271" s="53" t="s">
        <v>3892</v>
      </c>
      <c r="Q271" s="58" t="s">
        <v>1027</v>
      </c>
      <c r="R271" s="53">
        <v>2002</v>
      </c>
      <c r="S271" s="53" t="s">
        <v>337</v>
      </c>
      <c r="T271" s="53" t="s">
        <v>1028</v>
      </c>
      <c r="U271" s="53"/>
      <c r="V271" s="53" t="s">
        <v>411</v>
      </c>
      <c r="W271" s="59" t="s">
        <v>153</v>
      </c>
      <c r="X271" s="57" t="s">
        <v>4155</v>
      </c>
      <c r="Y271" s="59"/>
      <c r="Z271" s="53"/>
      <c r="AA271" s="58"/>
      <c r="AB271" s="76" t="s">
        <v>156</v>
      </c>
      <c r="AC271" s="58" t="s">
        <v>157</v>
      </c>
      <c r="AD271" s="58" t="s">
        <v>157</v>
      </c>
      <c r="AE271" s="58"/>
      <c r="AF271" s="148"/>
      <c r="AG271" s="58" t="s">
        <v>228</v>
      </c>
      <c r="AH271" s="53" t="s">
        <v>155</v>
      </c>
      <c r="AI271" s="58"/>
      <c r="AJ271" s="61" t="s">
        <v>1029</v>
      </c>
      <c r="AK271" s="68" t="s">
        <v>156</v>
      </c>
      <c r="AL271" s="71" t="s">
        <v>483</v>
      </c>
      <c r="AM271" s="74" t="s">
        <v>1030</v>
      </c>
      <c r="AN271" s="65" t="s">
        <v>1031</v>
      </c>
      <c r="AO271" s="59" t="s">
        <v>164</v>
      </c>
      <c r="AP271" s="227" t="s">
        <v>498</v>
      </c>
      <c r="AQ271" s="67" t="s">
        <v>515</v>
      </c>
      <c r="AR271" s="38"/>
      <c r="AT271" s="40"/>
      <c r="AU271" s="40"/>
      <c r="AV271" s="54">
        <v>7140209</v>
      </c>
      <c r="AW271" s="53">
        <v>125</v>
      </c>
      <c r="AY271" s="40"/>
      <c r="AZ271" s="40"/>
      <c r="BI271" s="36"/>
      <c r="BJ271" s="36"/>
      <c r="BK271" s="37"/>
      <c r="BN271" s="16"/>
      <c r="BO271" s="16"/>
    </row>
    <row r="272" spans="1:67" s="67" customFormat="1" ht="15.95" customHeight="1" x14ac:dyDescent="0.25">
      <c r="A272" s="16"/>
      <c r="B272" s="68">
        <f>SUBTOTAL(103,$K$271:K272)</f>
        <v>2</v>
      </c>
      <c r="C272" s="59" t="s">
        <v>167</v>
      </c>
      <c r="D272" s="53" t="s">
        <v>158</v>
      </c>
      <c r="E272" s="53" t="s">
        <v>19</v>
      </c>
      <c r="F272" s="53" t="s">
        <v>105</v>
      </c>
      <c r="G272" s="53" t="s">
        <v>4707</v>
      </c>
      <c r="H272" s="53" t="s">
        <v>4708</v>
      </c>
      <c r="I272" s="58" t="s">
        <v>472</v>
      </c>
      <c r="J272" s="58" t="s">
        <v>1032</v>
      </c>
      <c r="K272" s="103" t="s">
        <v>4156</v>
      </c>
      <c r="L272" s="53" t="s">
        <v>170</v>
      </c>
      <c r="M272" s="68">
        <v>1</v>
      </c>
      <c r="N272" s="53" t="s">
        <v>150</v>
      </c>
      <c r="O272" s="58" t="s">
        <v>5029</v>
      </c>
      <c r="P272" s="53" t="s">
        <v>3892</v>
      </c>
      <c r="Q272" s="58" t="s">
        <v>1033</v>
      </c>
      <c r="R272" s="53">
        <v>2009</v>
      </c>
      <c r="S272" s="53" t="s">
        <v>337</v>
      </c>
      <c r="T272" s="53" t="s">
        <v>1034</v>
      </c>
      <c r="U272" s="53"/>
      <c r="V272" s="53" t="s">
        <v>384</v>
      </c>
      <c r="W272" s="53" t="s">
        <v>153</v>
      </c>
      <c r="X272" s="57" t="s">
        <v>4156</v>
      </c>
      <c r="Y272" s="59"/>
      <c r="Z272" s="53"/>
      <c r="AA272" s="58"/>
      <c r="AB272" s="76" t="s">
        <v>156</v>
      </c>
      <c r="AC272" s="58" t="s">
        <v>157</v>
      </c>
      <c r="AD272" s="53" t="s">
        <v>157</v>
      </c>
      <c r="AE272" s="53"/>
      <c r="AF272" s="148"/>
      <c r="AG272" s="58" t="s">
        <v>1035</v>
      </c>
      <c r="AH272" s="53" t="s">
        <v>155</v>
      </c>
      <c r="AI272" s="58" t="s">
        <v>1036</v>
      </c>
      <c r="AJ272" s="61" t="s">
        <v>1037</v>
      </c>
      <c r="AK272" s="68" t="s">
        <v>156</v>
      </c>
      <c r="AL272" s="63" t="s">
        <v>1038</v>
      </c>
      <c r="AM272" s="64" t="s">
        <v>1039</v>
      </c>
      <c r="AN272" s="65" t="s">
        <v>1040</v>
      </c>
      <c r="AO272" s="53" t="s">
        <v>164</v>
      </c>
      <c r="AP272" s="66" t="s">
        <v>1041</v>
      </c>
      <c r="AQ272" s="67" t="s">
        <v>449</v>
      </c>
      <c r="AR272" s="38"/>
      <c r="AT272" s="40"/>
      <c r="AU272" s="40"/>
      <c r="AV272" s="54">
        <v>7140209</v>
      </c>
      <c r="AW272" s="53">
        <v>126</v>
      </c>
      <c r="AY272" s="40"/>
      <c r="AZ272" s="40"/>
      <c r="BI272" s="36"/>
      <c r="BJ272" s="36"/>
      <c r="BK272" s="37"/>
      <c r="BN272" s="16"/>
      <c r="BO272" s="16"/>
    </row>
    <row r="273" spans="1:67" s="67" customFormat="1" ht="15.95" customHeight="1" x14ac:dyDescent="0.25">
      <c r="A273" s="16"/>
      <c r="B273" s="68">
        <f>SUBTOTAL(103,$K$271:K273)</f>
        <v>3</v>
      </c>
      <c r="C273" s="59" t="s">
        <v>181</v>
      </c>
      <c r="D273" s="53" t="s">
        <v>158</v>
      </c>
      <c r="E273" s="53" t="s">
        <v>19</v>
      </c>
      <c r="F273" s="53" t="s">
        <v>105</v>
      </c>
      <c r="G273" s="53" t="s">
        <v>4707</v>
      </c>
      <c r="H273" s="53" t="s">
        <v>4709</v>
      </c>
      <c r="I273" s="58" t="s">
        <v>1042</v>
      </c>
      <c r="J273" s="58" t="s">
        <v>934</v>
      </c>
      <c r="K273" s="103" t="s">
        <v>4157</v>
      </c>
      <c r="L273" s="53" t="s">
        <v>170</v>
      </c>
      <c r="M273" s="68">
        <v>1</v>
      </c>
      <c r="N273" s="53" t="s">
        <v>441</v>
      </c>
      <c r="O273" s="58" t="s">
        <v>5029</v>
      </c>
      <c r="P273" s="53" t="s">
        <v>3892</v>
      </c>
      <c r="Q273" s="58" t="s">
        <v>1043</v>
      </c>
      <c r="R273" s="53">
        <v>2008</v>
      </c>
      <c r="S273" s="53" t="s">
        <v>337</v>
      </c>
      <c r="T273" s="53" t="s">
        <v>1044</v>
      </c>
      <c r="U273" s="53"/>
      <c r="V273" s="53" t="s">
        <v>434</v>
      </c>
      <c r="W273" s="53" t="s">
        <v>153</v>
      </c>
      <c r="X273" s="57" t="s">
        <v>4157</v>
      </c>
      <c r="Y273" s="59"/>
      <c r="Z273" s="53"/>
      <c r="AA273" s="58"/>
      <c r="AB273" s="76" t="s">
        <v>156</v>
      </c>
      <c r="AC273" s="58" t="s">
        <v>157</v>
      </c>
      <c r="AD273" s="53" t="s">
        <v>157</v>
      </c>
      <c r="AE273" s="53"/>
      <c r="AF273" s="148"/>
      <c r="AG273" s="59" t="s">
        <v>228</v>
      </c>
      <c r="AH273" s="53" t="s">
        <v>155</v>
      </c>
      <c r="AI273" s="58"/>
      <c r="AJ273" s="61" t="s">
        <v>1045</v>
      </c>
      <c r="AK273" s="68" t="s">
        <v>156</v>
      </c>
      <c r="AL273" s="59" t="s">
        <v>340</v>
      </c>
      <c r="AM273" s="64" t="s">
        <v>1046</v>
      </c>
      <c r="AN273" s="65" t="s">
        <v>1047</v>
      </c>
      <c r="AO273" s="53" t="s">
        <v>164</v>
      </c>
      <c r="AP273" s="66"/>
      <c r="AQ273" s="67" t="s">
        <v>449</v>
      </c>
      <c r="AR273" s="38"/>
      <c r="AT273" s="40"/>
      <c r="AU273" s="40"/>
      <c r="AV273" s="54">
        <v>7140209</v>
      </c>
      <c r="AW273" s="53">
        <v>127</v>
      </c>
      <c r="AY273" s="40"/>
      <c r="AZ273" s="40"/>
      <c r="BI273" s="36"/>
      <c r="BJ273" s="36"/>
      <c r="BK273" s="37"/>
      <c r="BN273" s="16"/>
      <c r="BO273" s="16"/>
    </row>
    <row r="274" spans="1:67" s="67" customFormat="1" ht="15.95" customHeight="1" x14ac:dyDescent="0.25">
      <c r="A274" s="16"/>
      <c r="B274" s="68">
        <f>SUBTOTAL(103,$K$271:K274)</f>
        <v>4</v>
      </c>
      <c r="C274" s="59" t="s">
        <v>194</v>
      </c>
      <c r="D274" s="53" t="s">
        <v>158</v>
      </c>
      <c r="E274" s="68" t="s">
        <v>19</v>
      </c>
      <c r="F274" s="68" t="s">
        <v>105</v>
      </c>
      <c r="G274" s="53" t="s">
        <v>4707</v>
      </c>
      <c r="H274" s="53" t="s">
        <v>4710</v>
      </c>
      <c r="I274" s="58" t="s">
        <v>204</v>
      </c>
      <c r="J274" s="58" t="s">
        <v>1048</v>
      </c>
      <c r="K274" s="234" t="s">
        <v>4158</v>
      </c>
      <c r="L274" s="53" t="s">
        <v>149</v>
      </c>
      <c r="M274" s="53">
        <v>0</v>
      </c>
      <c r="N274" s="53" t="s">
        <v>150</v>
      </c>
      <c r="O274" s="58" t="s">
        <v>5029</v>
      </c>
      <c r="P274" s="53" t="s">
        <v>3892</v>
      </c>
      <c r="Q274" s="58" t="s">
        <v>29</v>
      </c>
      <c r="R274" s="53">
        <v>2011</v>
      </c>
      <c r="S274" s="59" t="s">
        <v>337</v>
      </c>
      <c r="T274" s="68" t="s">
        <v>1049</v>
      </c>
      <c r="U274" s="68"/>
      <c r="V274" s="53"/>
      <c r="W274" s="59"/>
      <c r="X274" s="81" t="s">
        <v>4158</v>
      </c>
      <c r="Y274" s="59"/>
      <c r="Z274" s="53"/>
      <c r="AA274" s="58"/>
      <c r="AB274" s="76" t="s">
        <v>156</v>
      </c>
      <c r="AC274" s="53" t="s">
        <v>157</v>
      </c>
      <c r="AD274" s="53"/>
      <c r="AE274" s="58"/>
      <c r="AF274" s="148"/>
      <c r="AG274" s="58" t="s">
        <v>1050</v>
      </c>
      <c r="AH274" s="59" t="s">
        <v>155</v>
      </c>
      <c r="AI274" s="58"/>
      <c r="AJ274" s="61" t="s">
        <v>1051</v>
      </c>
      <c r="AK274" s="68" t="s">
        <v>156</v>
      </c>
      <c r="AL274" s="71" t="s">
        <v>436</v>
      </c>
      <c r="AM274" s="64" t="s">
        <v>1052</v>
      </c>
      <c r="AN274" s="65" t="s">
        <v>1053</v>
      </c>
      <c r="AO274" s="53" t="s">
        <v>164</v>
      </c>
      <c r="AP274" s="66" t="s">
        <v>743</v>
      </c>
      <c r="AQ274" s="67" t="s">
        <v>900</v>
      </c>
      <c r="AR274" s="38"/>
      <c r="AT274" s="40"/>
      <c r="AU274" s="40"/>
      <c r="AV274" s="54">
        <v>7140209</v>
      </c>
      <c r="AW274" s="53">
        <v>128</v>
      </c>
      <c r="AY274" s="40"/>
      <c r="AZ274" s="40"/>
      <c r="BI274" s="36"/>
      <c r="BJ274" s="36"/>
      <c r="BK274" s="37"/>
      <c r="BN274" s="16"/>
      <c r="BO274" s="16"/>
    </row>
    <row r="275" spans="1:67" s="67" customFormat="1" ht="15.95" customHeight="1" x14ac:dyDescent="0.25">
      <c r="A275" s="16"/>
      <c r="B275" s="68">
        <f>SUBTOTAL(103,$K$271:K275)</f>
        <v>5</v>
      </c>
      <c r="C275" s="59" t="s">
        <v>203</v>
      </c>
      <c r="D275" s="53" t="s">
        <v>158</v>
      </c>
      <c r="E275" s="68" t="s">
        <v>19</v>
      </c>
      <c r="F275" s="53" t="s">
        <v>106</v>
      </c>
      <c r="G275" s="53" t="s">
        <v>4707</v>
      </c>
      <c r="H275" s="53" t="s">
        <v>4711</v>
      </c>
      <c r="I275" s="58" t="s">
        <v>472</v>
      </c>
      <c r="J275" s="58" t="s">
        <v>1054</v>
      </c>
      <c r="K275" s="103" t="s">
        <v>4159</v>
      </c>
      <c r="L275" s="53" t="s">
        <v>170</v>
      </c>
      <c r="M275" s="68">
        <v>1</v>
      </c>
      <c r="N275" s="59" t="s">
        <v>150</v>
      </c>
      <c r="O275" s="58" t="s">
        <v>5029</v>
      </c>
      <c r="P275" s="53" t="s">
        <v>3892</v>
      </c>
      <c r="Q275" s="58" t="s">
        <v>1055</v>
      </c>
      <c r="R275" s="53">
        <v>2011</v>
      </c>
      <c r="S275" s="53" t="s">
        <v>153</v>
      </c>
      <c r="T275" s="53" t="s">
        <v>1056</v>
      </c>
      <c r="U275" s="53"/>
      <c r="V275" s="53"/>
      <c r="W275" s="53"/>
      <c r="X275" s="57" t="s">
        <v>4159</v>
      </c>
      <c r="Y275" s="59"/>
      <c r="Z275" s="53"/>
      <c r="AA275" s="58"/>
      <c r="AB275" s="76" t="s">
        <v>156</v>
      </c>
      <c r="AC275" s="53"/>
      <c r="AD275" s="53"/>
      <c r="AE275" s="58"/>
      <c r="AF275" s="148"/>
      <c r="AG275" s="58" t="s">
        <v>228</v>
      </c>
      <c r="AH275" s="53" t="s">
        <v>155</v>
      </c>
      <c r="AI275" s="58"/>
      <c r="AJ275" s="61" t="s">
        <v>1057</v>
      </c>
      <c r="AK275" s="68" t="s">
        <v>156</v>
      </c>
      <c r="AL275" s="71" t="s">
        <v>229</v>
      </c>
      <c r="AM275" s="64" t="s">
        <v>1058</v>
      </c>
      <c r="AN275" s="65" t="s">
        <v>1059</v>
      </c>
      <c r="AO275" s="53" t="s">
        <v>164</v>
      </c>
      <c r="AP275" s="66"/>
      <c r="AQ275" s="67" t="s">
        <v>900</v>
      </c>
      <c r="AR275" s="38"/>
      <c r="AT275" s="40"/>
      <c r="AU275" s="40"/>
      <c r="AV275" s="54">
        <v>7140209</v>
      </c>
      <c r="AW275" s="53">
        <v>129</v>
      </c>
      <c r="AY275" s="40"/>
      <c r="AZ275" s="40"/>
      <c r="BI275" s="36"/>
      <c r="BJ275" s="36"/>
      <c r="BK275" s="37"/>
      <c r="BN275" s="16"/>
      <c r="BO275" s="16"/>
    </row>
    <row r="276" spans="1:67" s="67" customFormat="1" ht="15.95" customHeight="1" x14ac:dyDescent="0.25">
      <c r="A276" s="16"/>
      <c r="B276" s="68">
        <f>SUBTOTAL(103,$K$271:K276)</f>
        <v>6</v>
      </c>
      <c r="C276" s="59" t="s">
        <v>212</v>
      </c>
      <c r="D276" s="53" t="s">
        <v>158</v>
      </c>
      <c r="E276" s="68" t="s">
        <v>19</v>
      </c>
      <c r="F276" s="53" t="s">
        <v>106</v>
      </c>
      <c r="G276" s="53" t="s">
        <v>4707</v>
      </c>
      <c r="H276" s="53" t="s">
        <v>4712</v>
      </c>
      <c r="I276" s="58" t="s">
        <v>168</v>
      </c>
      <c r="J276" s="58" t="s">
        <v>1060</v>
      </c>
      <c r="K276" s="103" t="s">
        <v>4160</v>
      </c>
      <c r="L276" s="53" t="s">
        <v>170</v>
      </c>
      <c r="M276" s="68">
        <v>1</v>
      </c>
      <c r="N276" s="68" t="s">
        <v>150</v>
      </c>
      <c r="O276" s="58" t="s">
        <v>5029</v>
      </c>
      <c r="P276" s="53" t="s">
        <v>3892</v>
      </c>
      <c r="Q276" s="58" t="s">
        <v>34</v>
      </c>
      <c r="R276" s="53">
        <v>2008</v>
      </c>
      <c r="S276" s="53" t="s">
        <v>337</v>
      </c>
      <c r="T276" s="53" t="s">
        <v>1061</v>
      </c>
      <c r="U276" s="53"/>
      <c r="V276" s="53" t="s">
        <v>186</v>
      </c>
      <c r="W276" s="59" t="s">
        <v>153</v>
      </c>
      <c r="X276" s="57" t="s">
        <v>4160</v>
      </c>
      <c r="Y276" s="59"/>
      <c r="Z276" s="53"/>
      <c r="AA276" s="58"/>
      <c r="AB276" s="76" t="s">
        <v>156</v>
      </c>
      <c r="AC276" s="58" t="s">
        <v>157</v>
      </c>
      <c r="AD276" s="53" t="s">
        <v>157</v>
      </c>
      <c r="AE276" s="58">
        <v>17</v>
      </c>
      <c r="AF276" s="148"/>
      <c r="AG276" s="59" t="s">
        <v>206</v>
      </c>
      <c r="AH276" s="53" t="s">
        <v>155</v>
      </c>
      <c r="AI276" s="58"/>
      <c r="AJ276" s="61" t="s">
        <v>1062</v>
      </c>
      <c r="AK276" s="68" t="s">
        <v>156</v>
      </c>
      <c r="AL276" s="63" t="s">
        <v>387</v>
      </c>
      <c r="AM276" s="79" t="s">
        <v>1063</v>
      </c>
      <c r="AN276" s="65" t="s">
        <v>1064</v>
      </c>
      <c r="AO276" s="53" t="s">
        <v>164</v>
      </c>
      <c r="AP276" s="66"/>
      <c r="AQ276" s="67" t="s">
        <v>680</v>
      </c>
      <c r="AR276" s="38"/>
      <c r="AT276" s="40"/>
      <c r="AU276" s="40"/>
      <c r="AV276" s="54">
        <v>7140209</v>
      </c>
      <c r="AW276" s="53">
        <v>130</v>
      </c>
      <c r="AY276" s="40"/>
      <c r="AZ276" s="40"/>
      <c r="BI276" s="36"/>
      <c r="BJ276" s="36"/>
      <c r="BK276" s="37"/>
      <c r="BN276" s="16"/>
      <c r="BO276" s="16"/>
    </row>
    <row r="277" spans="1:67" s="67" customFormat="1" ht="15.95" customHeight="1" x14ac:dyDescent="0.25">
      <c r="A277" s="16"/>
      <c r="B277" s="68">
        <f>SUBTOTAL(103,$K$271:K277)</f>
        <v>7</v>
      </c>
      <c r="C277" s="59" t="s">
        <v>225</v>
      </c>
      <c r="D277" s="53" t="s">
        <v>158</v>
      </c>
      <c r="E277" s="68" t="s">
        <v>19</v>
      </c>
      <c r="F277" s="59" t="s">
        <v>106</v>
      </c>
      <c r="G277" s="53" t="s">
        <v>4707</v>
      </c>
      <c r="H277" s="53" t="s">
        <v>4713</v>
      </c>
      <c r="I277" s="73" t="s">
        <v>1065</v>
      </c>
      <c r="J277" s="74" t="s">
        <v>1066</v>
      </c>
      <c r="K277" s="75" t="s">
        <v>4161</v>
      </c>
      <c r="L277" s="59" t="s">
        <v>1067</v>
      </c>
      <c r="M277" s="68">
        <v>1</v>
      </c>
      <c r="N277" s="59" t="s">
        <v>150</v>
      </c>
      <c r="O277" s="58" t="s">
        <v>5029</v>
      </c>
      <c r="P277" s="53" t="s">
        <v>3892</v>
      </c>
      <c r="Q277" s="73" t="s">
        <v>30</v>
      </c>
      <c r="R277" s="59" t="s">
        <v>152</v>
      </c>
      <c r="S277" s="59" t="s">
        <v>236</v>
      </c>
      <c r="T277" s="59" t="s">
        <v>1068</v>
      </c>
      <c r="U277" s="59" t="s">
        <v>1069</v>
      </c>
      <c r="V277" s="59" t="s">
        <v>328</v>
      </c>
      <c r="W277" s="59" t="s">
        <v>236</v>
      </c>
      <c r="X277" s="75" t="s">
        <v>4161</v>
      </c>
      <c r="Y277" s="59" t="s">
        <v>1070</v>
      </c>
      <c r="Z277" s="59" t="s">
        <v>1071</v>
      </c>
      <c r="AA277" s="58"/>
      <c r="AB277" s="76" t="s">
        <v>156</v>
      </c>
      <c r="AC277" s="59" t="s">
        <v>157</v>
      </c>
      <c r="AD277" s="59" t="s">
        <v>157</v>
      </c>
      <c r="AE277" s="59"/>
      <c r="AF277" s="59"/>
      <c r="AG277" s="59" t="s">
        <v>228</v>
      </c>
      <c r="AH277" s="59" t="s">
        <v>155</v>
      </c>
      <c r="AI277" s="59"/>
      <c r="AJ277" s="77" t="s">
        <v>1072</v>
      </c>
      <c r="AK277" s="68" t="s">
        <v>156</v>
      </c>
      <c r="AL277" s="71" t="s">
        <v>366</v>
      </c>
      <c r="AM277" s="74" t="s">
        <v>1073</v>
      </c>
      <c r="AN277" s="78" t="s">
        <v>1074</v>
      </c>
      <c r="AO277" s="59" t="s">
        <v>164</v>
      </c>
      <c r="AP277" s="66"/>
      <c r="AQ277" s="67" t="s">
        <v>166</v>
      </c>
      <c r="AR277" s="38"/>
      <c r="AT277" s="40"/>
      <c r="AU277" s="40"/>
      <c r="AV277" s="54">
        <v>7140209</v>
      </c>
      <c r="AW277" s="53">
        <v>131</v>
      </c>
      <c r="AY277" s="40"/>
      <c r="AZ277" s="40"/>
      <c r="BI277" s="36"/>
      <c r="BJ277" s="36"/>
      <c r="BK277" s="37"/>
      <c r="BN277" s="16"/>
      <c r="BO277" s="16"/>
    </row>
    <row r="278" spans="1:67" s="67" customFormat="1" ht="15.95" customHeight="1" x14ac:dyDescent="0.25">
      <c r="A278" s="16"/>
      <c r="B278" s="68">
        <f>SUBTOTAL(103,$K$271:K278)</f>
        <v>8</v>
      </c>
      <c r="C278" s="59" t="s">
        <v>233</v>
      </c>
      <c r="D278" s="53" t="s">
        <v>158</v>
      </c>
      <c r="E278" s="68" t="s">
        <v>19</v>
      </c>
      <c r="F278" s="59" t="s">
        <v>106</v>
      </c>
      <c r="G278" s="53" t="s">
        <v>4707</v>
      </c>
      <c r="H278" s="53" t="s">
        <v>4714</v>
      </c>
      <c r="I278" s="73" t="s">
        <v>1075</v>
      </c>
      <c r="J278" s="74" t="s">
        <v>508</v>
      </c>
      <c r="K278" s="75" t="s">
        <v>4162</v>
      </c>
      <c r="L278" s="59" t="s">
        <v>170</v>
      </c>
      <c r="M278" s="68">
        <v>1</v>
      </c>
      <c r="N278" s="59" t="s">
        <v>150</v>
      </c>
      <c r="O278" s="58" t="s">
        <v>5029</v>
      </c>
      <c r="P278" s="53" t="s">
        <v>3892</v>
      </c>
      <c r="Q278" s="73" t="s">
        <v>1076</v>
      </c>
      <c r="R278" s="59" t="s">
        <v>152</v>
      </c>
      <c r="S278" s="59" t="s">
        <v>236</v>
      </c>
      <c r="T278" s="59" t="s">
        <v>237</v>
      </c>
      <c r="U278" s="59" t="s">
        <v>1077</v>
      </c>
      <c r="V278" s="59" t="s">
        <v>607</v>
      </c>
      <c r="W278" s="59" t="s">
        <v>236</v>
      </c>
      <c r="X278" s="75" t="s">
        <v>4162</v>
      </c>
      <c r="Y278" s="59" t="s">
        <v>1070</v>
      </c>
      <c r="Z278" s="59" t="s">
        <v>1078</v>
      </c>
      <c r="AA278" s="58"/>
      <c r="AB278" s="76" t="s">
        <v>156</v>
      </c>
      <c r="AC278" s="59" t="s">
        <v>157</v>
      </c>
      <c r="AD278" s="59" t="s">
        <v>157</v>
      </c>
      <c r="AE278" s="59"/>
      <c r="AF278" s="59"/>
      <c r="AG278" s="59" t="s">
        <v>228</v>
      </c>
      <c r="AH278" s="59" t="s">
        <v>155</v>
      </c>
      <c r="AI278" s="59"/>
      <c r="AJ278" s="77" t="s">
        <v>1079</v>
      </c>
      <c r="AK278" s="59" t="s">
        <v>156</v>
      </c>
      <c r="AL278" s="59" t="s">
        <v>309</v>
      </c>
      <c r="AM278" s="74" t="s">
        <v>1080</v>
      </c>
      <c r="AN278" s="78" t="s">
        <v>1081</v>
      </c>
      <c r="AO278" s="59" t="s">
        <v>164</v>
      </c>
      <c r="AP278" s="66" t="s">
        <v>1082</v>
      </c>
      <c r="AQ278" s="67" t="s">
        <v>180</v>
      </c>
      <c r="AR278" s="38"/>
      <c r="AT278" s="40"/>
      <c r="AU278" s="40"/>
      <c r="AV278" s="54">
        <v>7140209</v>
      </c>
      <c r="AW278" s="53">
        <v>132</v>
      </c>
      <c r="AY278" s="40"/>
      <c r="AZ278" s="40"/>
      <c r="BI278" s="36"/>
      <c r="BJ278" s="36"/>
      <c r="BK278" s="37"/>
      <c r="BN278" s="16"/>
      <c r="BO278" s="16"/>
    </row>
    <row r="279" spans="1:67" s="67" customFormat="1" ht="15.95" customHeight="1" x14ac:dyDescent="0.25">
      <c r="A279" s="16"/>
      <c r="B279" s="68">
        <f>SUBTOTAL(103,$K$271:K279)</f>
        <v>9</v>
      </c>
      <c r="C279" s="59" t="s">
        <v>244</v>
      </c>
      <c r="D279" s="53" t="s">
        <v>158</v>
      </c>
      <c r="E279" s="68" t="s">
        <v>19</v>
      </c>
      <c r="F279" s="53" t="s">
        <v>106</v>
      </c>
      <c r="G279" s="53" t="s">
        <v>4707</v>
      </c>
      <c r="H279" s="53" t="s">
        <v>4715</v>
      </c>
      <c r="I279" s="58" t="s">
        <v>182</v>
      </c>
      <c r="J279" s="58" t="s">
        <v>776</v>
      </c>
      <c r="K279" s="103" t="s">
        <v>4163</v>
      </c>
      <c r="L279" s="68" t="s">
        <v>170</v>
      </c>
      <c r="M279" s="68">
        <v>1</v>
      </c>
      <c r="N279" s="68" t="s">
        <v>150</v>
      </c>
      <c r="O279" s="58" t="s">
        <v>5029</v>
      </c>
      <c r="P279" s="53" t="s">
        <v>3892</v>
      </c>
      <c r="Q279" s="58" t="s">
        <v>1083</v>
      </c>
      <c r="R279" s="53">
        <v>2010</v>
      </c>
      <c r="S279" s="68" t="s">
        <v>236</v>
      </c>
      <c r="T279" s="53" t="s">
        <v>1084</v>
      </c>
      <c r="U279" s="53"/>
      <c r="V279" s="53"/>
      <c r="W279" s="59"/>
      <c r="X279" s="57" t="s">
        <v>4163</v>
      </c>
      <c r="Y279" s="59"/>
      <c r="Z279" s="53"/>
      <c r="AA279" s="58"/>
      <c r="AB279" s="76" t="s">
        <v>156</v>
      </c>
      <c r="AC279" s="53"/>
      <c r="AD279" s="53"/>
      <c r="AE279" s="58"/>
      <c r="AF279" s="148"/>
      <c r="AG279" s="74" t="s">
        <v>228</v>
      </c>
      <c r="AH279" s="53" t="s">
        <v>155</v>
      </c>
      <c r="AI279" s="58" t="s">
        <v>1085</v>
      </c>
      <c r="AJ279" s="61" t="s">
        <v>1086</v>
      </c>
      <c r="AK279" s="68" t="s">
        <v>156</v>
      </c>
      <c r="AL279" s="71" t="s">
        <v>495</v>
      </c>
      <c r="AM279" s="74" t="s">
        <v>1087</v>
      </c>
      <c r="AN279" s="65" t="s">
        <v>1088</v>
      </c>
      <c r="AO279" s="53" t="s">
        <v>164</v>
      </c>
      <c r="AP279" s="66" t="s">
        <v>1089</v>
      </c>
      <c r="AQ279" s="67" t="s">
        <v>1090</v>
      </c>
      <c r="AR279" s="38"/>
      <c r="AT279" s="40"/>
      <c r="AU279" s="40"/>
      <c r="AV279" s="54">
        <v>7140209</v>
      </c>
      <c r="AW279" s="53">
        <v>133</v>
      </c>
      <c r="AY279" s="40"/>
      <c r="AZ279" s="40"/>
      <c r="BI279" s="36"/>
      <c r="BJ279" s="36"/>
      <c r="BK279" s="37"/>
      <c r="BN279" s="16"/>
      <c r="BO279" s="16"/>
    </row>
    <row r="280" spans="1:67" s="67" customFormat="1" ht="15.95" customHeight="1" x14ac:dyDescent="0.25">
      <c r="A280" s="16"/>
      <c r="B280" s="68">
        <f>SUBTOTAL(103,$K$271:K280)</f>
        <v>10</v>
      </c>
      <c r="C280" s="59" t="s">
        <v>257</v>
      </c>
      <c r="D280" s="53" t="s">
        <v>158</v>
      </c>
      <c r="E280" s="68" t="s">
        <v>19</v>
      </c>
      <c r="F280" s="59" t="s">
        <v>639</v>
      </c>
      <c r="G280" s="53" t="s">
        <v>4707</v>
      </c>
      <c r="H280" s="59" t="s">
        <v>4716</v>
      </c>
      <c r="I280" s="73" t="s">
        <v>1091</v>
      </c>
      <c r="J280" s="74" t="s">
        <v>676</v>
      </c>
      <c r="K280" s="75" t="s">
        <v>4164</v>
      </c>
      <c r="L280" s="59" t="s">
        <v>170</v>
      </c>
      <c r="M280" s="68">
        <v>1</v>
      </c>
      <c r="N280" s="59" t="s">
        <v>150</v>
      </c>
      <c r="O280" s="58" t="s">
        <v>5029</v>
      </c>
      <c r="P280" s="53" t="s">
        <v>3892</v>
      </c>
      <c r="Q280" s="58"/>
      <c r="R280" s="59" t="s">
        <v>371</v>
      </c>
      <c r="S280" s="59"/>
      <c r="T280" s="59"/>
      <c r="U280" s="59"/>
      <c r="V280" s="59" t="s">
        <v>685</v>
      </c>
      <c r="W280" s="59" t="s">
        <v>236</v>
      </c>
      <c r="X280" s="75" t="s">
        <v>4164</v>
      </c>
      <c r="Y280" s="59" t="s">
        <v>1092</v>
      </c>
      <c r="Z280" s="59" t="s">
        <v>1093</v>
      </c>
      <c r="AA280" s="58"/>
      <c r="AB280" s="76" t="s">
        <v>156</v>
      </c>
      <c r="AC280" s="59" t="s">
        <v>157</v>
      </c>
      <c r="AD280" s="59" t="s">
        <v>157</v>
      </c>
      <c r="AE280" s="59"/>
      <c r="AF280" s="59"/>
      <c r="AG280" s="59" t="s">
        <v>1094</v>
      </c>
      <c r="AH280" s="59"/>
      <c r="AI280" s="74" t="s">
        <v>1095</v>
      </c>
      <c r="AJ280" s="77" t="s">
        <v>1096</v>
      </c>
      <c r="AK280" s="68" t="s">
        <v>156</v>
      </c>
      <c r="AL280" s="71" t="s">
        <v>340</v>
      </c>
      <c r="AM280" s="74" t="s">
        <v>697</v>
      </c>
      <c r="AN280" s="78" t="s">
        <v>1097</v>
      </c>
      <c r="AO280" s="59" t="s">
        <v>164</v>
      </c>
      <c r="AP280" s="66"/>
      <c r="AQ280" s="67" t="s">
        <v>166</v>
      </c>
      <c r="AR280" s="38"/>
      <c r="AT280" s="40"/>
      <c r="AU280" s="40"/>
      <c r="AV280" s="54">
        <v>7140209</v>
      </c>
      <c r="AW280" s="53">
        <v>134</v>
      </c>
      <c r="AY280" s="40"/>
      <c r="AZ280" s="40"/>
      <c r="BI280" s="36"/>
      <c r="BJ280" s="36"/>
      <c r="BK280" s="37"/>
      <c r="BN280" s="16"/>
      <c r="BO280" s="16"/>
    </row>
    <row r="281" spans="1:67" s="67" customFormat="1" ht="15.95" customHeight="1" x14ac:dyDescent="0.25">
      <c r="A281" s="16"/>
      <c r="B281" s="68">
        <f>SUBTOTAL(103,$K$271:K281)</f>
        <v>11</v>
      </c>
      <c r="C281" s="59" t="s">
        <v>268</v>
      </c>
      <c r="D281" s="53" t="s">
        <v>158</v>
      </c>
      <c r="E281" s="68" t="s">
        <v>19</v>
      </c>
      <c r="F281" s="59" t="s">
        <v>639</v>
      </c>
      <c r="G281" s="53" t="s">
        <v>4707</v>
      </c>
      <c r="H281" s="59" t="s">
        <v>4717</v>
      </c>
      <c r="I281" s="73" t="s">
        <v>1098</v>
      </c>
      <c r="J281" s="74" t="s">
        <v>1099</v>
      </c>
      <c r="K281" s="75" t="s">
        <v>4165</v>
      </c>
      <c r="L281" s="59" t="s">
        <v>170</v>
      </c>
      <c r="M281" s="68">
        <v>1</v>
      </c>
      <c r="N281" s="59" t="s">
        <v>150</v>
      </c>
      <c r="O281" s="58" t="s">
        <v>5029</v>
      </c>
      <c r="P281" s="53" t="s">
        <v>3892</v>
      </c>
      <c r="Q281" s="58"/>
      <c r="R281" s="59" t="s">
        <v>1100</v>
      </c>
      <c r="S281" s="59"/>
      <c r="T281" s="59"/>
      <c r="U281" s="59"/>
      <c r="V281" s="59" t="s">
        <v>693</v>
      </c>
      <c r="W281" s="59" t="s">
        <v>236</v>
      </c>
      <c r="X281" s="75" t="s">
        <v>4165</v>
      </c>
      <c r="Y281" s="59" t="s">
        <v>1070</v>
      </c>
      <c r="Z281" s="59" t="s">
        <v>1101</v>
      </c>
      <c r="AA281" s="58"/>
      <c r="AB281" s="76" t="s">
        <v>156</v>
      </c>
      <c r="AC281" s="59" t="s">
        <v>157</v>
      </c>
      <c r="AD281" s="59" t="s">
        <v>157</v>
      </c>
      <c r="AE281" s="59"/>
      <c r="AF281" s="59"/>
      <c r="AG281" s="59" t="s">
        <v>1102</v>
      </c>
      <c r="AH281" s="59"/>
      <c r="AI281" s="74" t="s">
        <v>1103</v>
      </c>
      <c r="AJ281" s="77" t="s">
        <v>1104</v>
      </c>
      <c r="AK281" s="68" t="s">
        <v>156</v>
      </c>
      <c r="AL281" s="71" t="s">
        <v>220</v>
      </c>
      <c r="AM281" s="83" t="s">
        <v>1105</v>
      </c>
      <c r="AN281" s="78" t="s">
        <v>1106</v>
      </c>
      <c r="AO281" s="59" t="s">
        <v>164</v>
      </c>
      <c r="AP281" s="66"/>
      <c r="AQ281" s="67" t="s">
        <v>166</v>
      </c>
      <c r="AR281" s="38"/>
      <c r="AT281" s="40"/>
      <c r="AU281" s="40"/>
      <c r="AV281" s="54">
        <v>7140209</v>
      </c>
      <c r="AW281" s="53">
        <v>135</v>
      </c>
      <c r="AY281" s="40"/>
      <c r="AZ281" s="40"/>
      <c r="BI281" s="36"/>
      <c r="BJ281" s="36"/>
      <c r="BK281" s="37"/>
      <c r="BN281" s="16"/>
      <c r="BO281" s="16"/>
    </row>
    <row r="282" spans="1:67" s="67" customFormat="1" ht="15.95" customHeight="1" x14ac:dyDescent="0.25">
      <c r="A282" s="16"/>
      <c r="B282" s="68">
        <f>SUBTOTAL(103,$K$271:K282)</f>
        <v>12</v>
      </c>
      <c r="C282" s="59" t="s">
        <v>278</v>
      </c>
      <c r="D282" s="53" t="s">
        <v>158</v>
      </c>
      <c r="E282" s="53" t="s">
        <v>19</v>
      </c>
      <c r="F282" s="53" t="s">
        <v>639</v>
      </c>
      <c r="G282" s="53" t="s">
        <v>4707</v>
      </c>
      <c r="H282" s="59" t="s">
        <v>4718</v>
      </c>
      <c r="I282" s="58" t="s">
        <v>1107</v>
      </c>
      <c r="J282" s="58" t="s">
        <v>1108</v>
      </c>
      <c r="K282" s="103" t="s">
        <v>4166</v>
      </c>
      <c r="L282" s="53" t="s">
        <v>149</v>
      </c>
      <c r="M282" s="53">
        <v>0</v>
      </c>
      <c r="N282" s="53" t="s">
        <v>150</v>
      </c>
      <c r="O282" s="58" t="s">
        <v>5029</v>
      </c>
      <c r="P282" s="53" t="s">
        <v>3892</v>
      </c>
      <c r="Q282" s="58"/>
      <c r="R282" s="53">
        <v>2017</v>
      </c>
      <c r="S282" s="68"/>
      <c r="T282" s="53"/>
      <c r="U282" s="53"/>
      <c r="V282" s="53" t="s">
        <v>986</v>
      </c>
      <c r="W282" s="53" t="s">
        <v>236</v>
      </c>
      <c r="X282" s="57" t="s">
        <v>4166</v>
      </c>
      <c r="Y282" s="59" t="s">
        <v>1070</v>
      </c>
      <c r="Z282" s="53" t="s">
        <v>1109</v>
      </c>
      <c r="AA282" s="58"/>
      <c r="AB282" s="76" t="s">
        <v>156</v>
      </c>
      <c r="AC282" s="58" t="s">
        <v>157</v>
      </c>
      <c r="AD282" s="53" t="s">
        <v>157</v>
      </c>
      <c r="AE282" s="53"/>
      <c r="AF282" s="148"/>
      <c r="AG282" s="58" t="s">
        <v>1110</v>
      </c>
      <c r="AH282" s="53"/>
      <c r="AI282" s="58" t="s">
        <v>1111</v>
      </c>
      <c r="AJ282" s="61" t="s">
        <v>1112</v>
      </c>
      <c r="AK282" s="68" t="s">
        <v>156</v>
      </c>
      <c r="AL282" s="63" t="s">
        <v>570</v>
      </c>
      <c r="AM282" s="79" t="s">
        <v>1113</v>
      </c>
      <c r="AN282" s="65" t="s">
        <v>1114</v>
      </c>
      <c r="AO282" s="53" t="s">
        <v>164</v>
      </c>
      <c r="AP282" s="66"/>
      <c r="AQ282" s="67" t="s">
        <v>449</v>
      </c>
      <c r="AR282" s="38"/>
      <c r="AT282" s="40"/>
      <c r="AU282" s="40"/>
      <c r="AV282" s="54">
        <v>7140209</v>
      </c>
      <c r="AW282" s="53">
        <v>136</v>
      </c>
      <c r="AY282" s="40"/>
      <c r="AZ282" s="40"/>
      <c r="BI282" s="36"/>
      <c r="BJ282" s="36"/>
      <c r="BK282" s="37"/>
      <c r="BN282" s="16"/>
      <c r="BO282" s="16"/>
    </row>
    <row r="283" spans="1:67" s="67" customFormat="1" ht="15.95" customHeight="1" x14ac:dyDescent="0.25">
      <c r="A283" s="16"/>
      <c r="B283" s="68">
        <f>SUBTOTAL(103,$K$271:K283)</f>
        <v>13</v>
      </c>
      <c r="C283" s="59" t="s">
        <v>390</v>
      </c>
      <c r="D283" s="53" t="s">
        <v>158</v>
      </c>
      <c r="E283" s="53" t="s">
        <v>19</v>
      </c>
      <c r="F283" s="53" t="s">
        <v>639</v>
      </c>
      <c r="G283" s="53" t="s">
        <v>4707</v>
      </c>
      <c r="H283" s="59" t="s">
        <v>4719</v>
      </c>
      <c r="I283" s="58" t="s">
        <v>1115</v>
      </c>
      <c r="J283" s="58" t="s">
        <v>473</v>
      </c>
      <c r="K283" s="103" t="s">
        <v>3998</v>
      </c>
      <c r="L283" s="53" t="s">
        <v>170</v>
      </c>
      <c r="M283" s="68">
        <v>1</v>
      </c>
      <c r="N283" s="53" t="s">
        <v>150</v>
      </c>
      <c r="O283" s="58" t="s">
        <v>5029</v>
      </c>
      <c r="P283" s="53" t="s">
        <v>3892</v>
      </c>
      <c r="Q283" s="58"/>
      <c r="R283" s="53">
        <v>2019</v>
      </c>
      <c r="S283" s="68"/>
      <c r="T283" s="53"/>
      <c r="U283" s="53"/>
      <c r="V283" s="53" t="s">
        <v>801</v>
      </c>
      <c r="W283" s="59" t="s">
        <v>236</v>
      </c>
      <c r="X283" s="57" t="s">
        <v>3998</v>
      </c>
      <c r="Y283" s="59" t="s">
        <v>1070</v>
      </c>
      <c r="Z283" s="53" t="s">
        <v>1116</v>
      </c>
      <c r="AA283" s="58"/>
      <c r="AB283" s="76" t="s">
        <v>156</v>
      </c>
      <c r="AC283" s="58" t="s">
        <v>157</v>
      </c>
      <c r="AD283" s="53" t="s">
        <v>157</v>
      </c>
      <c r="AE283" s="53"/>
      <c r="AF283" s="148"/>
      <c r="AG283" s="58" t="s">
        <v>1117</v>
      </c>
      <c r="AH283" s="53"/>
      <c r="AI283" s="58" t="s">
        <v>830</v>
      </c>
      <c r="AJ283" s="61" t="s">
        <v>1118</v>
      </c>
      <c r="AK283" s="68" t="s">
        <v>156</v>
      </c>
      <c r="AL283" s="63" t="s">
        <v>309</v>
      </c>
      <c r="AM283" s="64" t="s">
        <v>1119</v>
      </c>
      <c r="AN283" s="65" t="s">
        <v>1120</v>
      </c>
      <c r="AO283" s="53" t="s">
        <v>164</v>
      </c>
      <c r="AP283" s="66"/>
      <c r="AQ283" s="67" t="s">
        <v>224</v>
      </c>
      <c r="AR283" s="38"/>
      <c r="AT283" s="40"/>
      <c r="AU283" s="40"/>
      <c r="AV283" s="54">
        <v>7140209</v>
      </c>
      <c r="AW283" s="53">
        <v>137</v>
      </c>
      <c r="AY283" s="40"/>
      <c r="AZ283" s="40"/>
      <c r="BI283" s="36"/>
      <c r="BJ283" s="36"/>
      <c r="BK283" s="37"/>
      <c r="BN283" s="16"/>
      <c r="BO283" s="16"/>
    </row>
    <row r="284" spans="1:67" s="67" customFormat="1" ht="15.95" customHeight="1" x14ac:dyDescent="0.25">
      <c r="A284" s="16"/>
      <c r="B284" s="68">
        <f>SUBTOTAL(103,$K$271:K284)</f>
        <v>14</v>
      </c>
      <c r="C284" s="59" t="s">
        <v>398</v>
      </c>
      <c r="D284" s="53" t="s">
        <v>158</v>
      </c>
      <c r="E284" s="68" t="s">
        <v>19</v>
      </c>
      <c r="F284" s="59" t="s">
        <v>639</v>
      </c>
      <c r="G284" s="53" t="s">
        <v>4707</v>
      </c>
      <c r="H284" s="59" t="s">
        <v>4720</v>
      </c>
      <c r="I284" s="73" t="s">
        <v>472</v>
      </c>
      <c r="J284" s="74" t="s">
        <v>342</v>
      </c>
      <c r="K284" s="75" t="s">
        <v>4167</v>
      </c>
      <c r="L284" s="59" t="s">
        <v>170</v>
      </c>
      <c r="M284" s="68">
        <v>1</v>
      </c>
      <c r="N284" s="59" t="s">
        <v>150</v>
      </c>
      <c r="O284" s="58" t="s">
        <v>5029</v>
      </c>
      <c r="P284" s="53" t="s">
        <v>3892</v>
      </c>
      <c r="Q284" s="58"/>
      <c r="R284" s="59" t="s">
        <v>431</v>
      </c>
      <c r="S284" s="59"/>
      <c r="T284" s="59"/>
      <c r="U284" s="59"/>
      <c r="V284" s="59" t="s">
        <v>779</v>
      </c>
      <c r="W284" s="59" t="s">
        <v>236</v>
      </c>
      <c r="X284" s="75" t="s">
        <v>4167</v>
      </c>
      <c r="Y284" s="59" t="s">
        <v>1121</v>
      </c>
      <c r="Z284" s="59" t="s">
        <v>873</v>
      </c>
      <c r="AA284" s="58"/>
      <c r="AB284" s="76" t="s">
        <v>156</v>
      </c>
      <c r="AC284" s="59" t="s">
        <v>157</v>
      </c>
      <c r="AD284" s="59" t="s">
        <v>157</v>
      </c>
      <c r="AE284" s="59"/>
      <c r="AF284" s="59"/>
      <c r="AG284" s="59" t="s">
        <v>1122</v>
      </c>
      <c r="AH284" s="59"/>
      <c r="AI284" s="74" t="s">
        <v>887</v>
      </c>
      <c r="AJ284" s="77" t="s">
        <v>1123</v>
      </c>
      <c r="AK284" s="68" t="s">
        <v>156</v>
      </c>
      <c r="AL284" s="71" t="s">
        <v>495</v>
      </c>
      <c r="AM284" s="83" t="s">
        <v>1124</v>
      </c>
      <c r="AN284" s="78" t="s">
        <v>1125</v>
      </c>
      <c r="AO284" s="59" t="s">
        <v>164</v>
      </c>
      <c r="AP284" s="66"/>
      <c r="AQ284" s="67" t="s">
        <v>180</v>
      </c>
      <c r="AR284" s="38"/>
      <c r="AT284" s="40"/>
      <c r="AU284" s="40"/>
      <c r="AV284" s="54">
        <v>7140209</v>
      </c>
      <c r="AW284" s="53">
        <v>138</v>
      </c>
      <c r="AY284" s="40"/>
      <c r="AZ284" s="40"/>
      <c r="BI284" s="36"/>
      <c r="BJ284" s="36"/>
      <c r="BK284" s="37"/>
      <c r="BN284" s="16"/>
      <c r="BO284" s="16"/>
    </row>
    <row r="285" spans="1:67" s="67" customFormat="1" ht="15.95" customHeight="1" x14ac:dyDescent="0.25">
      <c r="A285" s="16"/>
      <c r="B285" s="68">
        <f>SUBTOTAL(103,$K$271:K285)</f>
        <v>15</v>
      </c>
      <c r="C285" s="59" t="s">
        <v>407</v>
      </c>
      <c r="D285" s="53" t="s">
        <v>158</v>
      </c>
      <c r="E285" s="53" t="s">
        <v>19</v>
      </c>
      <c r="F285" s="53" t="s">
        <v>639</v>
      </c>
      <c r="G285" s="53" t="s">
        <v>4707</v>
      </c>
      <c r="H285" s="59" t="s">
        <v>4721</v>
      </c>
      <c r="I285" s="58" t="s">
        <v>420</v>
      </c>
      <c r="J285" s="58" t="s">
        <v>342</v>
      </c>
      <c r="K285" s="103" t="s">
        <v>4168</v>
      </c>
      <c r="L285" s="53" t="s">
        <v>170</v>
      </c>
      <c r="M285" s="68">
        <v>1</v>
      </c>
      <c r="N285" s="53" t="s">
        <v>150</v>
      </c>
      <c r="O285" s="58" t="s">
        <v>5029</v>
      </c>
      <c r="P285" s="53" t="s">
        <v>3892</v>
      </c>
      <c r="Q285" s="58"/>
      <c r="R285" s="53">
        <v>2016</v>
      </c>
      <c r="S285" s="68"/>
      <c r="T285" s="53"/>
      <c r="U285" s="53"/>
      <c r="V285" s="53" t="s">
        <v>607</v>
      </c>
      <c r="W285" s="53" t="s">
        <v>236</v>
      </c>
      <c r="X285" s="57" t="s">
        <v>4168</v>
      </c>
      <c r="Y285" s="59" t="s">
        <v>1070</v>
      </c>
      <c r="Z285" s="53" t="s">
        <v>1126</v>
      </c>
      <c r="AA285" s="58"/>
      <c r="AB285" s="76" t="s">
        <v>156</v>
      </c>
      <c r="AC285" s="58" t="s">
        <v>157</v>
      </c>
      <c r="AD285" s="58" t="s">
        <v>157</v>
      </c>
      <c r="AE285" s="58"/>
      <c r="AF285" s="148"/>
      <c r="AG285" s="58" t="s">
        <v>1127</v>
      </c>
      <c r="AH285" s="53"/>
      <c r="AI285" s="58" t="s">
        <v>1128</v>
      </c>
      <c r="AJ285" s="61" t="s">
        <v>1129</v>
      </c>
      <c r="AK285" s="68" t="s">
        <v>156</v>
      </c>
      <c r="AL285" s="63" t="s">
        <v>357</v>
      </c>
      <c r="AM285" s="79" t="s">
        <v>1130</v>
      </c>
      <c r="AN285" s="65" t="s">
        <v>1131</v>
      </c>
      <c r="AO285" s="53" t="s">
        <v>164</v>
      </c>
      <c r="AP285" s="66"/>
      <c r="AQ285" s="84" t="s">
        <v>1132</v>
      </c>
      <c r="AR285" s="38"/>
      <c r="AT285" s="40"/>
      <c r="AU285" s="40"/>
      <c r="AV285" s="54">
        <v>7140209</v>
      </c>
      <c r="AW285" s="53">
        <v>139</v>
      </c>
      <c r="AY285" s="40"/>
      <c r="AZ285" s="40"/>
      <c r="BI285" s="36"/>
      <c r="BJ285" s="36"/>
      <c r="BK285" s="37"/>
      <c r="BN285" s="16"/>
      <c r="BO285" s="16"/>
    </row>
    <row r="286" spans="1:67" s="67" customFormat="1" ht="15.95" customHeight="1" x14ac:dyDescent="0.25">
      <c r="A286" s="16"/>
      <c r="B286" s="68">
        <f>SUBTOTAL(103,$K$271:K286)</f>
        <v>16</v>
      </c>
      <c r="C286" s="59" t="s">
        <v>415</v>
      </c>
      <c r="D286" s="53" t="s">
        <v>158</v>
      </c>
      <c r="E286" s="53" t="s">
        <v>19</v>
      </c>
      <c r="F286" s="59" t="s">
        <v>639</v>
      </c>
      <c r="G286" s="53" t="s">
        <v>4707</v>
      </c>
      <c r="H286" s="59" t="s">
        <v>4722</v>
      </c>
      <c r="I286" s="58" t="s">
        <v>1133</v>
      </c>
      <c r="J286" s="58" t="s">
        <v>304</v>
      </c>
      <c r="K286" s="103" t="s">
        <v>4169</v>
      </c>
      <c r="L286" s="53" t="s">
        <v>170</v>
      </c>
      <c r="M286" s="68">
        <v>1</v>
      </c>
      <c r="N286" s="53" t="s">
        <v>150</v>
      </c>
      <c r="O286" s="58" t="s">
        <v>5029</v>
      </c>
      <c r="P286" s="53" t="s">
        <v>3892</v>
      </c>
      <c r="Q286" s="58"/>
      <c r="R286" s="53">
        <v>2023</v>
      </c>
      <c r="S286" s="53"/>
      <c r="T286" s="53"/>
      <c r="U286" s="53"/>
      <c r="V286" s="53" t="s">
        <v>328</v>
      </c>
      <c r="W286" s="53" t="s">
        <v>236</v>
      </c>
      <c r="X286" s="57" t="s">
        <v>4169</v>
      </c>
      <c r="Y286" s="59" t="s">
        <v>1134</v>
      </c>
      <c r="Z286" s="53" t="s">
        <v>1135</v>
      </c>
      <c r="AA286" s="58"/>
      <c r="AB286" s="76" t="s">
        <v>1136</v>
      </c>
      <c r="AC286" s="58" t="s">
        <v>157</v>
      </c>
      <c r="AD286" s="58" t="s">
        <v>157</v>
      </c>
      <c r="AE286" s="68"/>
      <c r="AF286" s="58"/>
      <c r="AG286" s="59" t="s">
        <v>1137</v>
      </c>
      <c r="AH286" s="53"/>
      <c r="AI286" s="58"/>
      <c r="AJ286" s="61" t="s">
        <v>1138</v>
      </c>
      <c r="AK286" s="68" t="s">
        <v>1136</v>
      </c>
      <c r="AL286" s="63" t="s">
        <v>1139</v>
      </c>
      <c r="AM286" s="64" t="s">
        <v>1140</v>
      </c>
      <c r="AN286" s="65" t="s">
        <v>1141</v>
      </c>
      <c r="AO286" s="53" t="s">
        <v>164</v>
      </c>
      <c r="AP286" s="66"/>
      <c r="AQ286" s="67" t="s">
        <v>1142</v>
      </c>
      <c r="AR286" s="38"/>
      <c r="AT286" s="40"/>
      <c r="AU286" s="40"/>
      <c r="AV286" s="54">
        <v>7140209</v>
      </c>
      <c r="AW286" s="53">
        <v>140</v>
      </c>
      <c r="AY286" s="40"/>
      <c r="AZ286" s="40"/>
      <c r="BI286" s="36"/>
      <c r="BJ286" s="36"/>
      <c r="BK286" s="37"/>
      <c r="BN286" s="16"/>
      <c r="BO286" s="16"/>
    </row>
    <row r="287" spans="1:67" s="67" customFormat="1" ht="15.95" customHeight="1" x14ac:dyDescent="0.25">
      <c r="A287" s="16"/>
      <c r="B287" s="68">
        <f>SUBTOTAL(103,$K$271:K287)</f>
        <v>17</v>
      </c>
      <c r="C287" s="59" t="s">
        <v>543</v>
      </c>
      <c r="D287" s="53" t="s">
        <v>158</v>
      </c>
      <c r="E287" s="53" t="s">
        <v>19</v>
      </c>
      <c r="F287" s="53" t="s">
        <v>639</v>
      </c>
      <c r="G287" s="53" t="s">
        <v>4707</v>
      </c>
      <c r="H287" s="59" t="s">
        <v>4723</v>
      </c>
      <c r="I287" s="58" t="s">
        <v>1143</v>
      </c>
      <c r="J287" s="58" t="s">
        <v>304</v>
      </c>
      <c r="K287" s="103" t="s">
        <v>4170</v>
      </c>
      <c r="L287" s="53" t="s">
        <v>170</v>
      </c>
      <c r="M287" s="68">
        <v>1</v>
      </c>
      <c r="N287" s="53" t="s">
        <v>150</v>
      </c>
      <c r="O287" s="58" t="s">
        <v>5029</v>
      </c>
      <c r="P287" s="53" t="s">
        <v>3892</v>
      </c>
      <c r="Q287" s="58"/>
      <c r="R287" s="53">
        <v>2021</v>
      </c>
      <c r="S287" s="53"/>
      <c r="T287" s="53"/>
      <c r="U287" s="53"/>
      <c r="V287" s="53" t="s">
        <v>779</v>
      </c>
      <c r="W287" s="53" t="s">
        <v>236</v>
      </c>
      <c r="X287" s="57" t="s">
        <v>4170</v>
      </c>
      <c r="Y287" s="59" t="s">
        <v>1070</v>
      </c>
      <c r="Z287" s="53" t="s">
        <v>1144</v>
      </c>
      <c r="AA287" s="58"/>
      <c r="AB287" s="76" t="s">
        <v>156</v>
      </c>
      <c r="AC287" s="58" t="s">
        <v>157</v>
      </c>
      <c r="AD287" s="58" t="s">
        <v>157</v>
      </c>
      <c r="AE287" s="68"/>
      <c r="AF287" s="58"/>
      <c r="AG287" s="58" t="s">
        <v>1145</v>
      </c>
      <c r="AH287" s="53"/>
      <c r="AI287" s="58"/>
      <c r="AJ287" s="61" t="s">
        <v>1146</v>
      </c>
      <c r="AK287" s="68" t="s">
        <v>156</v>
      </c>
      <c r="AL287" s="63" t="s">
        <v>347</v>
      </c>
      <c r="AM287" s="64" t="s">
        <v>1147</v>
      </c>
      <c r="AN287" s="65" t="s">
        <v>1148</v>
      </c>
      <c r="AO287" s="53" t="s">
        <v>164</v>
      </c>
      <c r="AP287" s="66"/>
      <c r="AQ287" s="67" t="s">
        <v>824</v>
      </c>
      <c r="AR287" s="38"/>
      <c r="AT287" s="40"/>
      <c r="AU287" s="40"/>
      <c r="AV287" s="54">
        <v>7140209</v>
      </c>
      <c r="AW287" s="53">
        <v>141</v>
      </c>
      <c r="AY287" s="40"/>
      <c r="AZ287" s="40"/>
      <c r="BI287" s="36"/>
      <c r="BJ287" s="36"/>
      <c r="BK287" s="37"/>
      <c r="BN287" s="16"/>
      <c r="BO287" s="16"/>
    </row>
    <row r="288" spans="1:67" s="67" customFormat="1" ht="15.95" customHeight="1" x14ac:dyDescent="0.25">
      <c r="A288" s="16"/>
      <c r="B288" s="68">
        <f>SUBTOTAL(103,$K$271:K288)</f>
        <v>18</v>
      </c>
      <c r="C288" s="59" t="s">
        <v>555</v>
      </c>
      <c r="D288" s="53" t="s">
        <v>158</v>
      </c>
      <c r="E288" s="53" t="s">
        <v>19</v>
      </c>
      <c r="F288" s="53" t="s">
        <v>639</v>
      </c>
      <c r="G288" s="53" t="s">
        <v>4707</v>
      </c>
      <c r="H288" s="59" t="s">
        <v>4724</v>
      </c>
      <c r="I288" s="58" t="s">
        <v>1149</v>
      </c>
      <c r="J288" s="58" t="s">
        <v>352</v>
      </c>
      <c r="K288" s="103" t="s">
        <v>4171</v>
      </c>
      <c r="L288" s="68" t="s">
        <v>149</v>
      </c>
      <c r="M288" s="53">
        <v>0</v>
      </c>
      <c r="N288" s="68" t="s">
        <v>150</v>
      </c>
      <c r="O288" s="58" t="s">
        <v>5029</v>
      </c>
      <c r="P288" s="53" t="s">
        <v>3892</v>
      </c>
      <c r="Q288" s="58"/>
      <c r="R288" s="53">
        <v>2016</v>
      </c>
      <c r="S288" s="53"/>
      <c r="T288" s="53"/>
      <c r="U288" s="53"/>
      <c r="V288" s="53" t="s">
        <v>693</v>
      </c>
      <c r="W288" s="53" t="s">
        <v>236</v>
      </c>
      <c r="X288" s="57" t="s">
        <v>4171</v>
      </c>
      <c r="Y288" s="59" t="s">
        <v>1070</v>
      </c>
      <c r="Z288" s="53" t="s">
        <v>903</v>
      </c>
      <c r="AA288" s="58"/>
      <c r="AB288" s="76" t="s">
        <v>156</v>
      </c>
      <c r="AC288" s="58" t="s">
        <v>157</v>
      </c>
      <c r="AD288" s="59" t="s">
        <v>157</v>
      </c>
      <c r="AE288" s="59"/>
      <c r="AF288" s="58"/>
      <c r="AG288" s="58" t="s">
        <v>919</v>
      </c>
      <c r="AH288" s="53"/>
      <c r="AI288" s="58"/>
      <c r="AJ288" s="167" t="s">
        <v>1150</v>
      </c>
      <c r="AK288" s="68" t="s">
        <v>156</v>
      </c>
      <c r="AL288" s="63" t="s">
        <v>495</v>
      </c>
      <c r="AM288" s="79" t="s">
        <v>1151</v>
      </c>
      <c r="AN288" s="157" t="s">
        <v>1152</v>
      </c>
      <c r="AO288" s="152" t="s">
        <v>164</v>
      </c>
      <c r="AP288" s="66"/>
      <c r="AQ288" s="67" t="s">
        <v>554</v>
      </c>
      <c r="AR288" s="38"/>
      <c r="AT288" s="40"/>
      <c r="AU288" s="40"/>
      <c r="AV288" s="54">
        <v>7140209</v>
      </c>
      <c r="AW288" s="53">
        <v>142</v>
      </c>
      <c r="AY288" s="40"/>
      <c r="AZ288" s="40"/>
      <c r="BI288" s="36"/>
      <c r="BJ288" s="36"/>
      <c r="BK288" s="37"/>
      <c r="BN288" s="16"/>
      <c r="BO288" s="16"/>
    </row>
    <row r="289" spans="1:67" s="67" customFormat="1" ht="15.95" customHeight="1" x14ac:dyDescent="0.25">
      <c r="A289" s="16"/>
      <c r="B289" s="68">
        <f>SUBTOTAL(103,$K$271:K289)</f>
        <v>19</v>
      </c>
      <c r="C289" s="59" t="s">
        <v>563</v>
      </c>
      <c r="D289" s="53" t="s">
        <v>158</v>
      </c>
      <c r="E289" s="68" t="s">
        <v>19</v>
      </c>
      <c r="F289" s="53" t="s">
        <v>639</v>
      </c>
      <c r="G289" s="53" t="s">
        <v>4707</v>
      </c>
      <c r="H289" s="59" t="s">
        <v>4725</v>
      </c>
      <c r="I289" s="58" t="s">
        <v>1153</v>
      </c>
      <c r="J289" s="58" t="s">
        <v>1154</v>
      </c>
      <c r="K289" s="103" t="s">
        <v>4172</v>
      </c>
      <c r="L289" s="68" t="s">
        <v>170</v>
      </c>
      <c r="M289" s="68">
        <v>1</v>
      </c>
      <c r="N289" s="68" t="s">
        <v>150</v>
      </c>
      <c r="O289" s="58" t="s">
        <v>5029</v>
      </c>
      <c r="P289" s="53" t="s">
        <v>3892</v>
      </c>
      <c r="Q289" s="58"/>
      <c r="R289" s="53">
        <v>2017</v>
      </c>
      <c r="S289" s="68"/>
      <c r="T289" s="53"/>
      <c r="U289" s="53"/>
      <c r="V289" s="53">
        <v>9</v>
      </c>
      <c r="W289" s="59" t="s">
        <v>236</v>
      </c>
      <c r="X289" s="57" t="s">
        <v>4172</v>
      </c>
      <c r="Y289" s="59" t="s">
        <v>1155</v>
      </c>
      <c r="Z289" s="53" t="s">
        <v>1144</v>
      </c>
      <c r="AA289" s="58"/>
      <c r="AB289" s="76" t="s">
        <v>294</v>
      </c>
      <c r="AC289" s="53"/>
      <c r="AD289" s="53" t="s">
        <v>157</v>
      </c>
      <c r="AE289" s="58"/>
      <c r="AF289" s="148"/>
      <c r="AG289" s="74" t="s">
        <v>1156</v>
      </c>
      <c r="AH289" s="68"/>
      <c r="AI289" s="58" t="s">
        <v>1157</v>
      </c>
      <c r="AJ289" s="61" t="s">
        <v>1158</v>
      </c>
      <c r="AK289" s="58" t="s">
        <v>294</v>
      </c>
      <c r="AL289" s="63" t="s">
        <v>832</v>
      </c>
      <c r="AM289" s="64" t="s">
        <v>833</v>
      </c>
      <c r="AN289" s="65" t="s">
        <v>1159</v>
      </c>
      <c r="AO289" s="53" t="s">
        <v>164</v>
      </c>
      <c r="AP289" s="64"/>
      <c r="AQ289" s="67" t="s">
        <v>1160</v>
      </c>
      <c r="AR289" s="41"/>
      <c r="AS289" s="58"/>
      <c r="AT289" s="53"/>
      <c r="AU289" s="54"/>
      <c r="AV289" s="54">
        <v>7140209</v>
      </c>
      <c r="AW289" s="53">
        <v>143</v>
      </c>
      <c r="AX289" s="60"/>
      <c r="AY289" s="40"/>
      <c r="AZ289" s="40"/>
      <c r="BI289" s="36"/>
      <c r="BJ289" s="36"/>
      <c r="BK289" s="37"/>
      <c r="BN289" s="16"/>
      <c r="BO289" s="16"/>
    </row>
    <row r="290" spans="1:67" s="67" customFormat="1" ht="15.95" customHeight="1" x14ac:dyDescent="0.25">
      <c r="A290" s="16"/>
      <c r="B290" s="68">
        <f>SUBTOTAL(103,$K$271:K290)</f>
        <v>20</v>
      </c>
      <c r="C290" s="59" t="s">
        <v>572</v>
      </c>
      <c r="D290" s="53" t="s">
        <v>158</v>
      </c>
      <c r="E290" s="68" t="s">
        <v>19</v>
      </c>
      <c r="F290" s="59" t="s">
        <v>639</v>
      </c>
      <c r="G290" s="53" t="s">
        <v>4707</v>
      </c>
      <c r="H290" s="59" t="s">
        <v>4726</v>
      </c>
      <c r="I290" s="73" t="s">
        <v>1161</v>
      </c>
      <c r="J290" s="74" t="s">
        <v>370</v>
      </c>
      <c r="K290" s="75" t="s">
        <v>4173</v>
      </c>
      <c r="L290" s="59" t="s">
        <v>170</v>
      </c>
      <c r="M290" s="68">
        <v>1</v>
      </c>
      <c r="N290" s="59" t="s">
        <v>150</v>
      </c>
      <c r="O290" s="58" t="s">
        <v>5029</v>
      </c>
      <c r="P290" s="53" t="s">
        <v>3892</v>
      </c>
      <c r="Q290" s="58"/>
      <c r="R290" s="59" t="s">
        <v>371</v>
      </c>
      <c r="S290" s="59"/>
      <c r="T290" s="59"/>
      <c r="U290" s="59"/>
      <c r="V290" s="59" t="s">
        <v>685</v>
      </c>
      <c r="W290" s="59" t="s">
        <v>236</v>
      </c>
      <c r="X290" s="75" t="s">
        <v>4173</v>
      </c>
      <c r="Y290" s="59" t="s">
        <v>1155</v>
      </c>
      <c r="Z290" s="59" t="s">
        <v>1162</v>
      </c>
      <c r="AA290" s="58"/>
      <c r="AB290" s="76" t="s">
        <v>156</v>
      </c>
      <c r="AC290" s="59" t="s">
        <v>157</v>
      </c>
      <c r="AD290" s="59" t="s">
        <v>157</v>
      </c>
      <c r="AE290" s="59"/>
      <c r="AF290" s="59"/>
      <c r="AG290" s="59" t="s">
        <v>1163</v>
      </c>
      <c r="AH290" s="59"/>
      <c r="AI290" s="74" t="s">
        <v>1164</v>
      </c>
      <c r="AJ290" s="77" t="s">
        <v>1165</v>
      </c>
      <c r="AK290" s="68" t="s">
        <v>156</v>
      </c>
      <c r="AL290" s="71" t="s">
        <v>366</v>
      </c>
      <c r="AM290" s="74" t="s">
        <v>1166</v>
      </c>
      <c r="AN290" s="78" t="s">
        <v>1167</v>
      </c>
      <c r="AO290" s="59" t="s">
        <v>164</v>
      </c>
      <c r="AP290" s="64"/>
      <c r="AQ290" s="67" t="s">
        <v>166</v>
      </c>
      <c r="AR290" s="41"/>
      <c r="AS290" s="58"/>
      <c r="AT290" s="53"/>
      <c r="AU290" s="54"/>
      <c r="AV290" s="54">
        <v>7140209</v>
      </c>
      <c r="AW290" s="53">
        <v>144</v>
      </c>
      <c r="AX290" s="60"/>
      <c r="AY290" s="40"/>
      <c r="AZ290" s="40"/>
      <c r="BI290" s="36"/>
      <c r="BJ290" s="36"/>
      <c r="BK290" s="37"/>
      <c r="BN290" s="16"/>
      <c r="BO290" s="16"/>
    </row>
    <row r="291" spans="1:67" s="67" customFormat="1" ht="15.95" customHeight="1" x14ac:dyDescent="0.25">
      <c r="A291" s="16"/>
      <c r="B291" s="68">
        <f>SUBTOTAL(103,$K$271:K291)</f>
        <v>21</v>
      </c>
      <c r="C291" s="59" t="s">
        <v>581</v>
      </c>
      <c r="D291" s="53" t="s">
        <v>158</v>
      </c>
      <c r="E291" s="68" t="s">
        <v>19</v>
      </c>
      <c r="F291" s="53" t="s">
        <v>639</v>
      </c>
      <c r="G291" s="53" t="s">
        <v>4707</v>
      </c>
      <c r="H291" s="59" t="s">
        <v>4727</v>
      </c>
      <c r="I291" s="58" t="s">
        <v>1168</v>
      </c>
      <c r="J291" s="74" t="s">
        <v>556</v>
      </c>
      <c r="K291" s="103" t="s">
        <v>4174</v>
      </c>
      <c r="L291" s="68" t="s">
        <v>170</v>
      </c>
      <c r="M291" s="68">
        <v>1</v>
      </c>
      <c r="N291" s="68" t="s">
        <v>150</v>
      </c>
      <c r="O291" s="58" t="s">
        <v>5029</v>
      </c>
      <c r="P291" s="53" t="s">
        <v>3892</v>
      </c>
      <c r="Q291" s="58"/>
      <c r="R291" s="53">
        <v>2020</v>
      </c>
      <c r="S291" s="68"/>
      <c r="T291" s="53"/>
      <c r="U291" s="53"/>
      <c r="V291" s="53" t="s">
        <v>685</v>
      </c>
      <c r="W291" s="59" t="s">
        <v>236</v>
      </c>
      <c r="X291" s="57" t="s">
        <v>4174</v>
      </c>
      <c r="Y291" s="59" t="s">
        <v>1155</v>
      </c>
      <c r="Z291" s="53" t="s">
        <v>1169</v>
      </c>
      <c r="AA291" s="58"/>
      <c r="AB291" s="76" t="s">
        <v>156</v>
      </c>
      <c r="AC291" s="58" t="s">
        <v>157</v>
      </c>
      <c r="AD291" s="58" t="s">
        <v>157</v>
      </c>
      <c r="AE291" s="58"/>
      <c r="AF291" s="148"/>
      <c r="AG291" s="59" t="s">
        <v>1170</v>
      </c>
      <c r="AH291" s="53"/>
      <c r="AI291" s="58" t="s">
        <v>830</v>
      </c>
      <c r="AJ291" s="61" t="s">
        <v>1171</v>
      </c>
      <c r="AK291" s="68" t="s">
        <v>156</v>
      </c>
      <c r="AL291" s="71" t="s">
        <v>550</v>
      </c>
      <c r="AM291" s="64" t="s">
        <v>848</v>
      </c>
      <c r="AN291" s="65" t="s">
        <v>1172</v>
      </c>
      <c r="AO291" s="53" t="s">
        <v>164</v>
      </c>
      <c r="AP291" s="64"/>
      <c r="AQ291" s="67" t="s">
        <v>515</v>
      </c>
      <c r="AR291" s="41"/>
      <c r="AS291" s="58"/>
      <c r="AT291" s="53"/>
      <c r="AU291" s="54"/>
      <c r="AV291" s="54">
        <v>7140209</v>
      </c>
      <c r="AW291" s="53">
        <v>145</v>
      </c>
      <c r="AX291" s="60"/>
      <c r="AY291" s="40"/>
      <c r="AZ291" s="40"/>
      <c r="BI291" s="36"/>
      <c r="BJ291" s="36"/>
      <c r="BK291" s="37"/>
      <c r="BN291" s="16"/>
      <c r="BO291" s="16"/>
    </row>
    <row r="292" spans="1:67" s="67" customFormat="1" ht="15.95" customHeight="1" x14ac:dyDescent="0.25">
      <c r="A292" s="16"/>
      <c r="B292" s="55"/>
      <c r="C292" s="49"/>
      <c r="D292" s="53"/>
      <c r="E292" s="53"/>
      <c r="F292" s="49"/>
      <c r="G292" s="49"/>
      <c r="H292" s="49"/>
      <c r="I292" s="56" t="s">
        <v>3222</v>
      </c>
      <c r="J292" s="49"/>
      <c r="K292" s="234"/>
      <c r="L292" s="53"/>
      <c r="M292" s="53"/>
      <c r="N292" s="53"/>
      <c r="O292" s="70"/>
      <c r="P292" s="53"/>
      <c r="Q292" s="58"/>
      <c r="R292" s="68"/>
      <c r="S292" s="68"/>
      <c r="T292" s="68"/>
      <c r="U292" s="68"/>
      <c r="V292" s="53"/>
      <c r="W292" s="53"/>
      <c r="X292" s="81"/>
      <c r="Y292" s="68"/>
      <c r="Z292" s="68"/>
      <c r="AA292" s="58"/>
      <c r="AB292" s="60"/>
      <c r="AC292" s="58"/>
      <c r="AD292" s="58"/>
      <c r="AE292" s="58"/>
      <c r="AF292" s="58"/>
      <c r="AG292" s="64"/>
      <c r="AH292" s="53"/>
      <c r="AI292" s="58"/>
      <c r="AJ292" s="101"/>
      <c r="AK292" s="64"/>
      <c r="AL292" s="102"/>
      <c r="AM292" s="122"/>
      <c r="AN292" s="103"/>
      <c r="AO292" s="64"/>
      <c r="AP292" s="58"/>
      <c r="AQ292" s="66"/>
      <c r="AR292" s="64"/>
      <c r="AS292" s="53"/>
      <c r="AT292" s="53"/>
      <c r="AU292" s="54"/>
      <c r="AV292" s="54">
        <v>7140209</v>
      </c>
      <c r="AW292" s="53">
        <v>506</v>
      </c>
      <c r="AX292" s="60"/>
      <c r="AY292" s="40"/>
      <c r="AZ292" s="40"/>
      <c r="BI292" s="36"/>
      <c r="BJ292" s="36"/>
      <c r="BK292" s="37"/>
      <c r="BN292" s="16"/>
      <c r="BO292" s="16"/>
    </row>
    <row r="293" spans="1:67" s="67" customFormat="1" ht="15.95" customHeight="1" x14ac:dyDescent="0.25">
      <c r="A293" s="16"/>
      <c r="B293" s="68">
        <f>SUBTOTAL(103,$K$271:K293)</f>
        <v>22</v>
      </c>
      <c r="C293" s="53">
        <v>1</v>
      </c>
      <c r="D293" s="53" t="s">
        <v>2118</v>
      </c>
      <c r="E293" s="53" t="s">
        <v>19</v>
      </c>
      <c r="F293" s="53" t="s">
        <v>105</v>
      </c>
      <c r="G293" s="53" t="s">
        <v>4747</v>
      </c>
      <c r="H293" s="53" t="s">
        <v>4728</v>
      </c>
      <c r="I293" s="58" t="s">
        <v>3223</v>
      </c>
      <c r="J293" s="64" t="s">
        <v>3224</v>
      </c>
      <c r="K293" s="103" t="s">
        <v>4050</v>
      </c>
      <c r="L293" s="53" t="s">
        <v>149</v>
      </c>
      <c r="M293" s="53">
        <v>0</v>
      </c>
      <c r="N293" s="53" t="s">
        <v>3225</v>
      </c>
      <c r="O293" s="58" t="s">
        <v>5030</v>
      </c>
      <c r="P293" s="53" t="s">
        <v>3892</v>
      </c>
      <c r="Q293" s="58" t="s">
        <v>3858</v>
      </c>
      <c r="R293" s="53">
        <v>2016</v>
      </c>
      <c r="S293" s="53" t="s">
        <v>197</v>
      </c>
      <c r="T293" s="53">
        <v>6.62</v>
      </c>
      <c r="U293" s="53"/>
      <c r="V293" s="53"/>
      <c r="W293" s="53"/>
      <c r="X293" s="119" t="s">
        <v>4050</v>
      </c>
      <c r="Y293" s="53"/>
      <c r="Z293" s="53"/>
      <c r="AA293" s="58"/>
      <c r="AB293" s="60" t="s">
        <v>858</v>
      </c>
      <c r="AC293" s="58" t="s">
        <v>157</v>
      </c>
      <c r="AD293" s="58"/>
      <c r="AE293" s="58"/>
      <c r="AF293" s="58"/>
      <c r="AG293" s="58" t="s">
        <v>3226</v>
      </c>
      <c r="AH293" s="53" t="s">
        <v>155</v>
      </c>
      <c r="AI293" s="58"/>
      <c r="AJ293" s="101" t="s">
        <v>3227</v>
      </c>
      <c r="AK293" s="58" t="s">
        <v>2211</v>
      </c>
      <c r="AL293" s="102" t="s">
        <v>3228</v>
      </c>
      <c r="AM293" s="122" t="s">
        <v>3229</v>
      </c>
      <c r="AN293" s="103" t="s">
        <v>3230</v>
      </c>
      <c r="AO293" s="58" t="s">
        <v>3231</v>
      </c>
      <c r="AP293" s="64"/>
      <c r="AQ293" s="58"/>
      <c r="AR293" s="58"/>
      <c r="AS293" s="58"/>
      <c r="AT293" s="53"/>
      <c r="AU293" s="54"/>
      <c r="AV293" s="54">
        <v>7140209</v>
      </c>
      <c r="AW293" s="53">
        <v>507</v>
      </c>
      <c r="AX293" s="60"/>
      <c r="BJ293" s="40"/>
      <c r="BK293" s="40"/>
      <c r="BN293" s="16"/>
      <c r="BO293" s="16"/>
    </row>
    <row r="294" spans="1:67" s="67" customFormat="1" ht="15.95" customHeight="1" x14ac:dyDescent="0.25">
      <c r="A294" s="16"/>
      <c r="B294" s="68">
        <f>SUBTOTAL(103,$K$271:K294)</f>
        <v>23</v>
      </c>
      <c r="C294" s="53">
        <v>2</v>
      </c>
      <c r="D294" s="53" t="s">
        <v>2118</v>
      </c>
      <c r="E294" s="53" t="s">
        <v>19</v>
      </c>
      <c r="F294" s="53" t="s">
        <v>105</v>
      </c>
      <c r="G294" s="53" t="s">
        <v>4747</v>
      </c>
      <c r="H294" s="53" t="s">
        <v>4729</v>
      </c>
      <c r="I294" s="58" t="s">
        <v>3232</v>
      </c>
      <c r="J294" s="64" t="s">
        <v>430</v>
      </c>
      <c r="K294" s="103" t="s">
        <v>4175</v>
      </c>
      <c r="L294" s="53" t="s">
        <v>170</v>
      </c>
      <c r="M294" s="68">
        <v>1</v>
      </c>
      <c r="N294" s="53" t="s">
        <v>3233</v>
      </c>
      <c r="O294" s="58" t="s">
        <v>5030</v>
      </c>
      <c r="P294" s="53" t="s">
        <v>3892</v>
      </c>
      <c r="Q294" s="58" t="s">
        <v>3859</v>
      </c>
      <c r="R294" s="53">
        <v>2017</v>
      </c>
      <c r="S294" s="53" t="s">
        <v>197</v>
      </c>
      <c r="T294" s="53">
        <v>6.89</v>
      </c>
      <c r="U294" s="53"/>
      <c r="V294" s="53"/>
      <c r="W294" s="53"/>
      <c r="X294" s="119" t="s">
        <v>4175</v>
      </c>
      <c r="Y294" s="53"/>
      <c r="Z294" s="53"/>
      <c r="AA294" s="58"/>
      <c r="AB294" s="60" t="s">
        <v>2543</v>
      </c>
      <c r="AC294" s="58" t="s">
        <v>157</v>
      </c>
      <c r="AD294" s="58"/>
      <c r="AE294" s="58"/>
      <c r="AF294" s="58"/>
      <c r="AG294" s="58" t="s">
        <v>3234</v>
      </c>
      <c r="AH294" s="53" t="s">
        <v>155</v>
      </c>
      <c r="AI294" s="58"/>
      <c r="AJ294" s="101" t="s">
        <v>3235</v>
      </c>
      <c r="AK294" s="64" t="s">
        <v>3236</v>
      </c>
      <c r="AL294" s="102" t="s">
        <v>3237</v>
      </c>
      <c r="AM294" s="58" t="s">
        <v>3238</v>
      </c>
      <c r="AN294" s="103" t="s">
        <v>3239</v>
      </c>
      <c r="AO294" s="63" t="s">
        <v>3240</v>
      </c>
      <c r="AP294" s="102"/>
      <c r="AQ294" s="63"/>
      <c r="AR294" s="122"/>
      <c r="AS294" s="58"/>
      <c r="AT294" s="53"/>
      <c r="AU294" s="54"/>
      <c r="AV294" s="54">
        <v>7140209</v>
      </c>
      <c r="AW294" s="53">
        <v>508</v>
      </c>
      <c r="AX294" s="60"/>
      <c r="BJ294" s="40"/>
      <c r="BK294" s="40"/>
      <c r="BN294" s="16"/>
      <c r="BO294" s="16"/>
    </row>
    <row r="295" spans="1:67" s="67" customFormat="1" ht="15.95" customHeight="1" x14ac:dyDescent="0.25">
      <c r="A295" s="16"/>
      <c r="B295" s="68">
        <f>SUBTOTAL(103,$K$271:K295)</f>
        <v>24</v>
      </c>
      <c r="C295" s="53">
        <v>3</v>
      </c>
      <c r="D295" s="53" t="s">
        <v>2118</v>
      </c>
      <c r="E295" s="53" t="s">
        <v>19</v>
      </c>
      <c r="F295" s="53" t="s">
        <v>105</v>
      </c>
      <c r="G295" s="53" t="s">
        <v>4747</v>
      </c>
      <c r="H295" s="53" t="s">
        <v>4730</v>
      </c>
      <c r="I295" s="58" t="s">
        <v>3241</v>
      </c>
      <c r="J295" s="64" t="s">
        <v>1985</v>
      </c>
      <c r="K295" s="103" t="s">
        <v>4176</v>
      </c>
      <c r="L295" s="53" t="s">
        <v>149</v>
      </c>
      <c r="M295" s="53">
        <v>0</v>
      </c>
      <c r="N295" s="53" t="s">
        <v>2434</v>
      </c>
      <c r="O295" s="58" t="s">
        <v>5030</v>
      </c>
      <c r="P295" s="53" t="s">
        <v>3892</v>
      </c>
      <c r="Q295" s="58" t="s">
        <v>3860</v>
      </c>
      <c r="R295" s="53">
        <v>2001</v>
      </c>
      <c r="S295" s="53" t="s">
        <v>248</v>
      </c>
      <c r="T295" s="53">
        <v>5.6</v>
      </c>
      <c r="U295" s="53"/>
      <c r="V295" s="53"/>
      <c r="W295" s="53"/>
      <c r="X295" s="103" t="s">
        <v>4176</v>
      </c>
      <c r="Y295" s="53"/>
      <c r="Z295" s="68"/>
      <c r="AA295" s="58"/>
      <c r="AB295" s="60" t="s">
        <v>1759</v>
      </c>
      <c r="AC295" s="58"/>
      <c r="AD295" s="58"/>
      <c r="AE295" s="58"/>
      <c r="AF295" s="58"/>
      <c r="AG295" s="53" t="s">
        <v>3242</v>
      </c>
      <c r="AH295" s="53" t="s">
        <v>155</v>
      </c>
      <c r="AI295" s="53"/>
      <c r="AJ295" s="101" t="s">
        <v>3243</v>
      </c>
      <c r="AK295" s="53" t="s">
        <v>1759</v>
      </c>
      <c r="AL295" s="152" t="s">
        <v>3244</v>
      </c>
      <c r="AM295" s="64" t="s">
        <v>3245</v>
      </c>
      <c r="AN295" s="232" t="s">
        <v>3246</v>
      </c>
      <c r="AO295" s="64" t="s">
        <v>3247</v>
      </c>
      <c r="AP295" s="58"/>
      <c r="AQ295" s="58"/>
      <c r="AR295" s="58"/>
      <c r="AS295" s="64"/>
      <c r="AT295" s="53"/>
      <c r="AU295" s="54"/>
      <c r="AV295" s="54">
        <v>7140209</v>
      </c>
      <c r="AW295" s="53">
        <v>509</v>
      </c>
      <c r="AX295" s="60"/>
      <c r="AY295" s="40"/>
      <c r="AZ295" s="40"/>
      <c r="BI295" s="36"/>
      <c r="BJ295" s="36"/>
      <c r="BK295" s="37"/>
      <c r="BN295" s="16"/>
      <c r="BO295" s="16"/>
    </row>
    <row r="296" spans="1:67" s="67" customFormat="1" ht="15.95" customHeight="1" x14ac:dyDescent="0.25">
      <c r="A296" s="16"/>
      <c r="B296" s="68">
        <f>SUBTOTAL(103,$K$271:K296)</f>
        <v>25</v>
      </c>
      <c r="C296" s="53">
        <v>4</v>
      </c>
      <c r="D296" s="53" t="s">
        <v>2118</v>
      </c>
      <c r="E296" s="53" t="s">
        <v>19</v>
      </c>
      <c r="F296" s="53" t="s">
        <v>105</v>
      </c>
      <c r="G296" s="53" t="s">
        <v>4747</v>
      </c>
      <c r="H296" s="53" t="s">
        <v>4731</v>
      </c>
      <c r="I296" s="58" t="s">
        <v>314</v>
      </c>
      <c r="J296" s="64" t="s">
        <v>291</v>
      </c>
      <c r="K296" s="103" t="s">
        <v>4177</v>
      </c>
      <c r="L296" s="53" t="s">
        <v>170</v>
      </c>
      <c r="M296" s="68">
        <v>1</v>
      </c>
      <c r="N296" s="53" t="s">
        <v>150</v>
      </c>
      <c r="O296" s="58" t="s">
        <v>5030</v>
      </c>
      <c r="P296" s="53" t="s">
        <v>3892</v>
      </c>
      <c r="Q296" s="58" t="s">
        <v>3861</v>
      </c>
      <c r="R296" s="53">
        <v>2014</v>
      </c>
      <c r="S296" s="53" t="s">
        <v>153</v>
      </c>
      <c r="T296" s="53">
        <v>7.69</v>
      </c>
      <c r="U296" s="53">
        <v>3.15</v>
      </c>
      <c r="V296" s="53"/>
      <c r="W296" s="53"/>
      <c r="X296" s="103" t="s">
        <v>4177</v>
      </c>
      <c r="Y296" s="53"/>
      <c r="Z296" s="68"/>
      <c r="AA296" s="58"/>
      <c r="AB296" s="60" t="s">
        <v>322</v>
      </c>
      <c r="AC296" s="58"/>
      <c r="AD296" s="58"/>
      <c r="AE296" s="58" t="s">
        <v>157</v>
      </c>
      <c r="AF296" s="58"/>
      <c r="AG296" s="53" t="s">
        <v>3248</v>
      </c>
      <c r="AH296" s="53" t="s">
        <v>155</v>
      </c>
      <c r="AI296" s="53"/>
      <c r="AJ296" s="101" t="s">
        <v>3249</v>
      </c>
      <c r="AK296" s="53" t="s">
        <v>322</v>
      </c>
      <c r="AL296" s="152" t="s">
        <v>2479</v>
      </c>
      <c r="AM296" s="79" t="s">
        <v>3250</v>
      </c>
      <c r="AN296" s="232" t="s">
        <v>3251</v>
      </c>
      <c r="AO296" s="64" t="s">
        <v>498</v>
      </c>
      <c r="AP296" s="58"/>
      <c r="AQ296" s="58"/>
      <c r="AR296" s="58"/>
      <c r="AS296" s="64"/>
      <c r="AT296" s="53"/>
      <c r="AU296" s="54"/>
      <c r="AV296" s="54">
        <v>7140209</v>
      </c>
      <c r="AW296" s="53">
        <v>510</v>
      </c>
      <c r="AX296" s="60"/>
      <c r="AY296" s="40"/>
      <c r="AZ296" s="40"/>
      <c r="BI296" s="36"/>
      <c r="BJ296" s="36"/>
      <c r="BK296" s="37"/>
      <c r="BN296" s="16"/>
      <c r="BO296" s="16"/>
    </row>
    <row r="297" spans="1:67" s="67" customFormat="1" ht="15.95" customHeight="1" x14ac:dyDescent="0.25">
      <c r="A297" s="16"/>
      <c r="B297" s="68">
        <f>SUBTOTAL(103,$K$271:K297)</f>
        <v>26</v>
      </c>
      <c r="C297" s="53">
        <v>5</v>
      </c>
      <c r="D297" s="53" t="s">
        <v>2118</v>
      </c>
      <c r="E297" s="53" t="s">
        <v>19</v>
      </c>
      <c r="F297" s="53" t="s">
        <v>105</v>
      </c>
      <c r="G297" s="53" t="s">
        <v>4747</v>
      </c>
      <c r="H297" s="53" t="s">
        <v>4732</v>
      </c>
      <c r="I297" s="58" t="s">
        <v>3252</v>
      </c>
      <c r="J297" s="58" t="s">
        <v>3253</v>
      </c>
      <c r="K297" s="99" t="s">
        <v>4178</v>
      </c>
      <c r="L297" s="53" t="s">
        <v>149</v>
      </c>
      <c r="M297" s="53">
        <v>0</v>
      </c>
      <c r="N297" s="53" t="s">
        <v>150</v>
      </c>
      <c r="O297" s="58" t="s">
        <v>5030</v>
      </c>
      <c r="P297" s="53" t="s">
        <v>3892</v>
      </c>
      <c r="Q297" s="58" t="s">
        <v>3861</v>
      </c>
      <c r="R297" s="53">
        <v>2017</v>
      </c>
      <c r="S297" s="53" t="s">
        <v>153</v>
      </c>
      <c r="T297" s="53">
        <v>7.56</v>
      </c>
      <c r="U297" s="53"/>
      <c r="V297" s="53"/>
      <c r="W297" s="53"/>
      <c r="X297" s="222" t="s">
        <v>4178</v>
      </c>
      <c r="Y297" s="53"/>
      <c r="Z297" s="68"/>
      <c r="AA297" s="58"/>
      <c r="AB297" s="60" t="s">
        <v>2211</v>
      </c>
      <c r="AC297" s="58"/>
      <c r="AD297" s="58"/>
      <c r="AE297" s="58" t="s">
        <v>157</v>
      </c>
      <c r="AF297" s="58"/>
      <c r="AG297" s="53" t="s">
        <v>3254</v>
      </c>
      <c r="AH297" s="53" t="s">
        <v>155</v>
      </c>
      <c r="AI297" s="53"/>
      <c r="AJ297" s="101" t="s">
        <v>3255</v>
      </c>
      <c r="AK297" s="53" t="s">
        <v>2211</v>
      </c>
      <c r="AL297" s="152" t="s">
        <v>3011</v>
      </c>
      <c r="AM297" s="64" t="s">
        <v>3256</v>
      </c>
      <c r="AN297" s="232" t="s">
        <v>3257</v>
      </c>
      <c r="AO297" s="64"/>
      <c r="AP297" s="158"/>
      <c r="AQ297" s="158"/>
      <c r="AR297" s="158"/>
      <c r="AS297" s="64"/>
      <c r="AT297" s="53"/>
      <c r="AU297" s="54"/>
      <c r="AV297" s="54">
        <v>7140209</v>
      </c>
      <c r="AW297" s="53">
        <v>511</v>
      </c>
      <c r="AX297" s="60"/>
      <c r="AY297" s="40"/>
      <c r="AZ297" s="40"/>
      <c r="BI297" s="36"/>
      <c r="BJ297" s="36"/>
      <c r="BK297" s="37"/>
      <c r="BN297" s="16"/>
      <c r="BO297" s="16"/>
    </row>
    <row r="298" spans="1:67" s="67" customFormat="1" ht="15.95" customHeight="1" x14ac:dyDescent="0.25">
      <c r="A298" s="16"/>
      <c r="B298" s="68">
        <f>SUBTOTAL(103,$K$271:K298)</f>
        <v>27</v>
      </c>
      <c r="C298" s="53">
        <v>6</v>
      </c>
      <c r="D298" s="53" t="s">
        <v>2118</v>
      </c>
      <c r="E298" s="53" t="s">
        <v>19</v>
      </c>
      <c r="F298" s="53" t="s">
        <v>105</v>
      </c>
      <c r="G298" s="53" t="s">
        <v>4747</v>
      </c>
      <c r="H298" s="53" t="s">
        <v>4733</v>
      </c>
      <c r="I298" s="58" t="s">
        <v>3090</v>
      </c>
      <c r="J298" s="64" t="s">
        <v>450</v>
      </c>
      <c r="K298" s="103" t="s">
        <v>4179</v>
      </c>
      <c r="L298" s="53" t="s">
        <v>170</v>
      </c>
      <c r="M298" s="68">
        <v>1</v>
      </c>
      <c r="N298" s="53" t="s">
        <v>509</v>
      </c>
      <c r="O298" s="58" t="s">
        <v>5030</v>
      </c>
      <c r="P298" s="53" t="s">
        <v>3892</v>
      </c>
      <c r="Q298" s="58" t="s">
        <v>3862</v>
      </c>
      <c r="R298" s="53">
        <v>2018</v>
      </c>
      <c r="S298" s="53" t="s">
        <v>153</v>
      </c>
      <c r="T298" s="53">
        <v>7.68</v>
      </c>
      <c r="U298" s="53"/>
      <c r="V298" s="53"/>
      <c r="W298" s="53"/>
      <c r="X298" s="103" t="s">
        <v>4179</v>
      </c>
      <c r="Y298" s="53"/>
      <c r="Z298" s="68"/>
      <c r="AA298" s="58"/>
      <c r="AB298" s="60" t="s">
        <v>3258</v>
      </c>
      <c r="AC298" s="58"/>
      <c r="AD298" s="58"/>
      <c r="AE298" s="58"/>
      <c r="AF298" s="58"/>
      <c r="AG298" s="53" t="s">
        <v>2133</v>
      </c>
      <c r="AH298" s="53" t="s">
        <v>155</v>
      </c>
      <c r="AI298" s="53"/>
      <c r="AJ298" s="101" t="s">
        <v>3259</v>
      </c>
      <c r="AK298" s="53" t="s">
        <v>2132</v>
      </c>
      <c r="AL298" s="152" t="s">
        <v>3260</v>
      </c>
      <c r="AM298" s="64" t="s">
        <v>3261</v>
      </c>
      <c r="AN298" s="232" t="s">
        <v>3262</v>
      </c>
      <c r="AO298" s="64" t="s">
        <v>3263</v>
      </c>
      <c r="AP298" s="58"/>
      <c r="AQ298" s="58"/>
      <c r="AR298" s="58"/>
      <c r="AS298" s="64"/>
      <c r="AT298" s="53"/>
      <c r="AU298" s="54"/>
      <c r="AV298" s="54">
        <v>7140209</v>
      </c>
      <c r="AW298" s="53">
        <v>512</v>
      </c>
      <c r="AX298" s="60"/>
      <c r="AY298" s="40"/>
      <c r="AZ298" s="40"/>
      <c r="BI298" s="36"/>
      <c r="BJ298" s="36"/>
      <c r="BK298" s="37"/>
      <c r="BN298" s="16"/>
      <c r="BO298" s="16"/>
    </row>
    <row r="299" spans="1:67" s="67" customFormat="1" ht="15.95" customHeight="1" x14ac:dyDescent="0.25">
      <c r="A299" s="16"/>
      <c r="B299" s="68">
        <f>SUBTOTAL(103,$K$271:K299)</f>
        <v>28</v>
      </c>
      <c r="C299" s="53">
        <v>7</v>
      </c>
      <c r="D299" s="53" t="s">
        <v>2118</v>
      </c>
      <c r="E299" s="53" t="s">
        <v>19</v>
      </c>
      <c r="F299" s="53" t="s">
        <v>105</v>
      </c>
      <c r="G299" s="53" t="s">
        <v>4747</v>
      </c>
      <c r="H299" s="53" t="s">
        <v>4734</v>
      </c>
      <c r="I299" s="58" t="s">
        <v>314</v>
      </c>
      <c r="J299" s="64" t="s">
        <v>2019</v>
      </c>
      <c r="K299" s="103" t="s">
        <v>4180</v>
      </c>
      <c r="L299" s="53" t="s">
        <v>170</v>
      </c>
      <c r="M299" s="68">
        <v>1</v>
      </c>
      <c r="N299" s="53" t="s">
        <v>150</v>
      </c>
      <c r="O299" s="58" t="s">
        <v>5030</v>
      </c>
      <c r="P299" s="53" t="s">
        <v>3892</v>
      </c>
      <c r="Q299" s="58" t="s">
        <v>3861</v>
      </c>
      <c r="R299" s="53">
        <v>2022</v>
      </c>
      <c r="S299" s="53" t="s">
        <v>153</v>
      </c>
      <c r="T299" s="53">
        <v>7.75</v>
      </c>
      <c r="U299" s="53">
        <v>3.1</v>
      </c>
      <c r="V299" s="53"/>
      <c r="W299" s="53"/>
      <c r="X299" s="103" t="s">
        <v>4180</v>
      </c>
      <c r="Y299" s="53"/>
      <c r="Z299" s="68"/>
      <c r="AA299" s="58"/>
      <c r="AB299" s="60" t="s">
        <v>322</v>
      </c>
      <c r="AC299" s="58"/>
      <c r="AD299" s="58"/>
      <c r="AE299" s="58" t="s">
        <v>157</v>
      </c>
      <c r="AF299" s="58"/>
      <c r="AG299" s="53" t="s">
        <v>3264</v>
      </c>
      <c r="AH299" s="53" t="s">
        <v>155</v>
      </c>
      <c r="AI299" s="58"/>
      <c r="AJ299" s="121" t="s">
        <v>3265</v>
      </c>
      <c r="AK299" s="53" t="s">
        <v>322</v>
      </c>
      <c r="AL299" s="152" t="s">
        <v>2479</v>
      </c>
      <c r="AM299" s="64" t="s">
        <v>3266</v>
      </c>
      <c r="AN299" s="232" t="s">
        <v>3267</v>
      </c>
      <c r="AO299" s="64"/>
      <c r="AP299" s="58"/>
      <c r="AQ299" s="58"/>
      <c r="AR299" s="58"/>
      <c r="AS299" s="58"/>
      <c r="AT299" s="53"/>
      <c r="AU299" s="54"/>
      <c r="AV299" s="54">
        <v>7140209</v>
      </c>
      <c r="AW299" s="53">
        <v>513</v>
      </c>
      <c r="AX299" s="60"/>
      <c r="AY299" s="40"/>
      <c r="AZ299" s="40"/>
      <c r="BI299" s="36"/>
      <c r="BJ299" s="36"/>
      <c r="BK299" s="37"/>
      <c r="BN299" s="16"/>
      <c r="BO299" s="16"/>
    </row>
    <row r="300" spans="1:67" s="67" customFormat="1" ht="15.95" customHeight="1" x14ac:dyDescent="0.25">
      <c r="A300" s="16"/>
      <c r="B300" s="68">
        <f>SUBTOTAL(103,$K$271:K300)</f>
        <v>29</v>
      </c>
      <c r="C300" s="53">
        <v>8</v>
      </c>
      <c r="D300" s="53" t="s">
        <v>2118</v>
      </c>
      <c r="E300" s="53" t="s">
        <v>19</v>
      </c>
      <c r="F300" s="110" t="s">
        <v>105</v>
      </c>
      <c r="G300" s="53" t="s">
        <v>4747</v>
      </c>
      <c r="H300" s="53" t="s">
        <v>4735</v>
      </c>
      <c r="I300" s="108" t="s">
        <v>3268</v>
      </c>
      <c r="J300" s="108" t="s">
        <v>304</v>
      </c>
      <c r="K300" s="144" t="s">
        <v>4181</v>
      </c>
      <c r="L300" s="110" t="s">
        <v>170</v>
      </c>
      <c r="M300" s="68">
        <v>1</v>
      </c>
      <c r="N300" s="110" t="s">
        <v>150</v>
      </c>
      <c r="O300" s="58" t="s">
        <v>5030</v>
      </c>
      <c r="P300" s="53" t="s">
        <v>3892</v>
      </c>
      <c r="Q300" s="108" t="s">
        <v>3269</v>
      </c>
      <c r="R300" s="110">
        <v>2015</v>
      </c>
      <c r="S300" s="110" t="s">
        <v>197</v>
      </c>
      <c r="T300" s="110" t="s">
        <v>3270</v>
      </c>
      <c r="U300" s="110"/>
      <c r="V300" s="110" t="s">
        <v>411</v>
      </c>
      <c r="W300" s="110" t="s">
        <v>153</v>
      </c>
      <c r="X300" s="109" t="s">
        <v>4181</v>
      </c>
      <c r="Y300" s="110"/>
      <c r="Z300" s="110"/>
      <c r="AA300" s="58"/>
      <c r="AB300" s="187" t="s">
        <v>858</v>
      </c>
      <c r="AC300" s="108" t="s">
        <v>157</v>
      </c>
      <c r="AD300" s="108" t="s">
        <v>157</v>
      </c>
      <c r="AE300" s="108"/>
      <c r="AF300" s="53" t="s">
        <v>253</v>
      </c>
      <c r="AG300" s="108" t="s">
        <v>3271</v>
      </c>
      <c r="AH300" s="110" t="s">
        <v>155</v>
      </c>
      <c r="AI300" s="108"/>
      <c r="AJ300" s="115" t="s">
        <v>3272</v>
      </c>
      <c r="AK300" s="108" t="s">
        <v>858</v>
      </c>
      <c r="AL300" s="112" t="s">
        <v>2281</v>
      </c>
      <c r="AM300" s="116" t="s">
        <v>3273</v>
      </c>
      <c r="AN300" s="113" t="s">
        <v>3274</v>
      </c>
      <c r="AO300" s="108" t="s">
        <v>498</v>
      </c>
      <c r="AP300" s="108"/>
      <c r="AQ300" s="108"/>
      <c r="AR300" s="53"/>
      <c r="AS300" s="53"/>
      <c r="AT300" s="53"/>
      <c r="AU300" s="201"/>
      <c r="AV300" s="54">
        <v>7140209</v>
      </c>
      <c r="AW300" s="53">
        <v>514</v>
      </c>
      <c r="AX300" s="60"/>
      <c r="BJ300" s="40"/>
      <c r="BK300" s="40"/>
      <c r="BN300" s="16"/>
      <c r="BO300" s="16"/>
    </row>
    <row r="301" spans="1:67" s="67" customFormat="1" ht="15.95" customHeight="1" x14ac:dyDescent="0.25">
      <c r="A301" s="16"/>
      <c r="B301" s="68">
        <f>SUBTOTAL(103,$K$271:K301)</f>
        <v>30</v>
      </c>
      <c r="C301" s="53">
        <v>9</v>
      </c>
      <c r="D301" s="53" t="s">
        <v>2118</v>
      </c>
      <c r="E301" s="53" t="s">
        <v>19</v>
      </c>
      <c r="F301" s="53" t="s">
        <v>105</v>
      </c>
      <c r="G301" s="53" t="s">
        <v>4747</v>
      </c>
      <c r="H301" s="53" t="s">
        <v>4736</v>
      </c>
      <c r="I301" s="58" t="s">
        <v>3275</v>
      </c>
      <c r="J301" s="64" t="s">
        <v>730</v>
      </c>
      <c r="K301" s="103" t="s">
        <v>4182</v>
      </c>
      <c r="L301" s="53" t="s">
        <v>170</v>
      </c>
      <c r="M301" s="68">
        <v>1</v>
      </c>
      <c r="N301" s="53" t="s">
        <v>150</v>
      </c>
      <c r="O301" s="58" t="s">
        <v>5030</v>
      </c>
      <c r="P301" s="53" t="s">
        <v>3892</v>
      </c>
      <c r="Q301" s="58" t="s">
        <v>3858</v>
      </c>
      <c r="R301" s="53">
        <v>2017</v>
      </c>
      <c r="S301" s="53" t="s">
        <v>153</v>
      </c>
      <c r="T301" s="53">
        <v>7.09</v>
      </c>
      <c r="U301" s="53">
        <v>2.72</v>
      </c>
      <c r="V301" s="53"/>
      <c r="W301" s="53"/>
      <c r="X301" s="119" t="s">
        <v>4182</v>
      </c>
      <c r="Y301" s="53"/>
      <c r="Z301" s="53"/>
      <c r="AA301" s="58"/>
      <c r="AB301" s="60" t="s">
        <v>253</v>
      </c>
      <c r="AC301" s="58" t="s">
        <v>157</v>
      </c>
      <c r="AD301" s="58"/>
      <c r="AE301" s="58"/>
      <c r="AF301" s="58"/>
      <c r="AG301" s="58" t="s">
        <v>2633</v>
      </c>
      <c r="AH301" s="53" t="s">
        <v>155</v>
      </c>
      <c r="AI301" s="58"/>
      <c r="AJ301" s="101" t="s">
        <v>3276</v>
      </c>
      <c r="AK301" s="58" t="s">
        <v>253</v>
      </c>
      <c r="AL301" s="102" t="s">
        <v>3277</v>
      </c>
      <c r="AM301" s="122" t="s">
        <v>3278</v>
      </c>
      <c r="AN301" s="103" t="s">
        <v>3279</v>
      </c>
      <c r="AO301" s="58" t="s">
        <v>2827</v>
      </c>
      <c r="AP301" s="64"/>
      <c r="AQ301" s="58"/>
      <c r="AR301" s="122"/>
      <c r="AS301" s="63"/>
      <c r="AT301" s="152"/>
      <c r="AU301" s="233"/>
      <c r="AV301" s="54">
        <v>7140209</v>
      </c>
      <c r="AW301" s="53">
        <v>515</v>
      </c>
      <c r="AX301" s="60"/>
      <c r="BJ301" s="40"/>
      <c r="BK301" s="40"/>
      <c r="BN301" s="16"/>
      <c r="BO301" s="16"/>
    </row>
    <row r="302" spans="1:67" s="67" customFormat="1" ht="15.95" customHeight="1" x14ac:dyDescent="0.25">
      <c r="A302" s="16"/>
      <c r="B302" s="68">
        <f>SUBTOTAL(103,$K$271:K302)</f>
        <v>31</v>
      </c>
      <c r="C302" s="53">
        <v>10</v>
      </c>
      <c r="D302" s="53" t="s">
        <v>2118</v>
      </c>
      <c r="E302" s="53" t="s">
        <v>19</v>
      </c>
      <c r="F302" s="53" t="s">
        <v>105</v>
      </c>
      <c r="G302" s="53" t="s">
        <v>4747</v>
      </c>
      <c r="H302" s="53" t="s">
        <v>4737</v>
      </c>
      <c r="I302" s="58" t="s">
        <v>646</v>
      </c>
      <c r="J302" s="64" t="s">
        <v>246</v>
      </c>
      <c r="K302" s="103" t="s">
        <v>4183</v>
      </c>
      <c r="L302" s="53" t="s">
        <v>149</v>
      </c>
      <c r="M302" s="53">
        <v>0</v>
      </c>
      <c r="N302" s="53" t="s">
        <v>150</v>
      </c>
      <c r="O302" s="58" t="s">
        <v>5030</v>
      </c>
      <c r="P302" s="53" t="s">
        <v>3892</v>
      </c>
      <c r="Q302" s="58" t="s">
        <v>3280</v>
      </c>
      <c r="R302" s="53">
        <v>2017</v>
      </c>
      <c r="S302" s="53" t="s">
        <v>236</v>
      </c>
      <c r="T302" s="53">
        <v>8.49</v>
      </c>
      <c r="U302" s="53"/>
      <c r="V302" s="53"/>
      <c r="W302" s="53"/>
      <c r="X302" s="119" t="s">
        <v>4183</v>
      </c>
      <c r="Y302" s="53"/>
      <c r="Z302" s="53"/>
      <c r="AA302" s="58"/>
      <c r="AB302" s="60" t="s">
        <v>3281</v>
      </c>
      <c r="AC302" s="58"/>
      <c r="AD302" s="58"/>
      <c r="AE302" s="58"/>
      <c r="AF302" s="58"/>
      <c r="AG302" s="58" t="s">
        <v>3282</v>
      </c>
      <c r="AH302" s="53" t="s">
        <v>155</v>
      </c>
      <c r="AI302" s="58"/>
      <c r="AJ302" s="101" t="s">
        <v>3283</v>
      </c>
      <c r="AK302" s="58" t="s">
        <v>3281</v>
      </c>
      <c r="AL302" s="102" t="s">
        <v>3284</v>
      </c>
      <c r="AM302" s="122" t="s">
        <v>3285</v>
      </c>
      <c r="AN302" s="103" t="s">
        <v>3286</v>
      </c>
      <c r="AO302" s="58"/>
      <c r="AP302" s="64"/>
      <c r="AQ302" s="58"/>
      <c r="AR302" s="122"/>
      <c r="AS302" s="63"/>
      <c r="AT302" s="152"/>
      <c r="AU302" s="233"/>
      <c r="AV302" s="54">
        <v>7140209</v>
      </c>
      <c r="AW302" s="53">
        <v>516</v>
      </c>
      <c r="AX302" s="60"/>
      <c r="BJ302" s="40"/>
      <c r="BK302" s="40"/>
      <c r="BN302" s="16"/>
      <c r="BO302" s="16"/>
    </row>
    <row r="303" spans="1:67" s="67" customFormat="1" ht="15.95" customHeight="1" x14ac:dyDescent="0.25">
      <c r="A303" s="16"/>
      <c r="B303" s="68">
        <f>SUBTOTAL(103,$K$271:K303)</f>
        <v>32</v>
      </c>
      <c r="C303" s="53">
        <v>11</v>
      </c>
      <c r="D303" s="53" t="s">
        <v>2118</v>
      </c>
      <c r="E303" s="53" t="s">
        <v>19</v>
      </c>
      <c r="F303" s="53" t="s">
        <v>105</v>
      </c>
      <c r="G303" s="53" t="s">
        <v>4747</v>
      </c>
      <c r="H303" s="53" t="s">
        <v>4738</v>
      </c>
      <c r="I303" s="58" t="s">
        <v>3287</v>
      </c>
      <c r="J303" s="64" t="s">
        <v>259</v>
      </c>
      <c r="K303" s="103" t="s">
        <v>4184</v>
      </c>
      <c r="L303" s="53" t="s">
        <v>149</v>
      </c>
      <c r="M303" s="53">
        <v>0</v>
      </c>
      <c r="N303" s="53" t="s">
        <v>150</v>
      </c>
      <c r="O303" s="58" t="s">
        <v>5030</v>
      </c>
      <c r="P303" s="53" t="s">
        <v>3892</v>
      </c>
      <c r="Q303" s="58" t="s">
        <v>3288</v>
      </c>
      <c r="R303" s="53">
        <v>2017</v>
      </c>
      <c r="S303" s="53" t="s">
        <v>197</v>
      </c>
      <c r="T303" s="53">
        <v>6.8</v>
      </c>
      <c r="U303" s="53"/>
      <c r="V303" s="53"/>
      <c r="W303" s="53"/>
      <c r="X303" s="119" t="s">
        <v>4184</v>
      </c>
      <c r="Y303" s="53"/>
      <c r="Z303" s="53"/>
      <c r="AA303" s="58"/>
      <c r="AB303" s="60" t="s">
        <v>2206</v>
      </c>
      <c r="AC303" s="58"/>
      <c r="AD303" s="58"/>
      <c r="AE303" s="58"/>
      <c r="AF303" s="58"/>
      <c r="AG303" s="58" t="s">
        <v>2577</v>
      </c>
      <c r="AH303" s="53" t="s">
        <v>155</v>
      </c>
      <c r="AI303" s="58"/>
      <c r="AJ303" s="101" t="s">
        <v>3289</v>
      </c>
      <c r="AK303" s="58" t="s">
        <v>2206</v>
      </c>
      <c r="AL303" s="102" t="s">
        <v>3290</v>
      </c>
      <c r="AM303" s="122" t="s">
        <v>3291</v>
      </c>
      <c r="AN303" s="103" t="s">
        <v>3292</v>
      </c>
      <c r="AO303" s="63"/>
      <c r="AP303" s="102"/>
      <c r="AQ303" s="58"/>
      <c r="AR303" s="122"/>
      <c r="AS303" s="63"/>
      <c r="AT303" s="152"/>
      <c r="AU303" s="233"/>
      <c r="AV303" s="54">
        <v>7140209</v>
      </c>
      <c r="AW303" s="53">
        <v>517</v>
      </c>
      <c r="AX303" s="60"/>
      <c r="BJ303" s="40"/>
      <c r="BK303" s="40"/>
      <c r="BN303" s="16"/>
      <c r="BO303" s="16"/>
    </row>
    <row r="304" spans="1:67" s="67" customFormat="1" ht="15.95" customHeight="1" x14ac:dyDescent="0.25">
      <c r="A304" s="16"/>
      <c r="B304" s="68">
        <f>SUBTOTAL(103,$K$271:K304)</f>
        <v>33</v>
      </c>
      <c r="C304" s="53">
        <v>12</v>
      </c>
      <c r="D304" s="53" t="s">
        <v>2118</v>
      </c>
      <c r="E304" s="53" t="s">
        <v>19</v>
      </c>
      <c r="F304" s="53" t="s">
        <v>106</v>
      </c>
      <c r="G304" s="53" t="s">
        <v>4747</v>
      </c>
      <c r="H304" s="53" t="s">
        <v>4739</v>
      </c>
      <c r="I304" s="58" t="s">
        <v>3293</v>
      </c>
      <c r="J304" s="64" t="s">
        <v>430</v>
      </c>
      <c r="K304" s="234" t="s">
        <v>4185</v>
      </c>
      <c r="L304" s="68" t="s">
        <v>170</v>
      </c>
      <c r="M304" s="68">
        <v>1</v>
      </c>
      <c r="N304" s="68" t="s">
        <v>150</v>
      </c>
      <c r="O304" s="58" t="s">
        <v>5030</v>
      </c>
      <c r="P304" s="53" t="s">
        <v>3892</v>
      </c>
      <c r="Q304" s="58" t="s">
        <v>3294</v>
      </c>
      <c r="R304" s="68">
        <v>2016</v>
      </c>
      <c r="S304" s="68" t="s">
        <v>236</v>
      </c>
      <c r="T304" s="68" t="s">
        <v>3295</v>
      </c>
      <c r="U304" s="68" t="s">
        <v>3296</v>
      </c>
      <c r="V304" s="53"/>
      <c r="W304" s="53"/>
      <c r="X304" s="234" t="s">
        <v>4185</v>
      </c>
      <c r="Y304" s="53"/>
      <c r="Z304" s="68"/>
      <c r="AA304" s="58"/>
      <c r="AB304" s="60" t="s">
        <v>2206</v>
      </c>
      <c r="AC304" s="58"/>
      <c r="AD304" s="58"/>
      <c r="AE304" s="58"/>
      <c r="AF304" s="58"/>
      <c r="AG304" s="58" t="s">
        <v>2680</v>
      </c>
      <c r="AH304" s="53" t="s">
        <v>155</v>
      </c>
      <c r="AI304" s="58"/>
      <c r="AJ304" s="101" t="s">
        <v>3297</v>
      </c>
      <c r="AK304" s="64" t="s">
        <v>2206</v>
      </c>
      <c r="AL304" s="102" t="s">
        <v>2824</v>
      </c>
      <c r="AM304" s="58" t="s">
        <v>3298</v>
      </c>
      <c r="AN304" s="103" t="s">
        <v>3299</v>
      </c>
      <c r="AO304" s="63" t="s">
        <v>132</v>
      </c>
      <c r="AP304" s="63"/>
      <c r="AQ304" s="58"/>
      <c r="AR304" s="122" t="s">
        <v>3863</v>
      </c>
      <c r="AS304" s="102" t="s">
        <v>3300</v>
      </c>
      <c r="AT304" s="152"/>
      <c r="AU304" s="233"/>
      <c r="AV304" s="54">
        <v>7140209</v>
      </c>
      <c r="AW304" s="53">
        <v>518</v>
      </c>
      <c r="AX304" s="60"/>
      <c r="AY304" s="40"/>
      <c r="AZ304" s="40"/>
      <c r="BI304" s="36"/>
      <c r="BJ304" s="36"/>
      <c r="BK304" s="37"/>
      <c r="BN304" s="16"/>
      <c r="BO304" s="16"/>
    </row>
    <row r="305" spans="1:67" s="67" customFormat="1" ht="15.95" customHeight="1" x14ac:dyDescent="0.25">
      <c r="A305" s="16"/>
      <c r="B305" s="68">
        <f>SUBTOTAL(103,$K$271:K305)</f>
        <v>34</v>
      </c>
      <c r="C305" s="53">
        <v>13</v>
      </c>
      <c r="D305" s="53" t="s">
        <v>2118</v>
      </c>
      <c r="E305" s="53" t="s">
        <v>19</v>
      </c>
      <c r="F305" s="53" t="s">
        <v>106</v>
      </c>
      <c r="G305" s="53" t="s">
        <v>4747</v>
      </c>
      <c r="H305" s="53" t="s">
        <v>4740</v>
      </c>
      <c r="I305" s="58" t="s">
        <v>1115</v>
      </c>
      <c r="J305" s="64" t="s">
        <v>565</v>
      </c>
      <c r="K305" s="234" t="s">
        <v>4186</v>
      </c>
      <c r="L305" s="68" t="s">
        <v>170</v>
      </c>
      <c r="M305" s="68">
        <v>1</v>
      </c>
      <c r="N305" s="68" t="s">
        <v>150</v>
      </c>
      <c r="O305" s="58" t="s">
        <v>5030</v>
      </c>
      <c r="P305" s="53" t="s">
        <v>3892</v>
      </c>
      <c r="Q305" s="58" t="s">
        <v>2525</v>
      </c>
      <c r="R305" s="68">
        <v>2025</v>
      </c>
      <c r="S305" s="68" t="s">
        <v>153</v>
      </c>
      <c r="T305" s="68" t="s">
        <v>3301</v>
      </c>
      <c r="U305" s="68"/>
      <c r="V305" s="53" t="s">
        <v>2040</v>
      </c>
      <c r="W305" s="53" t="s">
        <v>236</v>
      </c>
      <c r="X305" s="234" t="s">
        <v>4186</v>
      </c>
      <c r="Y305" s="53"/>
      <c r="Z305" s="68"/>
      <c r="AA305" s="58"/>
      <c r="AB305" s="60" t="s">
        <v>2163</v>
      </c>
      <c r="AC305" s="58"/>
      <c r="AD305" s="58"/>
      <c r="AE305" s="58"/>
      <c r="AF305" s="58"/>
      <c r="AG305" s="58" t="s">
        <v>2680</v>
      </c>
      <c r="AH305" s="53" t="s">
        <v>155</v>
      </c>
      <c r="AI305" s="58"/>
      <c r="AJ305" s="101" t="s">
        <v>3302</v>
      </c>
      <c r="AK305" s="64" t="s">
        <v>2163</v>
      </c>
      <c r="AL305" s="102" t="s">
        <v>3303</v>
      </c>
      <c r="AM305" s="122" t="s">
        <v>3304</v>
      </c>
      <c r="AN305" s="103" t="s">
        <v>3305</v>
      </c>
      <c r="AO305" s="58"/>
      <c r="AP305" s="58"/>
      <c r="AQ305" s="58"/>
      <c r="AR305" s="67" t="s">
        <v>3864</v>
      </c>
      <c r="AS305" s="64" t="s">
        <v>3865</v>
      </c>
      <c r="AT305" s="152"/>
      <c r="AU305" s="233"/>
      <c r="AV305" s="54">
        <v>7140209</v>
      </c>
      <c r="AW305" s="53">
        <v>519</v>
      </c>
      <c r="AX305" s="60"/>
      <c r="AY305" s="40"/>
      <c r="AZ305" s="40"/>
      <c r="BI305" s="36"/>
      <c r="BJ305" s="36"/>
      <c r="BK305" s="37"/>
      <c r="BN305" s="16"/>
      <c r="BO305" s="16"/>
    </row>
    <row r="306" spans="1:67" s="67" customFormat="1" ht="15.95" customHeight="1" x14ac:dyDescent="0.25">
      <c r="A306" s="16"/>
      <c r="B306" s="68">
        <f>SUBTOTAL(103,$K$271:K306)</f>
        <v>35</v>
      </c>
      <c r="C306" s="53">
        <v>14</v>
      </c>
      <c r="D306" s="53" t="s">
        <v>2118</v>
      </c>
      <c r="E306" s="53" t="s">
        <v>19</v>
      </c>
      <c r="F306" s="110" t="s">
        <v>106</v>
      </c>
      <c r="G306" s="53" t="s">
        <v>4747</v>
      </c>
      <c r="H306" s="53" t="s">
        <v>4741</v>
      </c>
      <c r="I306" s="108" t="s">
        <v>182</v>
      </c>
      <c r="J306" s="108" t="s">
        <v>565</v>
      </c>
      <c r="K306" s="144" t="s">
        <v>4187</v>
      </c>
      <c r="L306" s="110" t="s">
        <v>170</v>
      </c>
      <c r="M306" s="68">
        <v>1</v>
      </c>
      <c r="N306" s="110" t="s">
        <v>150</v>
      </c>
      <c r="O306" s="58" t="s">
        <v>5030</v>
      </c>
      <c r="P306" s="53" t="s">
        <v>3892</v>
      </c>
      <c r="Q306" s="108" t="s">
        <v>3306</v>
      </c>
      <c r="R306" s="110">
        <v>2011</v>
      </c>
      <c r="S306" s="110" t="s">
        <v>236</v>
      </c>
      <c r="T306" s="110" t="s">
        <v>1056</v>
      </c>
      <c r="U306" s="110"/>
      <c r="V306" s="110" t="s">
        <v>411</v>
      </c>
      <c r="W306" s="110" t="s">
        <v>153</v>
      </c>
      <c r="X306" s="109" t="s">
        <v>4187</v>
      </c>
      <c r="Y306" s="110"/>
      <c r="Z306" s="110"/>
      <c r="AA306" s="58"/>
      <c r="AB306" s="187" t="s">
        <v>253</v>
      </c>
      <c r="AC306" s="108" t="s">
        <v>157</v>
      </c>
      <c r="AD306" s="108" t="s">
        <v>157</v>
      </c>
      <c r="AE306" s="108"/>
      <c r="AF306" s="53" t="s">
        <v>253</v>
      </c>
      <c r="AG306" s="108" t="s">
        <v>2640</v>
      </c>
      <c r="AH306" s="110" t="s">
        <v>155</v>
      </c>
      <c r="AI306" s="108"/>
      <c r="AJ306" s="115" t="s">
        <v>3307</v>
      </c>
      <c r="AK306" s="108" t="s">
        <v>253</v>
      </c>
      <c r="AL306" s="112" t="s">
        <v>2441</v>
      </c>
      <c r="AM306" s="108" t="s">
        <v>3308</v>
      </c>
      <c r="AN306" s="113" t="s">
        <v>3309</v>
      </c>
      <c r="AO306" s="112"/>
      <c r="AP306" s="112" t="s">
        <v>3310</v>
      </c>
      <c r="AQ306" s="108" t="s">
        <v>3311</v>
      </c>
      <c r="AR306" s="149"/>
      <c r="AS306" s="152"/>
      <c r="AT306" s="152"/>
      <c r="AU306" s="235"/>
      <c r="AV306" s="54">
        <v>7140209</v>
      </c>
      <c r="AW306" s="53">
        <v>520</v>
      </c>
      <c r="AX306" s="60"/>
      <c r="BJ306" s="40"/>
      <c r="BK306" s="40"/>
      <c r="BN306" s="16"/>
      <c r="BO306" s="16"/>
    </row>
    <row r="307" spans="1:67" s="67" customFormat="1" ht="15.95" customHeight="1" x14ac:dyDescent="0.25">
      <c r="A307" s="16"/>
      <c r="B307" s="68">
        <f>SUBTOTAL(103,$K$271:K307)</f>
        <v>36</v>
      </c>
      <c r="C307" s="53">
        <v>15</v>
      </c>
      <c r="D307" s="53" t="s">
        <v>2118</v>
      </c>
      <c r="E307" s="53" t="s">
        <v>19</v>
      </c>
      <c r="F307" s="53" t="s">
        <v>106</v>
      </c>
      <c r="G307" s="53" t="s">
        <v>4747</v>
      </c>
      <c r="H307" s="53" t="s">
        <v>4742</v>
      </c>
      <c r="I307" s="58" t="s">
        <v>3312</v>
      </c>
      <c r="J307" s="64" t="s">
        <v>3313</v>
      </c>
      <c r="K307" s="103" t="s">
        <v>4188</v>
      </c>
      <c r="L307" s="53" t="s">
        <v>170</v>
      </c>
      <c r="M307" s="68">
        <v>1</v>
      </c>
      <c r="N307" s="53" t="s">
        <v>150</v>
      </c>
      <c r="O307" s="58" t="s">
        <v>5030</v>
      </c>
      <c r="P307" s="53" t="s">
        <v>3892</v>
      </c>
      <c r="Q307" s="58" t="s">
        <v>3314</v>
      </c>
      <c r="R307" s="53">
        <v>2005</v>
      </c>
      <c r="S307" s="53" t="s">
        <v>3315</v>
      </c>
      <c r="T307" s="53">
        <v>7.66</v>
      </c>
      <c r="U307" s="53"/>
      <c r="V307" s="53"/>
      <c r="W307" s="53"/>
      <c r="X307" s="119" t="s">
        <v>4188</v>
      </c>
      <c r="Y307" s="53"/>
      <c r="Z307" s="53"/>
      <c r="AA307" s="58"/>
      <c r="AB307" s="60" t="s">
        <v>322</v>
      </c>
      <c r="AC307" s="58" t="s">
        <v>157</v>
      </c>
      <c r="AD307" s="58"/>
      <c r="AE307" s="58">
        <v>10</v>
      </c>
      <c r="AF307" s="58"/>
      <c r="AG307" s="58" t="s">
        <v>2339</v>
      </c>
      <c r="AH307" s="53" t="s">
        <v>155</v>
      </c>
      <c r="AI307" s="58"/>
      <c r="AJ307" s="101" t="s">
        <v>3316</v>
      </c>
      <c r="AK307" s="58" t="s">
        <v>2150</v>
      </c>
      <c r="AL307" s="102" t="s">
        <v>3317</v>
      </c>
      <c r="AM307" s="58" t="s">
        <v>3318</v>
      </c>
      <c r="AN307" s="103" t="s">
        <v>3319</v>
      </c>
      <c r="AO307" s="63" t="s">
        <v>3320</v>
      </c>
      <c r="AP307" s="102"/>
      <c r="AQ307" s="58"/>
      <c r="AR307" s="122"/>
      <c r="AS307" s="63"/>
      <c r="AT307" s="152"/>
      <c r="AU307" s="233"/>
      <c r="AV307" s="54">
        <v>7140209</v>
      </c>
      <c r="AW307" s="53">
        <v>521</v>
      </c>
      <c r="AX307" s="60"/>
      <c r="BJ307" s="40"/>
      <c r="BK307" s="40"/>
      <c r="BN307" s="16"/>
      <c r="BO307" s="16"/>
    </row>
    <row r="308" spans="1:67" s="67" customFormat="1" ht="15.95" customHeight="1" x14ac:dyDescent="0.25">
      <c r="A308" s="16"/>
      <c r="B308" s="68">
        <f>SUBTOTAL(103,$K$271:K308)</f>
        <v>37</v>
      </c>
      <c r="C308" s="53">
        <v>16</v>
      </c>
      <c r="D308" s="53" t="s">
        <v>2118</v>
      </c>
      <c r="E308" s="53" t="s">
        <v>19</v>
      </c>
      <c r="F308" s="53" t="s">
        <v>106</v>
      </c>
      <c r="G308" s="53" t="s">
        <v>4747</v>
      </c>
      <c r="H308" s="53" t="s">
        <v>4743</v>
      </c>
      <c r="I308" s="58" t="s">
        <v>2432</v>
      </c>
      <c r="J308" s="64" t="s">
        <v>440</v>
      </c>
      <c r="K308" s="234" t="s">
        <v>4189</v>
      </c>
      <c r="L308" s="68" t="s">
        <v>170</v>
      </c>
      <c r="M308" s="68">
        <v>1</v>
      </c>
      <c r="N308" s="68" t="s">
        <v>150</v>
      </c>
      <c r="O308" s="58" t="s">
        <v>5030</v>
      </c>
      <c r="P308" s="53" t="s">
        <v>3892</v>
      </c>
      <c r="Q308" s="58" t="s">
        <v>2525</v>
      </c>
      <c r="R308" s="68">
        <v>2017</v>
      </c>
      <c r="S308" s="68" t="s">
        <v>236</v>
      </c>
      <c r="T308" s="68" t="s">
        <v>442</v>
      </c>
      <c r="U308" s="68" t="s">
        <v>461</v>
      </c>
      <c r="V308" s="53" t="s">
        <v>779</v>
      </c>
      <c r="W308" s="53" t="s">
        <v>236</v>
      </c>
      <c r="X308" s="234" t="s">
        <v>4189</v>
      </c>
      <c r="Y308" s="53" t="s">
        <v>1070</v>
      </c>
      <c r="Z308" s="68">
        <v>22.7</v>
      </c>
      <c r="AA308" s="58"/>
      <c r="AB308" s="60" t="s">
        <v>253</v>
      </c>
      <c r="AC308" s="58"/>
      <c r="AD308" s="58" t="s">
        <v>157</v>
      </c>
      <c r="AE308" s="58" t="s">
        <v>157</v>
      </c>
      <c r="AF308" s="58"/>
      <c r="AG308" s="58" t="s">
        <v>2640</v>
      </c>
      <c r="AH308" s="53" t="s">
        <v>155</v>
      </c>
      <c r="AI308" s="58"/>
      <c r="AJ308" s="101" t="s">
        <v>3321</v>
      </c>
      <c r="AK308" s="64" t="s">
        <v>253</v>
      </c>
      <c r="AL308" s="102" t="s">
        <v>2441</v>
      </c>
      <c r="AM308" s="58" t="s">
        <v>3322</v>
      </c>
      <c r="AN308" s="103" t="s">
        <v>3323</v>
      </c>
      <c r="AO308" s="63"/>
      <c r="AP308" s="63"/>
      <c r="AQ308" s="58"/>
      <c r="AR308" s="122" t="s">
        <v>3866</v>
      </c>
      <c r="AS308" s="102" t="s">
        <v>3867</v>
      </c>
      <c r="AT308" s="152"/>
      <c r="AU308" s="233"/>
      <c r="AV308" s="54">
        <v>7140209</v>
      </c>
      <c r="AW308" s="53">
        <v>522</v>
      </c>
      <c r="AX308" s="60"/>
      <c r="AY308" s="40"/>
      <c r="AZ308" s="40"/>
      <c r="BI308" s="36"/>
      <c r="BJ308" s="36"/>
      <c r="BK308" s="37"/>
      <c r="BN308" s="16"/>
      <c r="BO308" s="16"/>
    </row>
    <row r="309" spans="1:67" s="67" customFormat="1" ht="15.95" customHeight="1" x14ac:dyDescent="0.25">
      <c r="A309" s="16"/>
      <c r="B309" s="68">
        <f>SUBTOTAL(103,$K$271:K309)</f>
        <v>38</v>
      </c>
      <c r="C309" s="53">
        <v>17</v>
      </c>
      <c r="D309" s="53" t="s">
        <v>2118</v>
      </c>
      <c r="E309" s="53" t="s">
        <v>19</v>
      </c>
      <c r="F309" s="53" t="s">
        <v>106</v>
      </c>
      <c r="G309" s="53" t="s">
        <v>4747</v>
      </c>
      <c r="H309" s="53" t="s">
        <v>4744</v>
      </c>
      <c r="I309" s="58" t="s">
        <v>3324</v>
      </c>
      <c r="J309" s="64" t="s">
        <v>1625</v>
      </c>
      <c r="K309" s="103" t="s">
        <v>4190</v>
      </c>
      <c r="L309" s="53" t="s">
        <v>170</v>
      </c>
      <c r="M309" s="68">
        <v>1</v>
      </c>
      <c r="N309" s="53" t="s">
        <v>150</v>
      </c>
      <c r="O309" s="58" t="s">
        <v>5030</v>
      </c>
      <c r="P309" s="53" t="s">
        <v>3892</v>
      </c>
      <c r="Q309" s="58" t="s">
        <v>3325</v>
      </c>
      <c r="R309" s="53">
        <v>2013</v>
      </c>
      <c r="S309" s="53" t="s">
        <v>153</v>
      </c>
      <c r="T309" s="53">
        <v>7.61</v>
      </c>
      <c r="U309" s="53">
        <v>3.05</v>
      </c>
      <c r="V309" s="53"/>
      <c r="W309" s="53" t="s">
        <v>236</v>
      </c>
      <c r="X309" s="103" t="s">
        <v>4190</v>
      </c>
      <c r="Y309" s="53"/>
      <c r="Z309" s="68"/>
      <c r="AA309" s="58"/>
      <c r="AB309" s="60" t="s">
        <v>253</v>
      </c>
      <c r="AC309" s="58"/>
      <c r="AD309" s="58"/>
      <c r="AE309" s="58" t="s">
        <v>157</v>
      </c>
      <c r="AF309" s="58">
        <v>5</v>
      </c>
      <c r="AG309" s="53" t="s">
        <v>2711</v>
      </c>
      <c r="AH309" s="53" t="s">
        <v>155</v>
      </c>
      <c r="AI309" s="64"/>
      <c r="AJ309" s="101" t="s">
        <v>3326</v>
      </c>
      <c r="AK309" s="53" t="s">
        <v>253</v>
      </c>
      <c r="AL309" s="152" t="s">
        <v>3043</v>
      </c>
      <c r="AM309" s="79" t="s">
        <v>3327</v>
      </c>
      <c r="AN309" s="236"/>
      <c r="AO309" s="102"/>
      <c r="AP309" s="63"/>
      <c r="AQ309" s="58"/>
      <c r="AR309" s="122"/>
      <c r="AS309" s="63"/>
      <c r="AT309" s="152"/>
      <c r="AU309" s="233"/>
      <c r="AV309" s="54">
        <v>7140209</v>
      </c>
      <c r="AW309" s="53">
        <v>523</v>
      </c>
      <c r="AX309" s="60"/>
      <c r="AY309" s="40"/>
      <c r="AZ309" s="40"/>
      <c r="BI309" s="36"/>
      <c r="BJ309" s="36"/>
      <c r="BK309" s="37"/>
      <c r="BN309" s="16"/>
      <c r="BO309" s="16"/>
    </row>
    <row r="310" spans="1:67" s="67" customFormat="1" ht="15.95" customHeight="1" x14ac:dyDescent="0.25">
      <c r="A310" s="16"/>
      <c r="B310" s="68">
        <f>SUBTOTAL(103,$K$271:K310)</f>
        <v>39</v>
      </c>
      <c r="C310" s="53">
        <v>18</v>
      </c>
      <c r="D310" s="53" t="s">
        <v>2118</v>
      </c>
      <c r="E310" s="53" t="s">
        <v>19</v>
      </c>
      <c r="F310" s="53" t="s">
        <v>106</v>
      </c>
      <c r="G310" s="53" t="s">
        <v>4747</v>
      </c>
      <c r="H310" s="53" t="s">
        <v>4745</v>
      </c>
      <c r="I310" s="58" t="s">
        <v>314</v>
      </c>
      <c r="J310" s="58" t="s">
        <v>3328</v>
      </c>
      <c r="K310" s="103" t="s">
        <v>3948</v>
      </c>
      <c r="L310" s="139" t="s">
        <v>170</v>
      </c>
      <c r="M310" s="68">
        <v>1</v>
      </c>
      <c r="N310" s="53" t="s">
        <v>150</v>
      </c>
      <c r="O310" s="58" t="s">
        <v>5030</v>
      </c>
      <c r="P310" s="53" t="s">
        <v>3892</v>
      </c>
      <c r="Q310" s="58" t="s">
        <v>3329</v>
      </c>
      <c r="R310" s="53">
        <v>2019</v>
      </c>
      <c r="S310" s="53" t="s">
        <v>153</v>
      </c>
      <c r="T310" s="53">
        <v>7.59</v>
      </c>
      <c r="U310" s="53"/>
      <c r="V310" s="53"/>
      <c r="W310" s="53"/>
      <c r="X310" s="119" t="s">
        <v>3948</v>
      </c>
      <c r="Y310" s="53"/>
      <c r="Z310" s="53"/>
      <c r="AA310" s="58"/>
      <c r="AB310" s="60" t="s">
        <v>2233</v>
      </c>
      <c r="AC310" s="58" t="s">
        <v>157</v>
      </c>
      <c r="AD310" s="58"/>
      <c r="AE310" s="58">
        <v>14</v>
      </c>
      <c r="AF310" s="58"/>
      <c r="AG310" s="58" t="s">
        <v>2680</v>
      </c>
      <c r="AH310" s="53" t="s">
        <v>3330</v>
      </c>
      <c r="AI310" s="58"/>
      <c r="AJ310" s="237" t="s">
        <v>3331</v>
      </c>
      <c r="AK310" s="58" t="s">
        <v>1136</v>
      </c>
      <c r="AL310" s="63" t="s">
        <v>3332</v>
      </c>
      <c r="AM310" s="122" t="s">
        <v>3333</v>
      </c>
      <c r="AN310" s="103" t="s">
        <v>3334</v>
      </c>
      <c r="AO310" s="63"/>
      <c r="AP310" s="64"/>
      <c r="AQ310" s="58"/>
      <c r="AR310" s="58"/>
      <c r="AS310" s="58"/>
      <c r="AT310" s="53"/>
      <c r="AU310" s="54"/>
      <c r="AV310" s="54">
        <v>7140209</v>
      </c>
      <c r="AW310" s="53">
        <v>524</v>
      </c>
      <c r="AX310" s="60"/>
      <c r="BJ310" s="40"/>
      <c r="BK310" s="40"/>
      <c r="BN310" s="16"/>
      <c r="BO310" s="16"/>
    </row>
    <row r="311" spans="1:67" s="67" customFormat="1" ht="15.95" customHeight="1" x14ac:dyDescent="0.25">
      <c r="A311" s="16"/>
      <c r="B311" s="68">
        <f>SUBTOTAL(103,$K$271:K311)</f>
        <v>40</v>
      </c>
      <c r="C311" s="53">
        <v>19</v>
      </c>
      <c r="D311" s="53" t="s">
        <v>2118</v>
      </c>
      <c r="E311" s="53" t="s">
        <v>19</v>
      </c>
      <c r="F311" s="53" t="s">
        <v>106</v>
      </c>
      <c r="G311" s="53" t="s">
        <v>4747</v>
      </c>
      <c r="H311" s="53" t="s">
        <v>4746</v>
      </c>
      <c r="I311" s="58" t="s">
        <v>3335</v>
      </c>
      <c r="J311" s="58" t="s">
        <v>370</v>
      </c>
      <c r="K311" s="99" t="s">
        <v>4191</v>
      </c>
      <c r="L311" s="53" t="s">
        <v>170</v>
      </c>
      <c r="M311" s="68">
        <v>1</v>
      </c>
      <c r="N311" s="53" t="s">
        <v>150</v>
      </c>
      <c r="O311" s="58" t="s">
        <v>5030</v>
      </c>
      <c r="P311" s="53" t="s">
        <v>3892</v>
      </c>
      <c r="Q311" s="58" t="s">
        <v>3868</v>
      </c>
      <c r="R311" s="53">
        <v>2025</v>
      </c>
      <c r="S311" s="53" t="s">
        <v>236</v>
      </c>
      <c r="T311" s="53">
        <v>7.92</v>
      </c>
      <c r="U311" s="53">
        <v>3.2</v>
      </c>
      <c r="V311" s="53"/>
      <c r="W311" s="53"/>
      <c r="X311" s="139" t="s">
        <v>4191</v>
      </c>
      <c r="Y311" s="53"/>
      <c r="Z311" s="68"/>
      <c r="AA311" s="58"/>
      <c r="AB311" s="60" t="s">
        <v>253</v>
      </c>
      <c r="AC311" s="58"/>
      <c r="AD311" s="58"/>
      <c r="AE311" s="58" t="s">
        <v>157</v>
      </c>
      <c r="AF311" s="58"/>
      <c r="AG311" s="53" t="s">
        <v>2640</v>
      </c>
      <c r="AH311" s="53" t="s">
        <v>155</v>
      </c>
      <c r="AI311" s="53"/>
      <c r="AJ311" s="101" t="s">
        <v>3336</v>
      </c>
      <c r="AK311" s="53" t="s">
        <v>253</v>
      </c>
      <c r="AL311" s="152" t="s">
        <v>2860</v>
      </c>
      <c r="AM311" s="79" t="s">
        <v>3337</v>
      </c>
      <c r="AN311" s="232" t="s">
        <v>3338</v>
      </c>
      <c r="AO311" s="102"/>
      <c r="AP311" s="158"/>
      <c r="AQ311" s="158"/>
      <c r="AR311" s="64"/>
      <c r="AS311" s="58"/>
      <c r="AT311" s="53"/>
      <c r="AU311" s="54"/>
      <c r="AV311" s="54">
        <v>7140209</v>
      </c>
      <c r="AW311" s="53">
        <v>525</v>
      </c>
      <c r="AX311" s="60"/>
      <c r="AY311" s="40"/>
      <c r="AZ311" s="40"/>
      <c r="BI311" s="36"/>
      <c r="BJ311" s="36"/>
      <c r="BK311" s="37"/>
      <c r="BN311" s="16"/>
      <c r="BO311" s="16"/>
    </row>
    <row r="312" spans="1:67" s="67" customFormat="1" ht="15.95" customHeight="1" x14ac:dyDescent="0.25">
      <c r="A312" s="16"/>
      <c r="B312" s="68">
        <f>SUBTOTAL(103,$K$271:K312)</f>
        <v>41</v>
      </c>
      <c r="C312" s="53">
        <v>20</v>
      </c>
      <c r="D312" s="53" t="s">
        <v>2118</v>
      </c>
      <c r="E312" s="53" t="s">
        <v>19</v>
      </c>
      <c r="F312" s="110" t="s">
        <v>104</v>
      </c>
      <c r="G312" s="53" t="s">
        <v>4747</v>
      </c>
      <c r="H312" s="110" t="s">
        <v>4748</v>
      </c>
      <c r="I312" s="108" t="s">
        <v>439</v>
      </c>
      <c r="J312" s="108" t="s">
        <v>459</v>
      </c>
      <c r="K312" s="144" t="s">
        <v>4158</v>
      </c>
      <c r="L312" s="110" t="s">
        <v>170</v>
      </c>
      <c r="M312" s="68">
        <v>1</v>
      </c>
      <c r="N312" s="110" t="s">
        <v>150</v>
      </c>
      <c r="O312" s="58" t="s">
        <v>5030</v>
      </c>
      <c r="P312" s="53" t="s">
        <v>3892</v>
      </c>
      <c r="Q312" s="108" t="s">
        <v>3339</v>
      </c>
      <c r="R312" s="110">
        <v>2021</v>
      </c>
      <c r="S312" s="110" t="s">
        <v>153</v>
      </c>
      <c r="T312" s="110" t="s">
        <v>384</v>
      </c>
      <c r="U312" s="110"/>
      <c r="V312" s="110" t="s">
        <v>434</v>
      </c>
      <c r="W312" s="110" t="s">
        <v>153</v>
      </c>
      <c r="X312" s="109" t="s">
        <v>4158</v>
      </c>
      <c r="Y312" s="110"/>
      <c r="Z312" s="110"/>
      <c r="AA312" s="58"/>
      <c r="AB312" s="187" t="s">
        <v>156</v>
      </c>
      <c r="AC312" s="108" t="s">
        <v>157</v>
      </c>
      <c r="AD312" s="108" t="s">
        <v>157</v>
      </c>
      <c r="AE312" s="108"/>
      <c r="AF312" s="53" t="s">
        <v>253</v>
      </c>
      <c r="AG312" s="108" t="s">
        <v>2751</v>
      </c>
      <c r="AH312" s="110" t="s">
        <v>155</v>
      </c>
      <c r="AI312" s="108" t="s">
        <v>3340</v>
      </c>
      <c r="AJ312" s="115" t="s">
        <v>3341</v>
      </c>
      <c r="AK312" s="108" t="s">
        <v>2211</v>
      </c>
      <c r="AL312" s="112" t="s">
        <v>2213</v>
      </c>
      <c r="AM312" s="108" t="s">
        <v>3342</v>
      </c>
      <c r="AN312" s="113" t="s">
        <v>3343</v>
      </c>
      <c r="AO312" s="108" t="s">
        <v>3344</v>
      </c>
      <c r="AP312" s="108" t="s">
        <v>3345</v>
      </c>
      <c r="AQ312" s="70" t="s">
        <v>3346</v>
      </c>
      <c r="AR312" s="53"/>
      <c r="AS312" s="53"/>
      <c r="AT312" s="53"/>
      <c r="AU312" s="201"/>
      <c r="AV312" s="54">
        <v>7140209</v>
      </c>
      <c r="AW312" s="53">
        <v>526</v>
      </c>
      <c r="AX312" s="60"/>
      <c r="BJ312" s="40"/>
      <c r="BK312" s="40"/>
      <c r="BN312" s="16"/>
      <c r="BO312" s="16"/>
    </row>
    <row r="313" spans="1:67" s="67" customFormat="1" ht="15.95" customHeight="1" x14ac:dyDescent="0.25">
      <c r="A313" s="16"/>
      <c r="B313" s="68">
        <f>SUBTOTAL(103,$K$271:K313)</f>
        <v>42</v>
      </c>
      <c r="C313" s="53">
        <v>21</v>
      </c>
      <c r="D313" s="53" t="s">
        <v>2118</v>
      </c>
      <c r="E313" s="53" t="s">
        <v>19</v>
      </c>
      <c r="F313" s="53" t="s">
        <v>639</v>
      </c>
      <c r="G313" s="53" t="s">
        <v>4747</v>
      </c>
      <c r="H313" s="53" t="s">
        <v>4749</v>
      </c>
      <c r="I313" s="58" t="s">
        <v>3347</v>
      </c>
      <c r="J313" s="58" t="s">
        <v>676</v>
      </c>
      <c r="K313" s="234" t="s">
        <v>4192</v>
      </c>
      <c r="L313" s="139" t="s">
        <v>170</v>
      </c>
      <c r="M313" s="68">
        <v>1</v>
      </c>
      <c r="N313" s="53" t="s">
        <v>150</v>
      </c>
      <c r="O313" s="58" t="s">
        <v>5030</v>
      </c>
      <c r="P313" s="53" t="s">
        <v>3892</v>
      </c>
      <c r="Q313" s="58"/>
      <c r="R313" s="68">
        <v>2017</v>
      </c>
      <c r="S313" s="68"/>
      <c r="T313" s="68"/>
      <c r="U313" s="68"/>
      <c r="V313" s="53" t="s">
        <v>801</v>
      </c>
      <c r="W313" s="53" t="s">
        <v>236</v>
      </c>
      <c r="X313" s="238" t="s">
        <v>4192</v>
      </c>
      <c r="Y313" s="68" t="s">
        <v>1134</v>
      </c>
      <c r="Z313" s="68" t="s">
        <v>3348</v>
      </c>
      <c r="AA313" s="58"/>
      <c r="AB313" s="60" t="s">
        <v>253</v>
      </c>
      <c r="AC313" s="58"/>
      <c r="AD313" s="58" t="s">
        <v>157</v>
      </c>
      <c r="AE313" s="58" t="s">
        <v>157</v>
      </c>
      <c r="AF313" s="58"/>
      <c r="AG313" s="64" t="s">
        <v>3217</v>
      </c>
      <c r="AH313" s="53"/>
      <c r="AI313" s="58" t="s">
        <v>830</v>
      </c>
      <c r="AJ313" s="237" t="s">
        <v>3349</v>
      </c>
      <c r="AK313" s="58" t="s">
        <v>253</v>
      </c>
      <c r="AL313" s="63" t="s">
        <v>2810</v>
      </c>
      <c r="AM313" s="122" t="s">
        <v>3350</v>
      </c>
      <c r="AN313" s="239" t="s">
        <v>3351</v>
      </c>
      <c r="AO313" s="158"/>
      <c r="AP313" s="158"/>
      <c r="AQ313" s="158"/>
      <c r="AR313" s="158"/>
      <c r="AS313" s="64" t="s">
        <v>392</v>
      </c>
      <c r="AT313" s="53"/>
      <c r="AU313" s="54"/>
      <c r="AV313" s="54">
        <v>7140209</v>
      </c>
      <c r="AW313" s="53">
        <v>527</v>
      </c>
      <c r="AX313" s="60"/>
      <c r="AY313" s="40"/>
      <c r="AZ313" s="40"/>
      <c r="BI313" s="36"/>
      <c r="BJ313" s="36"/>
      <c r="BK313" s="37"/>
      <c r="BN313" s="16"/>
      <c r="BO313" s="16"/>
    </row>
    <row r="314" spans="1:67" s="67" customFormat="1" ht="15.95" customHeight="1" x14ac:dyDescent="0.25">
      <c r="A314" s="16"/>
      <c r="B314" s="68">
        <f>SUBTOTAL(103,$K$271:K314)</f>
        <v>43</v>
      </c>
      <c r="C314" s="53">
        <v>22</v>
      </c>
      <c r="D314" s="53" t="s">
        <v>2118</v>
      </c>
      <c r="E314" s="53" t="s">
        <v>19</v>
      </c>
      <c r="F314" s="53" t="s">
        <v>639</v>
      </c>
      <c r="G314" s="53" t="s">
        <v>4747</v>
      </c>
      <c r="H314" s="53" t="s">
        <v>4750</v>
      </c>
      <c r="I314" s="58" t="s">
        <v>3335</v>
      </c>
      <c r="J314" s="58" t="s">
        <v>676</v>
      </c>
      <c r="K314" s="234" t="s">
        <v>4193</v>
      </c>
      <c r="L314" s="139" t="s">
        <v>170</v>
      </c>
      <c r="M314" s="68">
        <v>1</v>
      </c>
      <c r="N314" s="53" t="s">
        <v>150</v>
      </c>
      <c r="O314" s="58" t="s">
        <v>5030</v>
      </c>
      <c r="P314" s="53" t="s">
        <v>3892</v>
      </c>
      <c r="Q314" s="58"/>
      <c r="R314" s="68">
        <v>2018</v>
      </c>
      <c r="S314" s="68"/>
      <c r="T314" s="68"/>
      <c r="U314" s="68"/>
      <c r="V314" s="53" t="s">
        <v>685</v>
      </c>
      <c r="W314" s="53" t="s">
        <v>236</v>
      </c>
      <c r="X314" s="238" t="s">
        <v>4193</v>
      </c>
      <c r="Y314" s="68" t="s">
        <v>1070</v>
      </c>
      <c r="Z314" s="68" t="s">
        <v>3352</v>
      </c>
      <c r="AA314" s="58"/>
      <c r="AB314" s="60" t="s">
        <v>253</v>
      </c>
      <c r="AC314" s="58"/>
      <c r="AD314" s="58" t="s">
        <v>157</v>
      </c>
      <c r="AE314" s="58" t="s">
        <v>157</v>
      </c>
      <c r="AF314" s="58"/>
      <c r="AG314" s="64" t="s">
        <v>3353</v>
      </c>
      <c r="AH314" s="53"/>
      <c r="AI314" s="58" t="s">
        <v>3354</v>
      </c>
      <c r="AJ314" s="237" t="s">
        <v>3355</v>
      </c>
      <c r="AK314" s="58" t="s">
        <v>253</v>
      </c>
      <c r="AL314" s="63" t="s">
        <v>3170</v>
      </c>
      <c r="AM314" s="122" t="s">
        <v>3356</v>
      </c>
      <c r="AN314" s="239" t="s">
        <v>3357</v>
      </c>
      <c r="AO314" s="158"/>
      <c r="AP314" s="158"/>
      <c r="AQ314" s="158"/>
      <c r="AR314" s="58" t="s">
        <v>3869</v>
      </c>
      <c r="AS314" s="64" t="s">
        <v>392</v>
      </c>
      <c r="AT314" s="53"/>
      <c r="AU314" s="54"/>
      <c r="AV314" s="54">
        <v>7140209</v>
      </c>
      <c r="AW314" s="53">
        <v>528</v>
      </c>
      <c r="AX314" s="60"/>
      <c r="AY314" s="40"/>
      <c r="AZ314" s="40"/>
      <c r="BI314" s="36"/>
      <c r="BJ314" s="36"/>
      <c r="BK314" s="37"/>
      <c r="BN314" s="16"/>
      <c r="BO314" s="16"/>
    </row>
    <row r="315" spans="1:67" s="67" customFormat="1" ht="15.95" customHeight="1" x14ac:dyDescent="0.25">
      <c r="A315" s="16"/>
      <c r="B315" s="68">
        <f>SUBTOTAL(103,$K$271:K315)</f>
        <v>44</v>
      </c>
      <c r="C315" s="53">
        <v>23</v>
      </c>
      <c r="D315" s="53" t="s">
        <v>2118</v>
      </c>
      <c r="E315" s="53" t="s">
        <v>19</v>
      </c>
      <c r="F315" s="53" t="s">
        <v>639</v>
      </c>
      <c r="G315" s="53" t="s">
        <v>4747</v>
      </c>
      <c r="H315" s="53" t="s">
        <v>4751</v>
      </c>
      <c r="I315" s="58" t="s">
        <v>3358</v>
      </c>
      <c r="J315" s="64" t="s">
        <v>676</v>
      </c>
      <c r="K315" s="234" t="s">
        <v>4194</v>
      </c>
      <c r="L315" s="53" t="s">
        <v>170</v>
      </c>
      <c r="M315" s="68">
        <v>1</v>
      </c>
      <c r="N315" s="53" t="s">
        <v>150</v>
      </c>
      <c r="O315" s="58" t="s">
        <v>5030</v>
      </c>
      <c r="P315" s="53" t="s">
        <v>3892</v>
      </c>
      <c r="Q315" s="58"/>
      <c r="R315" s="68">
        <v>2017</v>
      </c>
      <c r="S315" s="68"/>
      <c r="T315" s="68"/>
      <c r="U315" s="68"/>
      <c r="V315" s="53" t="s">
        <v>2426</v>
      </c>
      <c r="W315" s="53" t="s">
        <v>236</v>
      </c>
      <c r="X315" s="234" t="s">
        <v>4194</v>
      </c>
      <c r="Y315" s="68" t="s">
        <v>1070</v>
      </c>
      <c r="Z315" s="68">
        <v>27.3</v>
      </c>
      <c r="AA315" s="58"/>
      <c r="AB315" s="60" t="s">
        <v>253</v>
      </c>
      <c r="AC315" s="58"/>
      <c r="AD315" s="58" t="s">
        <v>157</v>
      </c>
      <c r="AE315" s="58" t="s">
        <v>157</v>
      </c>
      <c r="AF315" s="58"/>
      <c r="AG315" s="64" t="s">
        <v>3359</v>
      </c>
      <c r="AH315" s="53"/>
      <c r="AI315" s="58" t="s">
        <v>1128</v>
      </c>
      <c r="AJ315" s="101" t="s">
        <v>3360</v>
      </c>
      <c r="AK315" s="58" t="s">
        <v>253</v>
      </c>
      <c r="AL315" s="102" t="s">
        <v>2810</v>
      </c>
      <c r="AM315" s="122" t="s">
        <v>3361</v>
      </c>
      <c r="AN315" s="103" t="s">
        <v>3362</v>
      </c>
      <c r="AO315" s="58"/>
      <c r="AP315" s="58"/>
      <c r="AQ315" s="58"/>
      <c r="AR315" s="58" t="s">
        <v>2376</v>
      </c>
      <c r="AS315" s="64" t="s">
        <v>2429</v>
      </c>
      <c r="AT315" s="40"/>
      <c r="AU315" s="54"/>
      <c r="AV315" s="54">
        <v>7140209</v>
      </c>
      <c r="AW315" s="53">
        <v>529</v>
      </c>
      <c r="AX315" s="60"/>
      <c r="AY315" s="40"/>
      <c r="AZ315" s="40"/>
      <c r="BI315" s="36"/>
      <c r="BJ315" s="36"/>
      <c r="BK315" s="37"/>
      <c r="BN315" s="16"/>
      <c r="BO315" s="16"/>
    </row>
    <row r="316" spans="1:67" s="67" customFormat="1" ht="15.95" customHeight="1" x14ac:dyDescent="0.25">
      <c r="A316" s="16"/>
      <c r="B316" s="68">
        <f>SUBTOTAL(103,$K$271:K316)</f>
        <v>45</v>
      </c>
      <c r="C316" s="53">
        <v>24</v>
      </c>
      <c r="D316" s="53" t="s">
        <v>2118</v>
      </c>
      <c r="E316" s="53" t="s">
        <v>19</v>
      </c>
      <c r="F316" s="53" t="s">
        <v>639</v>
      </c>
      <c r="G316" s="53" t="s">
        <v>4747</v>
      </c>
      <c r="H316" s="53" t="s">
        <v>4752</v>
      </c>
      <c r="I316" s="58" t="s">
        <v>2799</v>
      </c>
      <c r="J316" s="58" t="s">
        <v>676</v>
      </c>
      <c r="K316" s="234" t="s">
        <v>4195</v>
      </c>
      <c r="L316" s="53" t="s">
        <v>170</v>
      </c>
      <c r="M316" s="68">
        <v>1</v>
      </c>
      <c r="N316" s="53" t="s">
        <v>150</v>
      </c>
      <c r="O316" s="58" t="s">
        <v>5030</v>
      </c>
      <c r="P316" s="53" t="s">
        <v>3892</v>
      </c>
      <c r="Q316" s="58"/>
      <c r="R316" s="68">
        <v>2021</v>
      </c>
      <c r="S316" s="124"/>
      <c r="T316" s="240"/>
      <c r="U316" s="124"/>
      <c r="V316" s="99" t="s">
        <v>779</v>
      </c>
      <c r="W316" s="53" t="s">
        <v>236</v>
      </c>
      <c r="X316" s="153" t="s">
        <v>4195</v>
      </c>
      <c r="Y316" s="68" t="s">
        <v>2871</v>
      </c>
      <c r="Z316" s="124" t="s">
        <v>885</v>
      </c>
      <c r="AA316" s="58"/>
      <c r="AB316" s="60" t="s">
        <v>2163</v>
      </c>
      <c r="AC316" s="58"/>
      <c r="AD316" s="58" t="s">
        <v>157</v>
      </c>
      <c r="AE316" s="58" t="s">
        <v>157</v>
      </c>
      <c r="AF316" s="58"/>
      <c r="AG316" s="64" t="s">
        <v>3363</v>
      </c>
      <c r="AH316" s="53"/>
      <c r="AI316" s="58"/>
      <c r="AJ316" s="237" t="s">
        <v>3364</v>
      </c>
      <c r="AK316" s="58" t="s">
        <v>2163</v>
      </c>
      <c r="AL316" s="63" t="s">
        <v>2165</v>
      </c>
      <c r="AM316" s="58" t="s">
        <v>3365</v>
      </c>
      <c r="AN316" s="239" t="s">
        <v>3366</v>
      </c>
      <c r="AO316" s="64"/>
      <c r="AP316" s="158"/>
      <c r="AQ316" s="241"/>
      <c r="AR316" s="64" t="s">
        <v>3367</v>
      </c>
      <c r="AS316" s="64" t="s">
        <v>392</v>
      </c>
      <c r="AT316" s="40"/>
      <c r="AU316" s="54"/>
      <c r="AV316" s="54">
        <v>7140209</v>
      </c>
      <c r="AW316" s="53">
        <v>530</v>
      </c>
      <c r="AX316" s="60"/>
      <c r="AY316" s="40"/>
      <c r="AZ316" s="40"/>
      <c r="BI316" s="36"/>
      <c r="BJ316" s="36"/>
      <c r="BK316" s="37"/>
      <c r="BN316" s="16"/>
      <c r="BO316" s="16"/>
    </row>
    <row r="317" spans="1:67" s="67" customFormat="1" ht="15.95" customHeight="1" x14ac:dyDescent="0.25">
      <c r="A317" s="16"/>
      <c r="B317" s="68">
        <f>SUBTOTAL(103,$K$271:K317)</f>
        <v>46</v>
      </c>
      <c r="C317" s="53">
        <v>25</v>
      </c>
      <c r="D317" s="53" t="s">
        <v>2118</v>
      </c>
      <c r="E317" s="53" t="s">
        <v>19</v>
      </c>
      <c r="F317" s="53" t="s">
        <v>639</v>
      </c>
      <c r="G317" s="53" t="s">
        <v>4747</v>
      </c>
      <c r="H317" s="53" t="s">
        <v>4753</v>
      </c>
      <c r="I317" s="58" t="s">
        <v>3368</v>
      </c>
      <c r="J317" s="58" t="s">
        <v>2361</v>
      </c>
      <c r="K317" s="124" t="s">
        <v>4196</v>
      </c>
      <c r="L317" s="53" t="s">
        <v>149</v>
      </c>
      <c r="M317" s="53">
        <v>0</v>
      </c>
      <c r="N317" s="53" t="s">
        <v>150</v>
      </c>
      <c r="O317" s="58" t="s">
        <v>5030</v>
      </c>
      <c r="P317" s="53" t="s">
        <v>3892</v>
      </c>
      <c r="Q317" s="58"/>
      <c r="R317" s="68">
        <v>2018</v>
      </c>
      <c r="S317" s="68"/>
      <c r="T317" s="68"/>
      <c r="U317" s="68"/>
      <c r="V317" s="53" t="s">
        <v>801</v>
      </c>
      <c r="W317" s="53" t="s">
        <v>236</v>
      </c>
      <c r="X317" s="242" t="s">
        <v>4196</v>
      </c>
      <c r="Y317" s="68" t="s">
        <v>1070</v>
      </c>
      <c r="Z317" s="68" t="s">
        <v>3369</v>
      </c>
      <c r="AA317" s="58"/>
      <c r="AB317" s="60" t="s">
        <v>2849</v>
      </c>
      <c r="AC317" s="58"/>
      <c r="AD317" s="58" t="s">
        <v>157</v>
      </c>
      <c r="AE317" s="58" t="s">
        <v>157</v>
      </c>
      <c r="AF317" s="58"/>
      <c r="AG317" s="64" t="s">
        <v>3370</v>
      </c>
      <c r="AH317" s="53"/>
      <c r="AI317" s="58" t="s">
        <v>3371</v>
      </c>
      <c r="AJ317" s="237" t="s">
        <v>3372</v>
      </c>
      <c r="AK317" s="58" t="s">
        <v>2849</v>
      </c>
      <c r="AL317" s="63" t="s">
        <v>3373</v>
      </c>
      <c r="AM317" s="58" t="s">
        <v>3374</v>
      </c>
      <c r="AN317" s="239" t="s">
        <v>3375</v>
      </c>
      <c r="AO317" s="158"/>
      <c r="AP317" s="158"/>
      <c r="AQ317" s="158"/>
      <c r="AR317" s="158"/>
      <c r="AS317" s="64" t="s">
        <v>392</v>
      </c>
      <c r="AT317" s="40"/>
      <c r="AU317" s="54"/>
      <c r="AV317" s="54">
        <v>7140209</v>
      </c>
      <c r="AW317" s="53">
        <v>531</v>
      </c>
      <c r="AX317" s="60"/>
      <c r="AY317" s="40"/>
      <c r="AZ317" s="40"/>
      <c r="BI317" s="36"/>
      <c r="BJ317" s="36"/>
      <c r="BK317" s="37"/>
      <c r="BN317" s="16"/>
      <c r="BO317" s="16"/>
    </row>
    <row r="318" spans="1:67" s="67" customFormat="1" ht="15.95" customHeight="1" x14ac:dyDescent="0.25">
      <c r="A318" s="16"/>
      <c r="B318" s="68">
        <f>SUBTOTAL(103,$K$271:K318)</f>
        <v>47</v>
      </c>
      <c r="C318" s="53">
        <v>26</v>
      </c>
      <c r="D318" s="53" t="s">
        <v>2118</v>
      </c>
      <c r="E318" s="53" t="s">
        <v>19</v>
      </c>
      <c r="F318" s="110" t="s">
        <v>639</v>
      </c>
      <c r="G318" s="53" t="s">
        <v>4747</v>
      </c>
      <c r="H318" s="53" t="s">
        <v>4754</v>
      </c>
      <c r="I318" s="108" t="s">
        <v>1957</v>
      </c>
      <c r="J318" s="108" t="s">
        <v>2361</v>
      </c>
      <c r="K318" s="144" t="s">
        <v>4197</v>
      </c>
      <c r="L318" s="110" t="s">
        <v>170</v>
      </c>
      <c r="M318" s="68">
        <v>1</v>
      </c>
      <c r="N318" s="110" t="s">
        <v>150</v>
      </c>
      <c r="O318" s="58" t="s">
        <v>5030</v>
      </c>
      <c r="P318" s="53" t="s">
        <v>3892</v>
      </c>
      <c r="Q318" s="58"/>
      <c r="R318" s="110">
        <v>2019</v>
      </c>
      <c r="S318" s="110"/>
      <c r="T318" s="110"/>
      <c r="U318" s="110"/>
      <c r="V318" s="110">
        <v>8.5</v>
      </c>
      <c r="W318" s="110" t="s">
        <v>236</v>
      </c>
      <c r="X318" s="109" t="s">
        <v>4197</v>
      </c>
      <c r="Y318" s="110" t="s">
        <v>3376</v>
      </c>
      <c r="Z318" s="110" t="s">
        <v>3377</v>
      </c>
      <c r="AA318" s="58"/>
      <c r="AB318" s="187" t="s">
        <v>2298</v>
      </c>
      <c r="AC318" s="108" t="s">
        <v>157</v>
      </c>
      <c r="AD318" s="108"/>
      <c r="AE318" s="108"/>
      <c r="AF318" s="53" t="s">
        <v>253</v>
      </c>
      <c r="AG318" s="108" t="s">
        <v>3378</v>
      </c>
      <c r="AH318" s="110"/>
      <c r="AI318" s="108" t="s">
        <v>3379</v>
      </c>
      <c r="AJ318" s="115" t="s">
        <v>3380</v>
      </c>
      <c r="AK318" s="108" t="s">
        <v>2298</v>
      </c>
      <c r="AL318" s="112" t="s">
        <v>3381</v>
      </c>
      <c r="AM318" s="108" t="s">
        <v>3382</v>
      </c>
      <c r="AN318" s="113" t="s">
        <v>3383</v>
      </c>
      <c r="AO318" s="108"/>
      <c r="AP318" s="114" t="s">
        <v>2376</v>
      </c>
      <c r="AQ318" s="108" t="s">
        <v>3384</v>
      </c>
      <c r="AR318" s="53"/>
      <c r="AS318" s="53"/>
      <c r="AT318" s="53"/>
      <c r="AU318" s="201"/>
      <c r="AV318" s="54">
        <v>7140209</v>
      </c>
      <c r="AW318" s="53">
        <v>532</v>
      </c>
      <c r="AX318" s="60"/>
      <c r="BJ318" s="40"/>
      <c r="BK318" s="40"/>
      <c r="BN318" s="16"/>
      <c r="BO318" s="16"/>
    </row>
    <row r="319" spans="1:67" s="67" customFormat="1" ht="15.95" customHeight="1" x14ac:dyDescent="0.25">
      <c r="A319" s="16"/>
      <c r="B319" s="68">
        <f>SUBTOTAL(103,$K$271:K319)</f>
        <v>48</v>
      </c>
      <c r="C319" s="53">
        <v>27</v>
      </c>
      <c r="D319" s="53" t="s">
        <v>2118</v>
      </c>
      <c r="E319" s="53" t="s">
        <v>19</v>
      </c>
      <c r="F319" s="110" t="s">
        <v>639</v>
      </c>
      <c r="G319" s="53" t="s">
        <v>4747</v>
      </c>
      <c r="H319" s="53" t="s">
        <v>4755</v>
      </c>
      <c r="I319" s="108" t="s">
        <v>3385</v>
      </c>
      <c r="J319" s="108" t="s">
        <v>3386</v>
      </c>
      <c r="K319" s="144" t="s">
        <v>4198</v>
      </c>
      <c r="L319" s="110" t="s">
        <v>170</v>
      </c>
      <c r="M319" s="68">
        <v>1</v>
      </c>
      <c r="N319" s="110" t="s">
        <v>150</v>
      </c>
      <c r="O319" s="58" t="s">
        <v>5030</v>
      </c>
      <c r="P319" s="53" t="s">
        <v>3892</v>
      </c>
      <c r="Q319" s="58"/>
      <c r="R319" s="110">
        <v>2018</v>
      </c>
      <c r="S319" s="110"/>
      <c r="T319" s="110"/>
      <c r="U319" s="110"/>
      <c r="V319" s="110" t="s">
        <v>647</v>
      </c>
      <c r="W319" s="110" t="s">
        <v>236</v>
      </c>
      <c r="X319" s="109" t="s">
        <v>4198</v>
      </c>
      <c r="Y319" s="110" t="s">
        <v>1134</v>
      </c>
      <c r="Z319" s="110" t="s">
        <v>3387</v>
      </c>
      <c r="AA319" s="58"/>
      <c r="AB319" s="187" t="s">
        <v>253</v>
      </c>
      <c r="AC319" s="108" t="s">
        <v>157</v>
      </c>
      <c r="AD319" s="108" t="s">
        <v>157</v>
      </c>
      <c r="AE319" s="108"/>
      <c r="AF319" s="53" t="s">
        <v>253</v>
      </c>
      <c r="AG319" s="108" t="s">
        <v>3388</v>
      </c>
      <c r="AH319" s="110"/>
      <c r="AI319" s="108" t="s">
        <v>1703</v>
      </c>
      <c r="AJ319" s="115" t="s">
        <v>3389</v>
      </c>
      <c r="AK319" s="108" t="s">
        <v>253</v>
      </c>
      <c r="AL319" s="112" t="s">
        <v>2411</v>
      </c>
      <c r="AM319" s="108" t="s">
        <v>3390</v>
      </c>
      <c r="AN319" s="113" t="s">
        <v>3391</v>
      </c>
      <c r="AO319" s="108"/>
      <c r="AP319" s="108" t="s">
        <v>3310</v>
      </c>
      <c r="AQ319" s="108" t="s">
        <v>3300</v>
      </c>
      <c r="AR319" s="53"/>
      <c r="AS319" s="53"/>
      <c r="AT319" s="53"/>
      <c r="AU319" s="201"/>
      <c r="AV319" s="54">
        <v>7140209</v>
      </c>
      <c r="AW319" s="53">
        <v>533</v>
      </c>
      <c r="AX319" s="60"/>
      <c r="BJ319" s="40"/>
      <c r="BK319" s="40"/>
      <c r="BN319" s="16"/>
      <c r="BO319" s="16"/>
    </row>
    <row r="320" spans="1:67" s="67" customFormat="1" ht="15.95" customHeight="1" x14ac:dyDescent="0.25">
      <c r="A320" s="16"/>
      <c r="B320" s="68">
        <f>SUBTOTAL(103,$K$271:K320)</f>
        <v>49</v>
      </c>
      <c r="C320" s="53">
        <v>28</v>
      </c>
      <c r="D320" s="53" t="s">
        <v>2118</v>
      </c>
      <c r="E320" s="53" t="s">
        <v>19</v>
      </c>
      <c r="F320" s="53" t="s">
        <v>639</v>
      </c>
      <c r="G320" s="53" t="s">
        <v>4747</v>
      </c>
      <c r="H320" s="53" t="s">
        <v>4756</v>
      </c>
      <c r="I320" s="58" t="s">
        <v>3392</v>
      </c>
      <c r="J320" s="58" t="s">
        <v>3393</v>
      </c>
      <c r="K320" s="103" t="s">
        <v>4199</v>
      </c>
      <c r="L320" s="53" t="s">
        <v>149</v>
      </c>
      <c r="M320" s="53">
        <v>0</v>
      </c>
      <c r="N320" s="53" t="s">
        <v>150</v>
      </c>
      <c r="O320" s="58" t="s">
        <v>5030</v>
      </c>
      <c r="P320" s="53" t="s">
        <v>3892</v>
      </c>
      <c r="Q320" s="58"/>
      <c r="R320" s="53">
        <v>2019</v>
      </c>
      <c r="S320" s="53"/>
      <c r="T320" s="53"/>
      <c r="U320" s="53"/>
      <c r="V320" s="53"/>
      <c r="W320" s="53" t="s">
        <v>3394</v>
      </c>
      <c r="X320" s="119" t="s">
        <v>4199</v>
      </c>
      <c r="Y320" s="53" t="s">
        <v>1134</v>
      </c>
      <c r="Z320" s="53">
        <v>25.3</v>
      </c>
      <c r="AA320" s="58"/>
      <c r="AB320" s="60" t="s">
        <v>2325</v>
      </c>
      <c r="AC320" s="58" t="s">
        <v>157</v>
      </c>
      <c r="AD320" s="58"/>
      <c r="AE320" s="58"/>
      <c r="AF320" s="58"/>
      <c r="AG320" s="58" t="s">
        <v>3395</v>
      </c>
      <c r="AH320" s="53"/>
      <c r="AI320" s="58" t="s">
        <v>3396</v>
      </c>
      <c r="AJ320" s="237" t="s">
        <v>3397</v>
      </c>
      <c r="AK320" s="58" t="s">
        <v>2325</v>
      </c>
      <c r="AL320" s="63" t="s">
        <v>2686</v>
      </c>
      <c r="AM320" s="58" t="s">
        <v>3398</v>
      </c>
      <c r="AN320" s="103" t="s">
        <v>3399</v>
      </c>
      <c r="AO320" s="58"/>
      <c r="AP320" s="64"/>
      <c r="AQ320" s="58"/>
      <c r="AR320" s="58"/>
      <c r="AS320" s="58"/>
      <c r="AT320" s="53"/>
      <c r="AU320" s="54"/>
      <c r="AV320" s="54">
        <v>7140209</v>
      </c>
      <c r="AW320" s="53">
        <v>534</v>
      </c>
      <c r="AX320" s="60"/>
      <c r="BJ320" s="40"/>
      <c r="BK320" s="40"/>
      <c r="BN320" s="16"/>
      <c r="BO320" s="16"/>
    </row>
    <row r="321" spans="1:67" s="67" customFormat="1" ht="15.95" customHeight="1" x14ac:dyDescent="0.25">
      <c r="A321" s="16"/>
      <c r="B321" s="68">
        <f>SUBTOTAL(103,$K$271:K321)</f>
        <v>50</v>
      </c>
      <c r="C321" s="53">
        <v>29</v>
      </c>
      <c r="D321" s="53" t="s">
        <v>2118</v>
      </c>
      <c r="E321" s="53" t="s">
        <v>19</v>
      </c>
      <c r="F321" s="53" t="s">
        <v>639</v>
      </c>
      <c r="G321" s="53" t="s">
        <v>4747</v>
      </c>
      <c r="H321" s="53" t="s">
        <v>4757</v>
      </c>
      <c r="I321" s="58" t="s">
        <v>3400</v>
      </c>
      <c r="J321" s="58" t="s">
        <v>1316</v>
      </c>
      <c r="K321" s="234" t="s">
        <v>4200</v>
      </c>
      <c r="L321" s="53" t="s">
        <v>149</v>
      </c>
      <c r="M321" s="53">
        <v>0</v>
      </c>
      <c r="N321" s="53" t="s">
        <v>150</v>
      </c>
      <c r="O321" s="58" t="s">
        <v>5030</v>
      </c>
      <c r="P321" s="53" t="s">
        <v>3892</v>
      </c>
      <c r="Q321" s="58"/>
      <c r="R321" s="68">
        <v>2020</v>
      </c>
      <c r="S321" s="68"/>
      <c r="T321" s="68"/>
      <c r="U321" s="68"/>
      <c r="V321" s="53" t="s">
        <v>328</v>
      </c>
      <c r="W321" s="53" t="s">
        <v>236</v>
      </c>
      <c r="X321" s="238" t="s">
        <v>4200</v>
      </c>
      <c r="Y321" s="68" t="s">
        <v>3401</v>
      </c>
      <c r="Z321" s="68" t="s">
        <v>3402</v>
      </c>
      <c r="AA321" s="58"/>
      <c r="AB321" s="60" t="s">
        <v>322</v>
      </c>
      <c r="AC321" s="58"/>
      <c r="AD321" s="58" t="s">
        <v>157</v>
      </c>
      <c r="AE321" s="58" t="s">
        <v>157</v>
      </c>
      <c r="AF321" s="58"/>
      <c r="AG321" s="64" t="s">
        <v>3403</v>
      </c>
      <c r="AH321" s="53"/>
      <c r="AI321" s="58" t="s">
        <v>3404</v>
      </c>
      <c r="AJ321" s="237" t="s">
        <v>3405</v>
      </c>
      <c r="AK321" s="58" t="s">
        <v>322</v>
      </c>
      <c r="AL321" s="63" t="s">
        <v>3406</v>
      </c>
      <c r="AM321" s="58" t="s">
        <v>3407</v>
      </c>
      <c r="AN321" s="239" t="s">
        <v>3408</v>
      </c>
      <c r="AO321" s="158"/>
      <c r="AP321" s="158"/>
      <c r="AQ321" s="158"/>
      <c r="AR321" s="158"/>
      <c r="AS321" s="64" t="s">
        <v>392</v>
      </c>
      <c r="AT321" s="53"/>
      <c r="AU321" s="54"/>
      <c r="AV321" s="54">
        <v>7140209</v>
      </c>
      <c r="AW321" s="53">
        <v>535</v>
      </c>
      <c r="AX321" s="60"/>
      <c r="AY321" s="40"/>
      <c r="AZ321" s="40"/>
      <c r="BI321" s="36"/>
      <c r="BJ321" s="36"/>
      <c r="BK321" s="37"/>
      <c r="BN321" s="16"/>
      <c r="BO321" s="16"/>
    </row>
    <row r="322" spans="1:67" s="67" customFormat="1" ht="15.95" customHeight="1" x14ac:dyDescent="0.25">
      <c r="A322" s="16"/>
      <c r="B322" s="68">
        <f>SUBTOTAL(103,$K$271:K322)</f>
        <v>51</v>
      </c>
      <c r="C322" s="53">
        <v>30</v>
      </c>
      <c r="D322" s="53" t="s">
        <v>2118</v>
      </c>
      <c r="E322" s="53" t="s">
        <v>19</v>
      </c>
      <c r="F322" s="110" t="s">
        <v>639</v>
      </c>
      <c r="G322" s="53" t="s">
        <v>4747</v>
      </c>
      <c r="H322" s="53" t="s">
        <v>4758</v>
      </c>
      <c r="I322" s="108" t="s">
        <v>2469</v>
      </c>
      <c r="J322" s="108" t="s">
        <v>440</v>
      </c>
      <c r="K322" s="144" t="s">
        <v>4201</v>
      </c>
      <c r="L322" s="110" t="s">
        <v>170</v>
      </c>
      <c r="M322" s="68">
        <v>1</v>
      </c>
      <c r="N322" s="110" t="s">
        <v>150</v>
      </c>
      <c r="O322" s="58" t="s">
        <v>5030</v>
      </c>
      <c r="P322" s="53" t="s">
        <v>3892</v>
      </c>
      <c r="Q322" s="58"/>
      <c r="R322" s="110">
        <v>2020</v>
      </c>
      <c r="S322" s="110"/>
      <c r="T322" s="110"/>
      <c r="U322" s="110"/>
      <c r="V322" s="110" t="s">
        <v>685</v>
      </c>
      <c r="W322" s="110" t="s">
        <v>236</v>
      </c>
      <c r="X322" s="109" t="s">
        <v>4201</v>
      </c>
      <c r="Y322" s="110" t="s">
        <v>1134</v>
      </c>
      <c r="Z322" s="110" t="s">
        <v>3409</v>
      </c>
      <c r="AA322" s="58"/>
      <c r="AB322" s="187" t="s">
        <v>2150</v>
      </c>
      <c r="AC322" s="108" t="s">
        <v>157</v>
      </c>
      <c r="AD322" s="108" t="s">
        <v>157</v>
      </c>
      <c r="AE322" s="108"/>
      <c r="AF322" s="53" t="s">
        <v>253</v>
      </c>
      <c r="AG322" s="108" t="s">
        <v>3410</v>
      </c>
      <c r="AH322" s="110"/>
      <c r="AI322" s="108" t="s">
        <v>3411</v>
      </c>
      <c r="AJ322" s="115" t="s">
        <v>3412</v>
      </c>
      <c r="AK322" s="108" t="s">
        <v>2150</v>
      </c>
      <c r="AL322" s="108" t="s">
        <v>3413</v>
      </c>
      <c r="AM322" s="108" t="s">
        <v>3414</v>
      </c>
      <c r="AN322" s="113" t="s">
        <v>3415</v>
      </c>
      <c r="AO322" s="108"/>
      <c r="AP322" s="108" t="s">
        <v>2376</v>
      </c>
      <c r="AQ322" s="108" t="s">
        <v>3416</v>
      </c>
      <c r="AR322" s="53"/>
      <c r="AS322" s="53"/>
      <c r="AT322" s="53"/>
      <c r="AU322" s="201"/>
      <c r="AV322" s="54">
        <v>7140209</v>
      </c>
      <c r="AW322" s="53">
        <v>536</v>
      </c>
      <c r="AX322" s="60"/>
      <c r="BJ322" s="40"/>
      <c r="BK322" s="40"/>
      <c r="BN322" s="16"/>
      <c r="BO322" s="16"/>
    </row>
    <row r="323" spans="1:67" s="67" customFormat="1" ht="15.95" customHeight="1" x14ac:dyDescent="0.25">
      <c r="A323" s="16"/>
      <c r="B323" s="68">
        <f>SUBTOTAL(103,$K$271:K323)</f>
        <v>52</v>
      </c>
      <c r="C323" s="53">
        <v>31</v>
      </c>
      <c r="D323" s="53" t="s">
        <v>2118</v>
      </c>
      <c r="E323" s="53" t="s">
        <v>19</v>
      </c>
      <c r="F323" s="53" t="s">
        <v>639</v>
      </c>
      <c r="G323" s="53" t="s">
        <v>4747</v>
      </c>
      <c r="H323" s="53" t="s">
        <v>4759</v>
      </c>
      <c r="I323" s="58" t="s">
        <v>3417</v>
      </c>
      <c r="J323" s="58" t="s">
        <v>3418</v>
      </c>
      <c r="K323" s="103" t="s">
        <v>4202</v>
      </c>
      <c r="L323" s="139" t="s">
        <v>170</v>
      </c>
      <c r="M323" s="68">
        <v>1</v>
      </c>
      <c r="N323" s="53" t="s">
        <v>150</v>
      </c>
      <c r="O323" s="58" t="s">
        <v>5030</v>
      </c>
      <c r="P323" s="53" t="s">
        <v>3892</v>
      </c>
      <c r="Q323" s="58"/>
      <c r="R323" s="53">
        <v>2020</v>
      </c>
      <c r="S323" s="53"/>
      <c r="T323" s="53"/>
      <c r="U323" s="53"/>
      <c r="V323" s="53"/>
      <c r="W323" s="53" t="s">
        <v>236</v>
      </c>
      <c r="X323" s="119" t="s">
        <v>4202</v>
      </c>
      <c r="Y323" s="53" t="s">
        <v>3376</v>
      </c>
      <c r="Z323" s="53">
        <v>27.9</v>
      </c>
      <c r="AA323" s="58"/>
      <c r="AB323" s="60" t="s">
        <v>2807</v>
      </c>
      <c r="AC323" s="58" t="s">
        <v>157</v>
      </c>
      <c r="AD323" s="58"/>
      <c r="AE323" s="58"/>
      <c r="AF323" s="58"/>
      <c r="AG323" s="58" t="s">
        <v>3419</v>
      </c>
      <c r="AH323" s="53"/>
      <c r="AI323" s="58" t="s">
        <v>3420</v>
      </c>
      <c r="AJ323" s="237" t="s">
        <v>3421</v>
      </c>
      <c r="AK323" s="58" t="s">
        <v>253</v>
      </c>
      <c r="AL323" s="58" t="s">
        <v>3422</v>
      </c>
      <c r="AM323" s="58" t="s">
        <v>3423</v>
      </c>
      <c r="AN323" s="103" t="s">
        <v>3424</v>
      </c>
      <c r="AO323" s="58"/>
      <c r="AP323" s="64"/>
      <c r="AQ323" s="58"/>
      <c r="AR323" s="58"/>
      <c r="AS323" s="58"/>
      <c r="AT323" s="53"/>
      <c r="AU323" s="54"/>
      <c r="AV323" s="54">
        <v>7140209</v>
      </c>
      <c r="AW323" s="53">
        <v>537</v>
      </c>
      <c r="AX323" s="60"/>
      <c r="BJ323" s="40"/>
      <c r="BK323" s="40"/>
      <c r="BN323" s="16"/>
      <c r="BO323" s="16"/>
    </row>
    <row r="324" spans="1:67" s="67" customFormat="1" ht="15.95" customHeight="1" x14ac:dyDescent="0.25">
      <c r="A324" s="16"/>
      <c r="B324" s="68">
        <f>SUBTOTAL(103,$K$271:K324)</f>
        <v>53</v>
      </c>
      <c r="C324" s="53">
        <v>32</v>
      </c>
      <c r="D324" s="53" t="s">
        <v>2118</v>
      </c>
      <c r="E324" s="53" t="s">
        <v>19</v>
      </c>
      <c r="F324" s="53" t="s">
        <v>639</v>
      </c>
      <c r="G324" s="53" t="s">
        <v>4747</v>
      </c>
      <c r="H324" s="53" t="s">
        <v>4760</v>
      </c>
      <c r="I324" s="64" t="s">
        <v>524</v>
      </c>
      <c r="J324" s="64" t="s">
        <v>1712</v>
      </c>
      <c r="K324" s="234" t="s">
        <v>4203</v>
      </c>
      <c r="L324" s="53" t="s">
        <v>170</v>
      </c>
      <c r="M324" s="68">
        <v>1</v>
      </c>
      <c r="N324" s="53" t="s">
        <v>150</v>
      </c>
      <c r="O324" s="58" t="s">
        <v>5030</v>
      </c>
      <c r="P324" s="53" t="s">
        <v>3892</v>
      </c>
      <c r="Q324" s="58"/>
      <c r="R324" s="68">
        <v>2012</v>
      </c>
      <c r="S324" s="68" t="s">
        <v>153</v>
      </c>
      <c r="T324" s="240" t="s">
        <v>547</v>
      </c>
      <c r="U324" s="124" t="s">
        <v>3425</v>
      </c>
      <c r="V324" s="99" t="s">
        <v>642</v>
      </c>
      <c r="W324" s="53" t="s">
        <v>236</v>
      </c>
      <c r="X324" s="234" t="s">
        <v>4203</v>
      </c>
      <c r="Y324" s="68" t="s">
        <v>1070</v>
      </c>
      <c r="Z324" s="68">
        <v>26.2</v>
      </c>
      <c r="AA324" s="58"/>
      <c r="AB324" s="188" t="s">
        <v>858</v>
      </c>
      <c r="AC324" s="58"/>
      <c r="AD324" s="58"/>
      <c r="AE324" s="58"/>
      <c r="AF324" s="58"/>
      <c r="AG324" s="64" t="s">
        <v>3426</v>
      </c>
      <c r="AH324" s="53"/>
      <c r="AI324" s="64" t="s">
        <v>3427</v>
      </c>
      <c r="AJ324" s="243" t="s">
        <v>3428</v>
      </c>
      <c r="AK324" s="58" t="s">
        <v>2194</v>
      </c>
      <c r="AL324" s="102" t="s">
        <v>2810</v>
      </c>
      <c r="AM324" s="58" t="s">
        <v>3429</v>
      </c>
      <c r="AN324" s="103" t="s">
        <v>3430</v>
      </c>
      <c r="AO324" s="58" t="s">
        <v>131</v>
      </c>
      <c r="AP324" s="58"/>
      <c r="AQ324" s="58"/>
      <c r="AR324" s="64" t="s">
        <v>3870</v>
      </c>
      <c r="AS324" s="64" t="s">
        <v>3871</v>
      </c>
      <c r="AT324" s="53"/>
      <c r="AU324" s="54"/>
      <c r="AV324" s="54">
        <v>7140209</v>
      </c>
      <c r="AW324" s="53">
        <v>538</v>
      </c>
      <c r="AX324" s="60"/>
      <c r="AY324" s="40"/>
      <c r="AZ324" s="40"/>
      <c r="BI324" s="36"/>
      <c r="BJ324" s="36"/>
      <c r="BK324" s="37"/>
      <c r="BN324" s="16"/>
      <c r="BO324" s="16"/>
    </row>
    <row r="325" spans="1:67" s="67" customFormat="1" ht="15.95" customHeight="1" x14ac:dyDescent="0.25">
      <c r="A325" s="16"/>
      <c r="B325" s="68">
        <f>SUBTOTAL(103,$K$271:K325)</f>
        <v>54</v>
      </c>
      <c r="C325" s="53">
        <v>33</v>
      </c>
      <c r="D325" s="53" t="s">
        <v>2118</v>
      </c>
      <c r="E325" s="53" t="s">
        <v>19</v>
      </c>
      <c r="F325" s="53" t="s">
        <v>639</v>
      </c>
      <c r="G325" s="53" t="s">
        <v>4747</v>
      </c>
      <c r="H325" s="53" t="s">
        <v>4761</v>
      </c>
      <c r="I325" s="58" t="s">
        <v>1560</v>
      </c>
      <c r="J325" s="64" t="s">
        <v>1357</v>
      </c>
      <c r="K325" s="103" t="s">
        <v>4204</v>
      </c>
      <c r="L325" s="53" t="s">
        <v>170</v>
      </c>
      <c r="M325" s="68">
        <v>1</v>
      </c>
      <c r="N325" s="53" t="s">
        <v>150</v>
      </c>
      <c r="O325" s="58" t="s">
        <v>5030</v>
      </c>
      <c r="P325" s="53" t="s">
        <v>3892</v>
      </c>
      <c r="Q325" s="58"/>
      <c r="R325" s="53">
        <v>2019</v>
      </c>
      <c r="S325" s="53"/>
      <c r="T325" s="53"/>
      <c r="U325" s="53"/>
      <c r="V325" s="53" t="s">
        <v>1591</v>
      </c>
      <c r="W325" s="53" t="s">
        <v>236</v>
      </c>
      <c r="X325" s="103" t="s">
        <v>4204</v>
      </c>
      <c r="Y325" s="68" t="s">
        <v>1070</v>
      </c>
      <c r="Z325" s="68">
        <v>26.5</v>
      </c>
      <c r="AA325" s="58"/>
      <c r="AB325" s="60" t="s">
        <v>3431</v>
      </c>
      <c r="AC325" s="58"/>
      <c r="AD325" s="58"/>
      <c r="AE325" s="58" t="s">
        <v>157</v>
      </c>
      <c r="AF325" s="58"/>
      <c r="AG325" s="64" t="s">
        <v>3432</v>
      </c>
      <c r="AH325" s="53"/>
      <c r="AI325" s="64" t="s">
        <v>3433</v>
      </c>
      <c r="AJ325" s="101" t="s">
        <v>3434</v>
      </c>
      <c r="AK325" s="53" t="s">
        <v>2163</v>
      </c>
      <c r="AL325" s="53" t="s">
        <v>3435</v>
      </c>
      <c r="AM325" s="64" t="s">
        <v>3436</v>
      </c>
      <c r="AN325" s="232" t="s">
        <v>3437</v>
      </c>
      <c r="AO325" s="64"/>
      <c r="AP325" s="58"/>
      <c r="AQ325" s="58"/>
      <c r="AR325" s="58"/>
      <c r="AS325" s="58"/>
      <c r="AT325" s="53"/>
      <c r="AU325" s="54"/>
      <c r="AV325" s="54">
        <v>7140209</v>
      </c>
      <c r="AW325" s="53">
        <v>539</v>
      </c>
      <c r="AX325" s="60"/>
      <c r="AY325" s="40"/>
      <c r="AZ325" s="40"/>
      <c r="BI325" s="36"/>
      <c r="BJ325" s="36"/>
      <c r="BK325" s="37"/>
      <c r="BN325" s="16"/>
      <c r="BO325" s="16"/>
    </row>
    <row r="326" spans="1:67" s="67" customFormat="1" ht="15.95" customHeight="1" x14ac:dyDescent="0.25">
      <c r="A326" s="16"/>
      <c r="B326" s="68">
        <f>SUBTOTAL(103,$K$271:K326)</f>
        <v>55</v>
      </c>
      <c r="C326" s="53">
        <v>34</v>
      </c>
      <c r="D326" s="53" t="s">
        <v>2118</v>
      </c>
      <c r="E326" s="53" t="s">
        <v>19</v>
      </c>
      <c r="F326" s="53" t="s">
        <v>639</v>
      </c>
      <c r="G326" s="53" t="s">
        <v>4747</v>
      </c>
      <c r="H326" s="53" t="s">
        <v>4762</v>
      </c>
      <c r="I326" s="58" t="s">
        <v>1878</v>
      </c>
      <c r="J326" s="64" t="s">
        <v>473</v>
      </c>
      <c r="K326" s="103" t="s">
        <v>4205</v>
      </c>
      <c r="L326" s="53" t="s">
        <v>170</v>
      </c>
      <c r="M326" s="68">
        <v>1</v>
      </c>
      <c r="N326" s="53" t="s">
        <v>150</v>
      </c>
      <c r="O326" s="58" t="s">
        <v>5030</v>
      </c>
      <c r="P326" s="53" t="s">
        <v>3892</v>
      </c>
      <c r="Q326" s="58"/>
      <c r="R326" s="53">
        <v>2009</v>
      </c>
      <c r="S326" s="53"/>
      <c r="T326" s="53"/>
      <c r="U326" s="99"/>
      <c r="V326" s="53" t="s">
        <v>647</v>
      </c>
      <c r="W326" s="53" t="s">
        <v>236</v>
      </c>
      <c r="X326" s="103" t="s">
        <v>4205</v>
      </c>
      <c r="Y326" s="68" t="s">
        <v>1070</v>
      </c>
      <c r="Z326" s="68" t="s">
        <v>3438</v>
      </c>
      <c r="AA326" s="58"/>
      <c r="AB326" s="60" t="s">
        <v>253</v>
      </c>
      <c r="AC326" s="58"/>
      <c r="AD326" s="58"/>
      <c r="AE326" s="58"/>
      <c r="AF326" s="58"/>
      <c r="AG326" s="64" t="s">
        <v>3439</v>
      </c>
      <c r="AH326" s="53"/>
      <c r="AI326" s="58" t="s">
        <v>3440</v>
      </c>
      <c r="AJ326" s="101" t="s">
        <v>3441</v>
      </c>
      <c r="AK326" s="53" t="s">
        <v>2194</v>
      </c>
      <c r="AL326" s="53" t="s">
        <v>3442</v>
      </c>
      <c r="AM326" s="64" t="s">
        <v>3443</v>
      </c>
      <c r="AN326" s="232" t="s">
        <v>3444</v>
      </c>
      <c r="AO326" s="64"/>
      <c r="AP326" s="58"/>
      <c r="AQ326" s="58"/>
      <c r="AR326" s="58"/>
      <c r="AS326" s="58"/>
      <c r="AT326" s="53"/>
      <c r="AU326" s="54"/>
      <c r="AV326" s="54">
        <v>7140209</v>
      </c>
      <c r="AW326" s="53">
        <v>540</v>
      </c>
      <c r="AX326" s="60"/>
      <c r="AY326" s="40"/>
      <c r="AZ326" s="40"/>
      <c r="BI326" s="36"/>
      <c r="BJ326" s="36"/>
      <c r="BK326" s="37"/>
      <c r="BN326" s="16"/>
      <c r="BO326" s="16"/>
    </row>
    <row r="327" spans="1:67" s="67" customFormat="1" ht="15.95" customHeight="1" x14ac:dyDescent="0.25">
      <c r="A327" s="16"/>
      <c r="B327" s="68">
        <f>SUBTOTAL(103,$K$271:K327)</f>
        <v>56</v>
      </c>
      <c r="C327" s="53">
        <v>35</v>
      </c>
      <c r="D327" s="53" t="s">
        <v>2118</v>
      </c>
      <c r="E327" s="53" t="s">
        <v>19</v>
      </c>
      <c r="F327" s="110" t="s">
        <v>639</v>
      </c>
      <c r="G327" s="53" t="s">
        <v>4747</v>
      </c>
      <c r="H327" s="53" t="s">
        <v>4763</v>
      </c>
      <c r="I327" s="108" t="s">
        <v>3445</v>
      </c>
      <c r="J327" s="108" t="s">
        <v>473</v>
      </c>
      <c r="K327" s="144" t="s">
        <v>4206</v>
      </c>
      <c r="L327" s="110" t="s">
        <v>170</v>
      </c>
      <c r="M327" s="68">
        <v>1</v>
      </c>
      <c r="N327" s="110" t="s">
        <v>150</v>
      </c>
      <c r="O327" s="58" t="s">
        <v>5030</v>
      </c>
      <c r="P327" s="53" t="s">
        <v>3892</v>
      </c>
      <c r="Q327" s="58"/>
      <c r="R327" s="110">
        <v>2021</v>
      </c>
      <c r="S327" s="110"/>
      <c r="T327" s="110"/>
      <c r="U327" s="110"/>
      <c r="V327" s="110" t="s">
        <v>986</v>
      </c>
      <c r="W327" s="110" t="s">
        <v>236</v>
      </c>
      <c r="X327" s="109" t="s">
        <v>4206</v>
      </c>
      <c r="Y327" s="110" t="s">
        <v>1070</v>
      </c>
      <c r="Z327" s="110" t="s">
        <v>971</v>
      </c>
      <c r="AA327" s="58"/>
      <c r="AB327" s="187" t="s">
        <v>2298</v>
      </c>
      <c r="AC327" s="108" t="s">
        <v>157</v>
      </c>
      <c r="AD327" s="70" t="s">
        <v>157</v>
      </c>
      <c r="AE327" s="108"/>
      <c r="AF327" s="53" t="s">
        <v>253</v>
      </c>
      <c r="AG327" s="108" t="s">
        <v>3446</v>
      </c>
      <c r="AH327" s="110"/>
      <c r="AI327" s="108" t="s">
        <v>56</v>
      </c>
      <c r="AJ327" s="115" t="s">
        <v>3447</v>
      </c>
      <c r="AK327" s="108" t="s">
        <v>2163</v>
      </c>
      <c r="AL327" s="108" t="s">
        <v>3448</v>
      </c>
      <c r="AM327" s="108" t="s">
        <v>3449</v>
      </c>
      <c r="AN327" s="113" t="s">
        <v>3450</v>
      </c>
      <c r="AO327" s="108"/>
      <c r="AP327" s="108" t="s">
        <v>3367</v>
      </c>
      <c r="AQ327" s="108" t="s">
        <v>392</v>
      </c>
      <c r="AR327" s="53"/>
      <c r="AS327" s="53"/>
      <c r="AT327" s="53"/>
      <c r="AU327" s="201"/>
      <c r="AV327" s="54">
        <v>7140209</v>
      </c>
      <c r="AW327" s="53">
        <v>541</v>
      </c>
      <c r="AX327" s="60"/>
      <c r="BJ327" s="40"/>
      <c r="BK327" s="40"/>
      <c r="BN327" s="16"/>
      <c r="BO327" s="16"/>
    </row>
    <row r="328" spans="1:67" s="67" customFormat="1" ht="15.95" customHeight="1" x14ac:dyDescent="0.25">
      <c r="A328" s="16"/>
      <c r="B328" s="68">
        <f>SUBTOTAL(103,$K$271:K328)</f>
        <v>57</v>
      </c>
      <c r="C328" s="53">
        <v>36</v>
      </c>
      <c r="D328" s="53" t="s">
        <v>2118</v>
      </c>
      <c r="E328" s="53" t="s">
        <v>19</v>
      </c>
      <c r="F328" s="53" t="s">
        <v>639</v>
      </c>
      <c r="G328" s="53" t="s">
        <v>4747</v>
      </c>
      <c r="H328" s="53" t="s">
        <v>4764</v>
      </c>
      <c r="I328" s="58" t="s">
        <v>600</v>
      </c>
      <c r="J328" s="64" t="s">
        <v>342</v>
      </c>
      <c r="K328" s="103" t="s">
        <v>4207</v>
      </c>
      <c r="L328" s="53" t="s">
        <v>170</v>
      </c>
      <c r="M328" s="68">
        <v>1</v>
      </c>
      <c r="N328" s="53" t="s">
        <v>150</v>
      </c>
      <c r="O328" s="58" t="s">
        <v>5030</v>
      </c>
      <c r="P328" s="53" t="s">
        <v>3892</v>
      </c>
      <c r="Q328" s="58"/>
      <c r="R328" s="53">
        <v>2020</v>
      </c>
      <c r="S328" s="53"/>
      <c r="T328" s="53"/>
      <c r="U328" s="53"/>
      <c r="V328" s="53"/>
      <c r="W328" s="53" t="s">
        <v>236</v>
      </c>
      <c r="X328" s="119" t="s">
        <v>4207</v>
      </c>
      <c r="Y328" s="53" t="s">
        <v>3376</v>
      </c>
      <c r="Z328" s="53">
        <v>27.82</v>
      </c>
      <c r="AA328" s="58"/>
      <c r="AB328" s="60" t="s">
        <v>2298</v>
      </c>
      <c r="AC328" s="58" t="s">
        <v>157</v>
      </c>
      <c r="AD328" s="58"/>
      <c r="AE328" s="58"/>
      <c r="AF328" s="58"/>
      <c r="AG328" s="58" t="s">
        <v>3378</v>
      </c>
      <c r="AH328" s="53"/>
      <c r="AI328" s="58" t="s">
        <v>2428</v>
      </c>
      <c r="AJ328" s="101" t="s">
        <v>3451</v>
      </c>
      <c r="AK328" s="58" t="s">
        <v>2298</v>
      </c>
      <c r="AL328" s="102" t="s">
        <v>3381</v>
      </c>
      <c r="AM328" s="58" t="s">
        <v>3452</v>
      </c>
      <c r="AN328" s="103" t="s">
        <v>3453</v>
      </c>
      <c r="AO328" s="58"/>
      <c r="AP328" s="64"/>
      <c r="AQ328" s="58"/>
      <c r="AR328" s="58"/>
      <c r="AS328" s="58"/>
      <c r="AT328" s="53"/>
      <c r="AU328" s="54"/>
      <c r="AV328" s="54">
        <v>7140209</v>
      </c>
      <c r="AW328" s="53">
        <v>542</v>
      </c>
      <c r="AX328" s="60"/>
      <c r="BJ328" s="40"/>
      <c r="BK328" s="40"/>
      <c r="BN328" s="16"/>
      <c r="BO328" s="16"/>
    </row>
    <row r="329" spans="1:67" s="67" customFormat="1" ht="15.95" customHeight="1" x14ac:dyDescent="0.25">
      <c r="A329" s="16"/>
      <c r="B329" s="68">
        <f>SUBTOTAL(103,$K$271:K329)</f>
        <v>58</v>
      </c>
      <c r="C329" s="53">
        <v>37</v>
      </c>
      <c r="D329" s="53" t="s">
        <v>2118</v>
      </c>
      <c r="E329" s="53" t="s">
        <v>19</v>
      </c>
      <c r="F329" s="53" t="s">
        <v>639</v>
      </c>
      <c r="G329" s="53" t="s">
        <v>4747</v>
      </c>
      <c r="H329" s="53" t="s">
        <v>4765</v>
      </c>
      <c r="I329" s="58" t="s">
        <v>3454</v>
      </c>
      <c r="J329" s="64" t="s">
        <v>3455</v>
      </c>
      <c r="K329" s="103" t="s">
        <v>4208</v>
      </c>
      <c r="L329" s="53" t="s">
        <v>149</v>
      </c>
      <c r="M329" s="53">
        <v>0</v>
      </c>
      <c r="N329" s="53" t="s">
        <v>150</v>
      </c>
      <c r="O329" s="58" t="s">
        <v>5030</v>
      </c>
      <c r="P329" s="53" t="s">
        <v>3892</v>
      </c>
      <c r="Q329" s="58"/>
      <c r="R329" s="53">
        <v>2003</v>
      </c>
      <c r="S329" s="53"/>
      <c r="T329" s="53"/>
      <c r="U329" s="53"/>
      <c r="V329" s="53" t="s">
        <v>328</v>
      </c>
      <c r="W329" s="53" t="s">
        <v>236</v>
      </c>
      <c r="X329" s="103" t="s">
        <v>4208</v>
      </c>
      <c r="Y329" s="68" t="s">
        <v>1070</v>
      </c>
      <c r="Z329" s="68">
        <v>24.8</v>
      </c>
      <c r="AA329" s="58"/>
      <c r="AB329" s="60" t="s">
        <v>858</v>
      </c>
      <c r="AC329" s="58"/>
      <c r="AD329" s="58"/>
      <c r="AE329" s="58" t="s">
        <v>157</v>
      </c>
      <c r="AF329" s="58"/>
      <c r="AG329" s="64" t="s">
        <v>3456</v>
      </c>
      <c r="AH329" s="53"/>
      <c r="AI329" s="64" t="s">
        <v>3457</v>
      </c>
      <c r="AJ329" s="101" t="s">
        <v>3458</v>
      </c>
      <c r="AK329" s="53" t="s">
        <v>858</v>
      </c>
      <c r="AL329" s="152" t="s">
        <v>3459</v>
      </c>
      <c r="AM329" s="64" t="s">
        <v>3460</v>
      </c>
      <c r="AN329" s="232" t="s">
        <v>3461</v>
      </c>
      <c r="AO329" s="64"/>
      <c r="AP329" s="58"/>
      <c r="AQ329" s="58"/>
      <c r="AR329" s="58"/>
      <c r="AS329" s="58"/>
      <c r="AT329" s="53"/>
      <c r="AU329" s="54"/>
      <c r="AV329" s="54">
        <v>7140209</v>
      </c>
      <c r="AW329" s="53">
        <v>543</v>
      </c>
      <c r="AX329" s="60"/>
      <c r="AY329" s="40"/>
      <c r="AZ329" s="40"/>
      <c r="BI329" s="36"/>
      <c r="BJ329" s="36"/>
      <c r="BK329" s="37"/>
      <c r="BN329" s="16"/>
      <c r="BO329" s="16"/>
    </row>
    <row r="330" spans="1:67" s="67" customFormat="1" ht="15.95" customHeight="1" x14ac:dyDescent="0.25">
      <c r="A330" s="16"/>
      <c r="B330" s="68">
        <f>SUBTOTAL(103,$K$271:K330)</f>
        <v>59</v>
      </c>
      <c r="C330" s="53">
        <v>38</v>
      </c>
      <c r="D330" s="53" t="s">
        <v>2118</v>
      </c>
      <c r="E330" s="53" t="s">
        <v>19</v>
      </c>
      <c r="F330" s="110" t="s">
        <v>639</v>
      </c>
      <c r="G330" s="53" t="s">
        <v>4747</v>
      </c>
      <c r="H330" s="53" t="s">
        <v>4766</v>
      </c>
      <c r="I330" s="108" t="s">
        <v>1107</v>
      </c>
      <c r="J330" s="108" t="s">
        <v>304</v>
      </c>
      <c r="K330" s="144" t="s">
        <v>4209</v>
      </c>
      <c r="L330" s="110" t="s">
        <v>170</v>
      </c>
      <c r="M330" s="68">
        <v>1</v>
      </c>
      <c r="N330" s="110" t="s">
        <v>150</v>
      </c>
      <c r="O330" s="58" t="s">
        <v>5030</v>
      </c>
      <c r="P330" s="53" t="s">
        <v>3892</v>
      </c>
      <c r="Q330" s="58"/>
      <c r="R330" s="110">
        <v>2021</v>
      </c>
      <c r="S330" s="110"/>
      <c r="T330" s="110"/>
      <c r="U330" s="110"/>
      <c r="V330" s="110" t="s">
        <v>779</v>
      </c>
      <c r="W330" s="110" t="s">
        <v>236</v>
      </c>
      <c r="X330" s="109" t="s">
        <v>4209</v>
      </c>
      <c r="Y330" s="110" t="s">
        <v>1134</v>
      </c>
      <c r="Z330" s="110" t="s">
        <v>3462</v>
      </c>
      <c r="AA330" s="58"/>
      <c r="AB330" s="187" t="s">
        <v>253</v>
      </c>
      <c r="AC330" s="108" t="s">
        <v>157</v>
      </c>
      <c r="AD330" s="108" t="s">
        <v>157</v>
      </c>
      <c r="AE330" s="108"/>
      <c r="AF330" s="53" t="s">
        <v>253</v>
      </c>
      <c r="AG330" s="108" t="s">
        <v>3463</v>
      </c>
      <c r="AH330" s="110"/>
      <c r="AI330" s="108"/>
      <c r="AJ330" s="115" t="s">
        <v>3464</v>
      </c>
      <c r="AK330" s="108" t="s">
        <v>253</v>
      </c>
      <c r="AL330" s="112" t="s">
        <v>2810</v>
      </c>
      <c r="AM330" s="116" t="s">
        <v>3465</v>
      </c>
      <c r="AN330" s="113" t="s">
        <v>3466</v>
      </c>
      <c r="AO330" s="108"/>
      <c r="AP330" s="108" t="s">
        <v>3367</v>
      </c>
      <c r="AQ330" s="108" t="s">
        <v>3467</v>
      </c>
      <c r="AR330" s="53"/>
      <c r="AS330" s="53"/>
      <c r="AT330" s="53"/>
      <c r="AU330" s="201"/>
      <c r="AV330" s="54">
        <v>7140209</v>
      </c>
      <c r="AW330" s="53">
        <v>544</v>
      </c>
      <c r="AX330" s="60"/>
      <c r="BJ330" s="40"/>
      <c r="BK330" s="40"/>
      <c r="BN330" s="16"/>
      <c r="BO330" s="16"/>
    </row>
    <row r="331" spans="1:67" s="67" customFormat="1" ht="15.95" customHeight="1" x14ac:dyDescent="0.25">
      <c r="A331" s="16"/>
      <c r="B331" s="68">
        <f>SUBTOTAL(103,$K$271:K331)</f>
        <v>60</v>
      </c>
      <c r="C331" s="53">
        <v>39</v>
      </c>
      <c r="D331" s="53" t="s">
        <v>2118</v>
      </c>
      <c r="E331" s="53" t="s">
        <v>19</v>
      </c>
      <c r="F331" s="53" t="s">
        <v>639</v>
      </c>
      <c r="G331" s="53" t="s">
        <v>4747</v>
      </c>
      <c r="H331" s="53" t="s">
        <v>4767</v>
      </c>
      <c r="I331" s="58" t="s">
        <v>856</v>
      </c>
      <c r="J331" s="58" t="s">
        <v>304</v>
      </c>
      <c r="K331" s="234" t="s">
        <v>4210</v>
      </c>
      <c r="L331" s="53" t="s">
        <v>170</v>
      </c>
      <c r="M331" s="68">
        <v>1</v>
      </c>
      <c r="N331" s="53" t="s">
        <v>150</v>
      </c>
      <c r="O331" s="58" t="s">
        <v>5030</v>
      </c>
      <c r="P331" s="53" t="s">
        <v>3892</v>
      </c>
      <c r="Q331" s="58"/>
      <c r="R331" s="68">
        <v>2021</v>
      </c>
      <c r="S331" s="68"/>
      <c r="T331" s="68"/>
      <c r="U331" s="68"/>
      <c r="V331" s="53" t="s">
        <v>3468</v>
      </c>
      <c r="W331" s="53" t="s">
        <v>236</v>
      </c>
      <c r="X331" s="81" t="s">
        <v>4210</v>
      </c>
      <c r="Y331" s="68" t="s">
        <v>1070</v>
      </c>
      <c r="Z331" s="68" t="s">
        <v>3469</v>
      </c>
      <c r="AA331" s="58"/>
      <c r="AB331" s="60" t="s">
        <v>156</v>
      </c>
      <c r="AC331" s="58" t="s">
        <v>157</v>
      </c>
      <c r="AD331" s="58" t="s">
        <v>157</v>
      </c>
      <c r="AE331" s="58"/>
      <c r="AF331" s="53" t="s">
        <v>253</v>
      </c>
      <c r="AG331" s="64" t="s">
        <v>2003</v>
      </c>
      <c r="AH331" s="53"/>
      <c r="AI331" s="58"/>
      <c r="AJ331" s="140" t="s">
        <v>3470</v>
      </c>
      <c r="AK331" s="58" t="s">
        <v>156</v>
      </c>
      <c r="AL331" s="63" t="s">
        <v>712</v>
      </c>
      <c r="AM331" s="122" t="s">
        <v>3471</v>
      </c>
      <c r="AN331" s="81" t="s">
        <v>3472</v>
      </c>
      <c r="AO331" s="58" t="s">
        <v>3473</v>
      </c>
      <c r="AP331" s="58"/>
      <c r="AQ331" s="64" t="s">
        <v>3474</v>
      </c>
      <c r="AR331" s="53"/>
      <c r="AS331" s="53"/>
      <c r="AT331" s="53"/>
      <c r="AU331" s="201"/>
      <c r="AV331" s="54">
        <v>7140209</v>
      </c>
      <c r="AW331" s="53">
        <v>545</v>
      </c>
      <c r="AX331" s="60"/>
      <c r="BJ331" s="40"/>
      <c r="BK331" s="40"/>
      <c r="BN331" s="16"/>
      <c r="BO331" s="16"/>
    </row>
    <row r="332" spans="1:67" s="67" customFormat="1" ht="15.95" customHeight="1" x14ac:dyDescent="0.25">
      <c r="A332" s="16"/>
      <c r="B332" s="68">
        <f>SUBTOTAL(103,$K$271:K332)</f>
        <v>61</v>
      </c>
      <c r="C332" s="53">
        <v>40</v>
      </c>
      <c r="D332" s="53" t="s">
        <v>2118</v>
      </c>
      <c r="E332" s="53" t="s">
        <v>19</v>
      </c>
      <c r="F332" s="110" t="s">
        <v>639</v>
      </c>
      <c r="G332" s="53" t="s">
        <v>4747</v>
      </c>
      <c r="H332" s="53" t="s">
        <v>4768</v>
      </c>
      <c r="I332" s="108" t="s">
        <v>3475</v>
      </c>
      <c r="J332" s="108" t="s">
        <v>149</v>
      </c>
      <c r="K332" s="144" t="s">
        <v>4211</v>
      </c>
      <c r="L332" s="110" t="s">
        <v>149</v>
      </c>
      <c r="M332" s="53">
        <v>0</v>
      </c>
      <c r="N332" s="110" t="s">
        <v>150</v>
      </c>
      <c r="O332" s="58" t="s">
        <v>5030</v>
      </c>
      <c r="P332" s="53" t="s">
        <v>3892</v>
      </c>
      <c r="Q332" s="58"/>
      <c r="R332" s="110">
        <v>2019</v>
      </c>
      <c r="S332" s="110"/>
      <c r="T332" s="110"/>
      <c r="U332" s="110"/>
      <c r="V332" s="110" t="s">
        <v>2040</v>
      </c>
      <c r="W332" s="110" t="s">
        <v>236</v>
      </c>
      <c r="X332" s="109" t="s">
        <v>4211</v>
      </c>
      <c r="Y332" s="110" t="s">
        <v>1070</v>
      </c>
      <c r="Z332" s="110" t="s">
        <v>3476</v>
      </c>
      <c r="AA332" s="58"/>
      <c r="AB332" s="187" t="s">
        <v>2206</v>
      </c>
      <c r="AC332" s="108" t="s">
        <v>157</v>
      </c>
      <c r="AD332" s="70" t="s">
        <v>157</v>
      </c>
      <c r="AE332" s="108"/>
      <c r="AF332" s="53" t="s">
        <v>253</v>
      </c>
      <c r="AG332" s="108" t="s">
        <v>3477</v>
      </c>
      <c r="AH332" s="110"/>
      <c r="AI332" s="108" t="s">
        <v>3478</v>
      </c>
      <c r="AJ332" s="115" t="s">
        <v>3479</v>
      </c>
      <c r="AK332" s="108" t="s">
        <v>2206</v>
      </c>
      <c r="AL332" s="108" t="s">
        <v>3480</v>
      </c>
      <c r="AM332" s="108" t="s">
        <v>3481</v>
      </c>
      <c r="AN332" s="113" t="s">
        <v>3482</v>
      </c>
      <c r="AO332" s="114"/>
      <c r="AP332" s="114" t="s">
        <v>3367</v>
      </c>
      <c r="AQ332" s="108" t="s">
        <v>392</v>
      </c>
      <c r="AR332" s="53"/>
      <c r="AS332" s="53"/>
      <c r="AT332" s="53"/>
      <c r="AV332" s="54">
        <v>7140209</v>
      </c>
      <c r="AW332" s="53">
        <v>546</v>
      </c>
      <c r="BJ332" s="40"/>
      <c r="BK332" s="40"/>
      <c r="BN332" s="16"/>
      <c r="BO332" s="16"/>
    </row>
    <row r="333" spans="1:67" s="67" customFormat="1" ht="15.95" customHeight="1" x14ac:dyDescent="0.25">
      <c r="A333" s="16"/>
      <c r="B333" s="68">
        <f>SUBTOTAL(103,$K$271:K333)</f>
        <v>62</v>
      </c>
      <c r="C333" s="53">
        <v>41</v>
      </c>
      <c r="D333" s="53" t="s">
        <v>2118</v>
      </c>
      <c r="E333" s="53" t="s">
        <v>19</v>
      </c>
      <c r="F333" s="110" t="s">
        <v>639</v>
      </c>
      <c r="G333" s="53" t="s">
        <v>4747</v>
      </c>
      <c r="H333" s="53" t="s">
        <v>4769</v>
      </c>
      <c r="I333" s="108" t="s">
        <v>1957</v>
      </c>
      <c r="J333" s="108" t="s">
        <v>149</v>
      </c>
      <c r="K333" s="144" t="s">
        <v>4212</v>
      </c>
      <c r="L333" s="110" t="s">
        <v>149</v>
      </c>
      <c r="M333" s="53">
        <v>0</v>
      </c>
      <c r="N333" s="110" t="s">
        <v>150</v>
      </c>
      <c r="O333" s="58" t="s">
        <v>5030</v>
      </c>
      <c r="P333" s="53" t="s">
        <v>3892</v>
      </c>
      <c r="Q333" s="58"/>
      <c r="R333" s="110">
        <v>2020</v>
      </c>
      <c r="S333" s="110"/>
      <c r="T333" s="110"/>
      <c r="U333" s="110"/>
      <c r="V333" s="110" t="s">
        <v>801</v>
      </c>
      <c r="W333" s="110" t="s">
        <v>236</v>
      </c>
      <c r="X333" s="109" t="s">
        <v>4212</v>
      </c>
      <c r="Y333" s="110" t="s">
        <v>1070</v>
      </c>
      <c r="Z333" s="110" t="s">
        <v>3483</v>
      </c>
      <c r="AA333" s="58"/>
      <c r="AB333" s="187" t="s">
        <v>156</v>
      </c>
      <c r="AC333" s="108" t="s">
        <v>157</v>
      </c>
      <c r="AD333" s="70" t="s">
        <v>157</v>
      </c>
      <c r="AE333" s="108"/>
      <c r="AF333" s="53" t="s">
        <v>253</v>
      </c>
      <c r="AG333" s="108" t="s">
        <v>3484</v>
      </c>
      <c r="AH333" s="110"/>
      <c r="AI333" s="108" t="s">
        <v>3485</v>
      </c>
      <c r="AJ333" s="212" t="s">
        <v>3486</v>
      </c>
      <c r="AK333" s="108" t="s">
        <v>156</v>
      </c>
      <c r="AL333" s="112" t="s">
        <v>413</v>
      </c>
      <c r="AM333" s="116" t="s">
        <v>3487</v>
      </c>
      <c r="AN333" s="146" t="s">
        <v>3488</v>
      </c>
      <c r="AO333" s="114"/>
      <c r="AP333" s="108" t="s">
        <v>3367</v>
      </c>
      <c r="AQ333" s="108" t="s">
        <v>392</v>
      </c>
      <c r="AR333" s="40"/>
      <c r="AS333" s="40"/>
      <c r="AT333" s="40"/>
      <c r="AU333" s="201"/>
      <c r="AV333" s="54">
        <v>7140209</v>
      </c>
      <c r="AW333" s="53">
        <v>547</v>
      </c>
      <c r="AX333" s="60"/>
      <c r="BJ333" s="40"/>
      <c r="BK333" s="40"/>
      <c r="BN333" s="16"/>
      <c r="BO333" s="16"/>
    </row>
    <row r="334" spans="1:67" s="67" customFormat="1" ht="15.95" customHeight="1" x14ac:dyDescent="0.25">
      <c r="A334" s="16"/>
      <c r="B334" s="68">
        <f>SUBTOTAL(103,$K$271:K334)</f>
        <v>63</v>
      </c>
      <c r="C334" s="53">
        <v>42</v>
      </c>
      <c r="D334" s="53" t="s">
        <v>2118</v>
      </c>
      <c r="E334" s="53" t="s">
        <v>19</v>
      </c>
      <c r="F334" s="53" t="s">
        <v>639</v>
      </c>
      <c r="G334" s="53" t="s">
        <v>4747</v>
      </c>
      <c r="H334" s="53" t="s">
        <v>4770</v>
      </c>
      <c r="I334" s="58" t="s">
        <v>3489</v>
      </c>
      <c r="J334" s="64" t="s">
        <v>149</v>
      </c>
      <c r="K334" s="103" t="s">
        <v>4213</v>
      </c>
      <c r="L334" s="53" t="s">
        <v>149</v>
      </c>
      <c r="M334" s="53">
        <v>0</v>
      </c>
      <c r="N334" s="53" t="s">
        <v>150</v>
      </c>
      <c r="O334" s="58" t="s">
        <v>5030</v>
      </c>
      <c r="P334" s="53" t="s">
        <v>3892</v>
      </c>
      <c r="Q334" s="58"/>
      <c r="R334" s="53">
        <v>2009</v>
      </c>
      <c r="S334" s="53"/>
      <c r="T334" s="53"/>
      <c r="U334" s="53"/>
      <c r="V334" s="53">
        <v>8.1</v>
      </c>
      <c r="W334" s="53" t="s">
        <v>236</v>
      </c>
      <c r="X334" s="119" t="s">
        <v>4213</v>
      </c>
      <c r="Y334" s="53" t="s">
        <v>3376</v>
      </c>
      <c r="Z334" s="53">
        <v>26.5</v>
      </c>
      <c r="AA334" s="58"/>
      <c r="AB334" s="60" t="s">
        <v>2211</v>
      </c>
      <c r="AC334" s="58" t="s">
        <v>157</v>
      </c>
      <c r="AD334" s="58"/>
      <c r="AE334" s="58"/>
      <c r="AF334" s="58"/>
      <c r="AG334" s="58" t="s">
        <v>3490</v>
      </c>
      <c r="AH334" s="53"/>
      <c r="AI334" s="58" t="s">
        <v>2428</v>
      </c>
      <c r="AJ334" s="147" t="s">
        <v>3491</v>
      </c>
      <c r="AK334" s="58" t="s">
        <v>2211</v>
      </c>
      <c r="AL334" s="102" t="s">
        <v>2213</v>
      </c>
      <c r="AM334" s="122" t="s">
        <v>3492</v>
      </c>
      <c r="AN334" s="147" t="s">
        <v>3493</v>
      </c>
      <c r="AP334" s="66"/>
      <c r="AQ334" s="58"/>
      <c r="AT334" s="40"/>
      <c r="AU334" s="54"/>
      <c r="AV334" s="54">
        <v>7140209</v>
      </c>
      <c r="AW334" s="53">
        <v>548</v>
      </c>
      <c r="AX334" s="60"/>
      <c r="BJ334" s="40"/>
      <c r="BK334" s="40"/>
      <c r="BN334" s="16"/>
      <c r="BO334" s="16"/>
    </row>
    <row r="335" spans="1:67" s="67" customFormat="1" ht="15.95" customHeight="1" x14ac:dyDescent="0.25">
      <c r="A335" s="16"/>
      <c r="B335" s="68">
        <f>SUBTOTAL(103,$K$271:K335)</f>
        <v>64</v>
      </c>
      <c r="C335" s="53">
        <v>43</v>
      </c>
      <c r="D335" s="53" t="s">
        <v>2118</v>
      </c>
      <c r="E335" s="53" t="s">
        <v>19</v>
      </c>
      <c r="F335" s="53" t="s">
        <v>639</v>
      </c>
      <c r="G335" s="53" t="s">
        <v>4747</v>
      </c>
      <c r="H335" s="53" t="s">
        <v>4771</v>
      </c>
      <c r="I335" s="58" t="s">
        <v>3494</v>
      </c>
      <c r="J335" s="64" t="s">
        <v>730</v>
      </c>
      <c r="K335" s="103" t="s">
        <v>4214</v>
      </c>
      <c r="L335" s="53" t="s">
        <v>170</v>
      </c>
      <c r="M335" s="68">
        <v>1</v>
      </c>
      <c r="N335" s="53" t="s">
        <v>150</v>
      </c>
      <c r="O335" s="58" t="s">
        <v>5030</v>
      </c>
      <c r="P335" s="53" t="s">
        <v>3892</v>
      </c>
      <c r="Q335" s="58"/>
      <c r="R335" s="53">
        <v>2021</v>
      </c>
      <c r="S335" s="53"/>
      <c r="T335" s="53"/>
      <c r="U335" s="53"/>
      <c r="V335" s="53">
        <v>8.4</v>
      </c>
      <c r="W335" s="53" t="s">
        <v>236</v>
      </c>
      <c r="X335" s="119" t="s">
        <v>4214</v>
      </c>
      <c r="Y335" s="53" t="s">
        <v>3495</v>
      </c>
      <c r="Z335" s="53">
        <v>25.4</v>
      </c>
      <c r="AA335" s="58"/>
      <c r="AB335" s="60" t="s">
        <v>3496</v>
      </c>
      <c r="AC335" s="58" t="s">
        <v>157</v>
      </c>
      <c r="AD335" s="58"/>
      <c r="AE335" s="58"/>
      <c r="AF335" s="58"/>
      <c r="AG335" s="58" t="s">
        <v>3497</v>
      </c>
      <c r="AH335" s="53"/>
      <c r="AI335" s="58" t="s">
        <v>3192</v>
      </c>
      <c r="AJ335" s="101" t="s">
        <v>3498</v>
      </c>
      <c r="AK335" s="58" t="s">
        <v>3499</v>
      </c>
      <c r="AL335" s="102" t="s">
        <v>3500</v>
      </c>
      <c r="AM335" s="122" t="s">
        <v>3501</v>
      </c>
      <c r="AN335" s="103" t="s">
        <v>3502</v>
      </c>
      <c r="AO335" s="58"/>
      <c r="AP335" s="64"/>
      <c r="AQ335" s="58"/>
      <c r="AR335" s="58"/>
      <c r="AS335" s="58"/>
      <c r="AT335" s="53"/>
      <c r="AU335" s="54"/>
      <c r="AV335" s="54">
        <v>7140209</v>
      </c>
      <c r="AW335" s="53">
        <v>549</v>
      </c>
      <c r="AX335" s="60"/>
      <c r="BJ335" s="40"/>
      <c r="BK335" s="40"/>
      <c r="BN335" s="16"/>
      <c r="BO335" s="16"/>
    </row>
    <row r="336" spans="1:67" s="67" customFormat="1" ht="15.95" customHeight="1" x14ac:dyDescent="0.25">
      <c r="A336" s="16"/>
      <c r="B336" s="68">
        <f>SUBTOTAL(103,$K$271:K336)</f>
        <v>65</v>
      </c>
      <c r="C336" s="53">
        <v>44</v>
      </c>
      <c r="D336" s="53" t="s">
        <v>2118</v>
      </c>
      <c r="E336" s="53" t="s">
        <v>19</v>
      </c>
      <c r="F336" s="53" t="s">
        <v>639</v>
      </c>
      <c r="G336" s="53" t="s">
        <v>4747</v>
      </c>
      <c r="H336" s="53" t="s">
        <v>4772</v>
      </c>
      <c r="I336" s="58" t="s">
        <v>3503</v>
      </c>
      <c r="J336" s="58" t="s">
        <v>400</v>
      </c>
      <c r="K336" s="103" t="s">
        <v>4215</v>
      </c>
      <c r="L336" s="139" t="s">
        <v>170</v>
      </c>
      <c r="M336" s="68">
        <v>1</v>
      </c>
      <c r="N336" s="53" t="s">
        <v>150</v>
      </c>
      <c r="O336" s="58" t="s">
        <v>5030</v>
      </c>
      <c r="P336" s="53" t="s">
        <v>3892</v>
      </c>
      <c r="Q336" s="58"/>
      <c r="R336" s="53">
        <v>2020</v>
      </c>
      <c r="S336" s="53"/>
      <c r="T336" s="53"/>
      <c r="U336" s="53"/>
      <c r="V336" s="53">
        <v>9.1</v>
      </c>
      <c r="W336" s="53" t="s">
        <v>236</v>
      </c>
      <c r="X336" s="119" t="s">
        <v>4215</v>
      </c>
      <c r="Y336" s="53" t="s">
        <v>3376</v>
      </c>
      <c r="Z336" s="53">
        <v>27.9</v>
      </c>
      <c r="AA336" s="58"/>
      <c r="AB336" s="60" t="s">
        <v>2150</v>
      </c>
      <c r="AC336" s="58" t="s">
        <v>157</v>
      </c>
      <c r="AD336" s="58"/>
      <c r="AE336" s="58"/>
      <c r="AF336" s="58"/>
      <c r="AG336" s="58" t="s">
        <v>3504</v>
      </c>
      <c r="AH336" s="53"/>
      <c r="AI336" s="58" t="s">
        <v>3505</v>
      </c>
      <c r="AJ336" s="237" t="s">
        <v>3506</v>
      </c>
      <c r="AK336" s="58" t="s">
        <v>3507</v>
      </c>
      <c r="AL336" s="63" t="s">
        <v>3508</v>
      </c>
      <c r="AM336" s="122" t="s">
        <v>3509</v>
      </c>
      <c r="AN336" s="103" t="s">
        <v>3510</v>
      </c>
      <c r="AO336" s="58"/>
      <c r="AP336" s="66"/>
      <c r="AQ336" s="58"/>
      <c r="AR336" s="58"/>
      <c r="AS336" s="58"/>
      <c r="AT336" s="53"/>
      <c r="AU336" s="54"/>
      <c r="AV336" s="54">
        <v>7140209</v>
      </c>
      <c r="AW336" s="53">
        <v>550</v>
      </c>
      <c r="AX336" s="60"/>
      <c r="BJ336" s="40"/>
      <c r="BK336" s="40"/>
      <c r="BN336" s="16"/>
      <c r="BO336" s="16"/>
    </row>
    <row r="337" spans="1:67" s="67" customFormat="1" ht="15.95" customHeight="1" x14ac:dyDescent="0.3">
      <c r="A337" s="16"/>
      <c r="B337" s="68">
        <f>SUBTOTAL(103,$K$271:K337)</f>
        <v>66</v>
      </c>
      <c r="C337" s="53">
        <v>45</v>
      </c>
      <c r="D337" s="53" t="s">
        <v>2118</v>
      </c>
      <c r="E337" s="53" t="s">
        <v>19</v>
      </c>
      <c r="F337" s="53" t="s">
        <v>639</v>
      </c>
      <c r="G337" s="53" t="s">
        <v>4747</v>
      </c>
      <c r="H337" s="53" t="s">
        <v>4773</v>
      </c>
      <c r="I337" s="58" t="s">
        <v>3511</v>
      </c>
      <c r="J337" s="58" t="s">
        <v>235</v>
      </c>
      <c r="K337" s="103" t="s">
        <v>4216</v>
      </c>
      <c r="L337" s="53" t="s">
        <v>149</v>
      </c>
      <c r="M337" s="53">
        <v>0</v>
      </c>
      <c r="N337" s="53" t="s">
        <v>150</v>
      </c>
      <c r="O337" s="58" t="s">
        <v>5030</v>
      </c>
      <c r="P337" s="53" t="s">
        <v>3892</v>
      </c>
      <c r="Q337" s="58"/>
      <c r="R337" s="53">
        <v>2020</v>
      </c>
      <c r="S337" s="53"/>
      <c r="T337" s="53"/>
      <c r="U337" s="53"/>
      <c r="V337" s="53">
        <v>8.8000000000000007</v>
      </c>
      <c r="W337" s="53" t="s">
        <v>236</v>
      </c>
      <c r="X337" s="119" t="s">
        <v>4216</v>
      </c>
      <c r="Y337" s="53" t="s">
        <v>3376</v>
      </c>
      <c r="Z337" s="53">
        <v>28.13</v>
      </c>
      <c r="AA337" s="58"/>
      <c r="AB337" s="60" t="s">
        <v>2186</v>
      </c>
      <c r="AC337" s="58"/>
      <c r="AD337" s="58" t="s">
        <v>3512</v>
      </c>
      <c r="AE337" s="58"/>
      <c r="AF337" s="58"/>
      <c r="AG337" s="244" t="s">
        <v>3872</v>
      </c>
      <c r="AH337" s="53" t="s">
        <v>155</v>
      </c>
      <c r="AI337" s="58"/>
      <c r="AJ337" s="237" t="s">
        <v>3513</v>
      </c>
      <c r="AK337" s="58" t="s">
        <v>253</v>
      </c>
      <c r="AL337" s="63" t="s">
        <v>2319</v>
      </c>
      <c r="AM337" s="122" t="s">
        <v>3514</v>
      </c>
      <c r="AN337" s="103" t="s">
        <v>3515</v>
      </c>
      <c r="AO337" s="58" t="s">
        <v>3516</v>
      </c>
      <c r="AP337" s="64"/>
      <c r="AQ337" s="58"/>
      <c r="AR337" s="58"/>
      <c r="AS337" s="58"/>
      <c r="AT337" s="53"/>
      <c r="AU337" s="54"/>
      <c r="AV337" s="54">
        <v>7140209</v>
      </c>
      <c r="AW337" s="53">
        <v>551</v>
      </c>
      <c r="AX337" s="60"/>
      <c r="BJ337" s="40"/>
      <c r="BK337" s="40"/>
      <c r="BN337" s="16"/>
      <c r="BO337" s="16"/>
    </row>
    <row r="338" spans="1:67" s="67" customFormat="1" ht="15.95" customHeight="1" x14ac:dyDescent="0.25">
      <c r="A338" s="16"/>
      <c r="B338" s="68">
        <f>SUBTOTAL(103,$K$271:K338)</f>
        <v>67</v>
      </c>
      <c r="C338" s="53">
        <v>46</v>
      </c>
      <c r="D338" s="53" t="s">
        <v>2118</v>
      </c>
      <c r="E338" s="53" t="s">
        <v>19</v>
      </c>
      <c r="F338" s="53" t="s">
        <v>639</v>
      </c>
      <c r="G338" s="53" t="s">
        <v>4747</v>
      </c>
      <c r="H338" s="53" t="s">
        <v>4774</v>
      </c>
      <c r="I338" s="58" t="s">
        <v>3517</v>
      </c>
      <c r="J338" s="64" t="s">
        <v>352</v>
      </c>
      <c r="K338" s="103" t="s">
        <v>4217</v>
      </c>
      <c r="L338" s="53" t="s">
        <v>149</v>
      </c>
      <c r="M338" s="53">
        <v>0</v>
      </c>
      <c r="N338" s="53" t="s">
        <v>150</v>
      </c>
      <c r="O338" s="58" t="s">
        <v>5030</v>
      </c>
      <c r="P338" s="53" t="s">
        <v>3892</v>
      </c>
      <c r="Q338" s="58"/>
      <c r="R338" s="53">
        <v>2019</v>
      </c>
      <c r="S338" s="53"/>
      <c r="T338" s="53"/>
      <c r="U338" s="53"/>
      <c r="V338" s="53" t="s">
        <v>801</v>
      </c>
      <c r="W338" s="53" t="s">
        <v>236</v>
      </c>
      <c r="X338" s="103" t="s">
        <v>4217</v>
      </c>
      <c r="Y338" s="68" t="s">
        <v>1070</v>
      </c>
      <c r="Z338" s="68">
        <v>27.3</v>
      </c>
      <c r="AA338" s="58"/>
      <c r="AB338" s="60" t="s">
        <v>253</v>
      </c>
      <c r="AC338" s="58"/>
      <c r="AD338" s="58"/>
      <c r="AE338" s="58" t="s">
        <v>157</v>
      </c>
      <c r="AF338" s="58"/>
      <c r="AG338" s="64" t="s">
        <v>3518</v>
      </c>
      <c r="AH338" s="53"/>
      <c r="AI338" s="64" t="s">
        <v>3519</v>
      </c>
      <c r="AJ338" s="101" t="s">
        <v>3520</v>
      </c>
      <c r="AK338" s="53" t="s">
        <v>253</v>
      </c>
      <c r="AL338" s="152" t="s">
        <v>2693</v>
      </c>
      <c r="AM338" s="79" t="s">
        <v>3521</v>
      </c>
      <c r="AN338" s="232" t="s">
        <v>3522</v>
      </c>
      <c r="AO338" s="64"/>
      <c r="AP338" s="58"/>
      <c r="AQ338" s="58"/>
      <c r="AR338" s="58"/>
      <c r="AS338" s="58"/>
      <c r="AT338" s="53"/>
      <c r="AU338" s="54"/>
      <c r="AV338" s="54">
        <v>7140209</v>
      </c>
      <c r="AW338" s="53">
        <v>552</v>
      </c>
      <c r="AX338" s="60"/>
      <c r="AY338" s="40"/>
      <c r="AZ338" s="40"/>
      <c r="BI338" s="36"/>
      <c r="BJ338" s="36"/>
      <c r="BK338" s="37"/>
      <c r="BN338" s="16"/>
      <c r="BO338" s="16"/>
    </row>
    <row r="339" spans="1:67" s="67" customFormat="1" ht="15.95" customHeight="1" x14ac:dyDescent="0.3">
      <c r="A339" s="16"/>
      <c r="B339" s="68">
        <f>SUBTOTAL(103,$K$271:K339)</f>
        <v>68</v>
      </c>
      <c r="C339" s="53">
        <v>47</v>
      </c>
      <c r="D339" s="53" t="s">
        <v>2118</v>
      </c>
      <c r="E339" s="53" t="s">
        <v>19</v>
      </c>
      <c r="F339" s="110" t="s">
        <v>639</v>
      </c>
      <c r="G339" s="53" t="s">
        <v>4747</v>
      </c>
      <c r="H339" s="53" t="s">
        <v>4775</v>
      </c>
      <c r="I339" s="108" t="s">
        <v>3523</v>
      </c>
      <c r="J339" s="108" t="s">
        <v>3524</v>
      </c>
      <c r="K339" s="338" t="s">
        <v>4218</v>
      </c>
      <c r="L339" s="110" t="s">
        <v>149</v>
      </c>
      <c r="M339" s="53">
        <v>0</v>
      </c>
      <c r="N339" s="110" t="s">
        <v>150</v>
      </c>
      <c r="O339" s="58" t="s">
        <v>5030</v>
      </c>
      <c r="P339" s="53" t="s">
        <v>3892</v>
      </c>
      <c r="Q339" s="58"/>
      <c r="R339" s="110">
        <v>2021</v>
      </c>
      <c r="S339" s="110"/>
      <c r="T339" s="110"/>
      <c r="U339" s="110"/>
      <c r="V339" s="110" t="s">
        <v>642</v>
      </c>
      <c r="W339" s="110" t="s">
        <v>236</v>
      </c>
      <c r="X339" s="138" t="s">
        <v>4218</v>
      </c>
      <c r="Y339" s="110" t="s">
        <v>3376</v>
      </c>
      <c r="Z339" s="110" t="s">
        <v>3387</v>
      </c>
      <c r="AA339" s="58"/>
      <c r="AB339" s="187" t="s">
        <v>253</v>
      </c>
      <c r="AC339" s="108" t="s">
        <v>157</v>
      </c>
      <c r="AD339" s="108" t="s">
        <v>157</v>
      </c>
      <c r="AE339" s="108"/>
      <c r="AF339" s="53" t="s">
        <v>253</v>
      </c>
      <c r="AG339" s="244" t="s">
        <v>3873</v>
      </c>
      <c r="AH339" s="110" t="s">
        <v>155</v>
      </c>
      <c r="AI339" s="108" t="s">
        <v>3525</v>
      </c>
      <c r="AJ339" s="212" t="s">
        <v>3526</v>
      </c>
      <c r="AK339" s="108" t="s">
        <v>253</v>
      </c>
      <c r="AL339" s="112" t="s">
        <v>2437</v>
      </c>
      <c r="AM339" s="108" t="s">
        <v>3527</v>
      </c>
      <c r="AN339" s="113" t="s">
        <v>3528</v>
      </c>
      <c r="AO339" s="108"/>
      <c r="AP339" s="108" t="s">
        <v>3310</v>
      </c>
      <c r="AQ339" s="108" t="s">
        <v>3384</v>
      </c>
      <c r="AR339" s="53"/>
      <c r="AS339" s="53"/>
      <c r="AT339" s="53"/>
      <c r="AU339" s="201"/>
      <c r="AV339" s="54">
        <v>7140209</v>
      </c>
      <c r="AW339" s="53">
        <v>553</v>
      </c>
      <c r="AX339" s="60"/>
      <c r="BJ339" s="40"/>
      <c r="BK339" s="40"/>
      <c r="BN339" s="16"/>
      <c r="BO339" s="16"/>
    </row>
    <row r="340" spans="1:67" s="67" customFormat="1" ht="15.95" customHeight="1" x14ac:dyDescent="0.25">
      <c r="A340" s="16"/>
      <c r="B340" s="68">
        <f>SUBTOTAL(103,$K$271:K340)</f>
        <v>69</v>
      </c>
      <c r="C340" s="53">
        <v>48</v>
      </c>
      <c r="D340" s="53" t="s">
        <v>2118</v>
      </c>
      <c r="E340" s="53" t="s">
        <v>19</v>
      </c>
      <c r="F340" s="53" t="s">
        <v>639</v>
      </c>
      <c r="G340" s="53" t="s">
        <v>4747</v>
      </c>
      <c r="H340" s="53" t="s">
        <v>4776</v>
      </c>
      <c r="I340" s="58" t="s">
        <v>843</v>
      </c>
      <c r="J340" s="64" t="s">
        <v>1547</v>
      </c>
      <c r="K340" s="103" t="s">
        <v>4128</v>
      </c>
      <c r="L340" s="53" t="s">
        <v>170</v>
      </c>
      <c r="M340" s="68">
        <v>1</v>
      </c>
      <c r="N340" s="53" t="s">
        <v>150</v>
      </c>
      <c r="O340" s="58" t="s">
        <v>5030</v>
      </c>
      <c r="P340" s="53" t="s">
        <v>3892</v>
      </c>
      <c r="Q340" s="58"/>
      <c r="R340" s="53">
        <v>2019</v>
      </c>
      <c r="S340" s="53"/>
      <c r="T340" s="53"/>
      <c r="U340" s="53"/>
      <c r="V340" s="53" t="s">
        <v>693</v>
      </c>
      <c r="W340" s="53" t="s">
        <v>236</v>
      </c>
      <c r="X340" s="103" t="s">
        <v>4128</v>
      </c>
      <c r="Y340" s="68" t="s">
        <v>1121</v>
      </c>
      <c r="Z340" s="68">
        <v>26.77</v>
      </c>
      <c r="AA340" s="58"/>
      <c r="AB340" s="60" t="s">
        <v>156</v>
      </c>
      <c r="AC340" s="58"/>
      <c r="AD340" s="58"/>
      <c r="AE340" s="58" t="s">
        <v>157</v>
      </c>
      <c r="AF340" s="58"/>
      <c r="AG340" s="64" t="s">
        <v>3529</v>
      </c>
      <c r="AH340" s="53"/>
      <c r="AI340" s="64" t="s">
        <v>3411</v>
      </c>
      <c r="AJ340" s="101" t="s">
        <v>3530</v>
      </c>
      <c r="AK340" s="53" t="s">
        <v>156</v>
      </c>
      <c r="AL340" s="152" t="s">
        <v>366</v>
      </c>
      <c r="AM340" s="64" t="s">
        <v>3531</v>
      </c>
      <c r="AN340" s="232" t="s">
        <v>3532</v>
      </c>
      <c r="AO340" s="64"/>
      <c r="AQ340" s="58"/>
      <c r="AR340" s="58"/>
      <c r="AS340" s="58"/>
      <c r="AT340" s="53"/>
      <c r="AU340" s="54"/>
      <c r="AV340" s="54">
        <v>7140209</v>
      </c>
      <c r="AW340" s="53">
        <v>554</v>
      </c>
      <c r="AX340" s="60"/>
      <c r="AY340" s="40"/>
      <c r="AZ340" s="40"/>
      <c r="BI340" s="36"/>
      <c r="BJ340" s="36"/>
      <c r="BK340" s="37"/>
      <c r="BN340" s="16"/>
      <c r="BO340" s="16"/>
    </row>
    <row r="341" spans="1:67" s="67" customFormat="1" ht="15.95" customHeight="1" x14ac:dyDescent="0.25">
      <c r="A341" s="16"/>
      <c r="B341" s="68">
        <f>SUBTOTAL(103,$K$271:K341)</f>
        <v>70</v>
      </c>
      <c r="C341" s="53">
        <v>49</v>
      </c>
      <c r="D341" s="53" t="s">
        <v>2118</v>
      </c>
      <c r="E341" s="53" t="s">
        <v>19</v>
      </c>
      <c r="F341" s="53" t="s">
        <v>639</v>
      </c>
      <c r="G341" s="53" t="s">
        <v>4747</v>
      </c>
      <c r="H341" s="53" t="s">
        <v>4777</v>
      </c>
      <c r="I341" s="58" t="s">
        <v>3533</v>
      </c>
      <c r="J341" s="64" t="s">
        <v>1547</v>
      </c>
      <c r="K341" s="103" t="s">
        <v>4219</v>
      </c>
      <c r="L341" s="53" t="s">
        <v>170</v>
      </c>
      <c r="M341" s="68">
        <v>1</v>
      </c>
      <c r="N341" s="53" t="s">
        <v>150</v>
      </c>
      <c r="O341" s="58" t="s">
        <v>5030</v>
      </c>
      <c r="P341" s="53" t="s">
        <v>3892</v>
      </c>
      <c r="Q341" s="58"/>
      <c r="R341" s="53">
        <v>2019</v>
      </c>
      <c r="S341" s="53"/>
      <c r="T341" s="53"/>
      <c r="U341" s="99"/>
      <c r="V341" s="99" t="s">
        <v>779</v>
      </c>
      <c r="W341" s="53" t="s">
        <v>236</v>
      </c>
      <c r="X341" s="103" t="s">
        <v>4219</v>
      </c>
      <c r="Y341" s="68" t="s">
        <v>819</v>
      </c>
      <c r="Z341" s="68">
        <v>23.3</v>
      </c>
      <c r="AA341" s="58"/>
      <c r="AB341" s="60" t="s">
        <v>253</v>
      </c>
      <c r="AC341" s="58"/>
      <c r="AD341" s="58"/>
      <c r="AE341" s="58" t="s">
        <v>157</v>
      </c>
      <c r="AF341" s="58"/>
      <c r="AG341" s="64" t="s">
        <v>3534</v>
      </c>
      <c r="AH341" s="53"/>
      <c r="AI341" s="58"/>
      <c r="AJ341" s="101" t="s">
        <v>3535</v>
      </c>
      <c r="AK341" s="58" t="s">
        <v>2194</v>
      </c>
      <c r="AL341" s="63" t="s">
        <v>2242</v>
      </c>
      <c r="AM341" s="58" t="s">
        <v>3536</v>
      </c>
      <c r="AN341" s="103" t="s">
        <v>3537</v>
      </c>
      <c r="AO341" s="58"/>
      <c r="AP341" s="58"/>
      <c r="AQ341" s="58"/>
      <c r="AR341" s="64"/>
      <c r="AS341" s="64"/>
      <c r="AT341" s="53"/>
      <c r="AU341" s="54"/>
      <c r="AV341" s="54">
        <v>7140209</v>
      </c>
      <c r="AW341" s="53">
        <v>555</v>
      </c>
      <c r="AX341" s="60"/>
      <c r="AY341" s="40"/>
      <c r="AZ341" s="40"/>
      <c r="BI341" s="36"/>
      <c r="BJ341" s="36"/>
      <c r="BK341" s="37"/>
      <c r="BN341" s="16"/>
      <c r="BO341" s="16"/>
    </row>
    <row r="342" spans="1:67" s="67" customFormat="1" ht="15.95" customHeight="1" x14ac:dyDescent="0.25">
      <c r="A342" s="16"/>
      <c r="B342" s="68">
        <f>SUBTOTAL(103,$K$271:K342)</f>
        <v>71</v>
      </c>
      <c r="C342" s="53">
        <v>50</v>
      </c>
      <c r="D342" s="53" t="s">
        <v>2118</v>
      </c>
      <c r="E342" s="53" t="s">
        <v>19</v>
      </c>
      <c r="F342" s="53" t="s">
        <v>639</v>
      </c>
      <c r="G342" s="53" t="s">
        <v>4747</v>
      </c>
      <c r="H342" s="53" t="s">
        <v>4778</v>
      </c>
      <c r="I342" s="58" t="s">
        <v>1233</v>
      </c>
      <c r="J342" s="64" t="s">
        <v>3538</v>
      </c>
      <c r="K342" s="103" t="s">
        <v>4220</v>
      </c>
      <c r="L342" s="53" t="s">
        <v>149</v>
      </c>
      <c r="M342" s="53">
        <v>0</v>
      </c>
      <c r="N342" s="53" t="s">
        <v>150</v>
      </c>
      <c r="O342" s="58" t="s">
        <v>5030</v>
      </c>
      <c r="P342" s="53" t="s">
        <v>3892</v>
      </c>
      <c r="Q342" s="58"/>
      <c r="R342" s="53">
        <v>1998</v>
      </c>
      <c r="S342" s="53"/>
      <c r="T342" s="53"/>
      <c r="U342" s="53"/>
      <c r="V342" s="53" t="s">
        <v>328</v>
      </c>
      <c r="W342" s="53" t="s">
        <v>236</v>
      </c>
      <c r="X342" s="103" t="s">
        <v>4220</v>
      </c>
      <c r="Y342" s="68" t="s">
        <v>1070</v>
      </c>
      <c r="Z342" s="68">
        <v>26.2</v>
      </c>
      <c r="AA342" s="58"/>
      <c r="AB342" s="60" t="s">
        <v>156</v>
      </c>
      <c r="AC342" s="58"/>
      <c r="AD342" s="58"/>
      <c r="AE342" s="58" t="s">
        <v>157</v>
      </c>
      <c r="AF342" s="58"/>
      <c r="AG342" s="64" t="s">
        <v>787</v>
      </c>
      <c r="AH342" s="53"/>
      <c r="AI342" s="64" t="s">
        <v>3539</v>
      </c>
      <c r="AJ342" s="101" t="s">
        <v>3540</v>
      </c>
      <c r="AK342" s="53" t="s">
        <v>156</v>
      </c>
      <c r="AL342" s="152" t="s">
        <v>220</v>
      </c>
      <c r="AM342" s="64" t="s">
        <v>3541</v>
      </c>
      <c r="AN342" s="232" t="s">
        <v>3542</v>
      </c>
      <c r="AO342" s="64" t="s">
        <v>498</v>
      </c>
      <c r="AP342" s="58"/>
      <c r="AQ342" s="58"/>
      <c r="AR342" s="58"/>
      <c r="AS342" s="58"/>
      <c r="AT342" s="53"/>
      <c r="AU342" s="54"/>
      <c r="AV342" s="54">
        <v>7140209</v>
      </c>
      <c r="AW342" s="53">
        <v>556</v>
      </c>
      <c r="AX342" s="60"/>
      <c r="AY342" s="40"/>
      <c r="AZ342" s="40"/>
      <c r="BI342" s="36"/>
      <c r="BJ342" s="36"/>
      <c r="BK342" s="37"/>
      <c r="BN342" s="16"/>
      <c r="BO342" s="16"/>
    </row>
    <row r="343" spans="1:67" s="67" customFormat="1" ht="15.95" customHeight="1" x14ac:dyDescent="0.25">
      <c r="A343" s="16"/>
      <c r="B343" s="68">
        <f>SUBTOTAL(103,$K$271:K343)</f>
        <v>72</v>
      </c>
      <c r="C343" s="53">
        <v>51</v>
      </c>
      <c r="D343" s="53" t="s">
        <v>2118</v>
      </c>
      <c r="E343" s="53" t="s">
        <v>19</v>
      </c>
      <c r="F343" s="53" t="s">
        <v>639</v>
      </c>
      <c r="G343" s="53" t="s">
        <v>4747</v>
      </c>
      <c r="H343" s="53" t="s">
        <v>4779</v>
      </c>
      <c r="I343" s="64" t="s">
        <v>2750</v>
      </c>
      <c r="J343" s="64" t="s">
        <v>370</v>
      </c>
      <c r="K343" s="103" t="s">
        <v>3978</v>
      </c>
      <c r="L343" s="53" t="s">
        <v>170</v>
      </c>
      <c r="M343" s="68">
        <v>1</v>
      </c>
      <c r="N343" s="53" t="s">
        <v>150</v>
      </c>
      <c r="O343" s="58" t="s">
        <v>5030</v>
      </c>
      <c r="P343" s="53" t="s">
        <v>3892</v>
      </c>
      <c r="Q343" s="58"/>
      <c r="R343" s="53">
        <v>2019</v>
      </c>
      <c r="S343" s="53"/>
      <c r="T343" s="53"/>
      <c r="U343" s="53"/>
      <c r="V343" s="53" t="s">
        <v>647</v>
      </c>
      <c r="W343" s="53" t="s">
        <v>236</v>
      </c>
      <c r="X343" s="103" t="s">
        <v>3978</v>
      </c>
      <c r="Y343" s="68" t="s">
        <v>1070</v>
      </c>
      <c r="Z343" s="68">
        <v>26</v>
      </c>
      <c r="AA343" s="58"/>
      <c r="AB343" s="60" t="s">
        <v>2206</v>
      </c>
      <c r="AC343" s="58"/>
      <c r="AD343" s="58"/>
      <c r="AE343" s="58" t="s">
        <v>157</v>
      </c>
      <c r="AF343" s="58"/>
      <c r="AG343" s="64" t="s">
        <v>3543</v>
      </c>
      <c r="AH343" s="53"/>
      <c r="AI343" s="64" t="s">
        <v>3080</v>
      </c>
      <c r="AJ343" s="101" t="s">
        <v>3544</v>
      </c>
      <c r="AK343" s="53" t="s">
        <v>2206</v>
      </c>
      <c r="AL343" s="152" t="s">
        <v>3545</v>
      </c>
      <c r="AM343" s="64" t="s">
        <v>3546</v>
      </c>
      <c r="AN343" s="232" t="s">
        <v>3547</v>
      </c>
      <c r="AO343" s="64"/>
      <c r="AP343" s="58"/>
      <c r="AQ343" s="58"/>
      <c r="AR343" s="58"/>
      <c r="AS343" s="58"/>
      <c r="AT343" s="53"/>
      <c r="AU343" s="54"/>
      <c r="AV343" s="54">
        <v>7140209</v>
      </c>
      <c r="AW343" s="53">
        <v>557</v>
      </c>
      <c r="AX343" s="60"/>
      <c r="AY343" s="40"/>
      <c r="AZ343" s="40"/>
      <c r="BI343" s="36"/>
      <c r="BJ343" s="36"/>
      <c r="BK343" s="37"/>
      <c r="BN343" s="16"/>
      <c r="BO343" s="16"/>
    </row>
    <row r="344" spans="1:67" s="67" customFormat="1" ht="15.95" customHeight="1" x14ac:dyDescent="0.3">
      <c r="A344" s="16"/>
      <c r="B344" s="68">
        <f>SUBTOTAL(103,$K$271:K344)</f>
        <v>73</v>
      </c>
      <c r="C344" s="53">
        <v>52</v>
      </c>
      <c r="D344" s="53" t="s">
        <v>2118</v>
      </c>
      <c r="E344" s="53" t="s">
        <v>19</v>
      </c>
      <c r="F344" s="53" t="s">
        <v>639</v>
      </c>
      <c r="G344" s="53" t="s">
        <v>4747</v>
      </c>
      <c r="H344" s="53" t="s">
        <v>4780</v>
      </c>
      <c r="I344" s="58" t="s">
        <v>314</v>
      </c>
      <c r="J344" s="64" t="s">
        <v>370</v>
      </c>
      <c r="K344" s="103" t="s">
        <v>4221</v>
      </c>
      <c r="L344" s="53" t="s">
        <v>170</v>
      </c>
      <c r="M344" s="68">
        <v>1</v>
      </c>
      <c r="N344" s="53" t="s">
        <v>150</v>
      </c>
      <c r="O344" s="58" t="s">
        <v>5030</v>
      </c>
      <c r="P344" s="53" t="s">
        <v>3892</v>
      </c>
      <c r="Q344" s="58"/>
      <c r="R344" s="53">
        <v>2018</v>
      </c>
      <c r="S344" s="53"/>
      <c r="T344" s="53"/>
      <c r="U344" s="53"/>
      <c r="V344" s="53">
        <v>8.1</v>
      </c>
      <c r="W344" s="53" t="s">
        <v>236</v>
      </c>
      <c r="X344" s="119" t="s">
        <v>4221</v>
      </c>
      <c r="Y344" s="53" t="s">
        <v>3376</v>
      </c>
      <c r="Z344" s="53">
        <v>25.7</v>
      </c>
      <c r="AA344" s="58"/>
      <c r="AB344" s="60" t="s">
        <v>2150</v>
      </c>
      <c r="AC344" s="58"/>
      <c r="AD344" s="58"/>
      <c r="AE344" s="58"/>
      <c r="AF344" s="58"/>
      <c r="AG344" s="244" t="s">
        <v>3874</v>
      </c>
      <c r="AH344" s="53" t="s">
        <v>155</v>
      </c>
      <c r="AI344" s="58"/>
      <c r="AJ344" s="101" t="s">
        <v>3548</v>
      </c>
      <c r="AK344" s="58" t="s">
        <v>2150</v>
      </c>
      <c r="AL344" s="102" t="s">
        <v>3549</v>
      </c>
      <c r="AM344" s="58" t="s">
        <v>3550</v>
      </c>
      <c r="AN344" s="103" t="s">
        <v>3551</v>
      </c>
      <c r="AO344" s="58"/>
      <c r="AP344" s="64"/>
      <c r="AQ344" s="58"/>
      <c r="AR344" s="58"/>
      <c r="AS344" s="58"/>
      <c r="AT344" s="53"/>
      <c r="AU344" s="54"/>
      <c r="AV344" s="54">
        <v>7140209</v>
      </c>
      <c r="AW344" s="53">
        <v>558</v>
      </c>
      <c r="AX344" s="60"/>
      <c r="BJ344" s="40"/>
      <c r="BK344" s="40"/>
      <c r="BN344" s="16"/>
      <c r="BO344" s="16"/>
    </row>
    <row r="345" spans="1:67" s="39" customFormat="1" ht="19.5" customHeight="1" x14ac:dyDescent="0.25">
      <c r="A345" s="16"/>
      <c r="B345" s="45"/>
      <c r="C345" s="46"/>
      <c r="D345" s="49"/>
      <c r="E345" s="46"/>
      <c r="F345" s="46"/>
      <c r="G345" s="46"/>
      <c r="H345" s="46"/>
      <c r="I345" s="47" t="s">
        <v>3887</v>
      </c>
      <c r="J345" s="47"/>
      <c r="K345" s="46"/>
      <c r="L345" s="46"/>
      <c r="M345" s="46"/>
      <c r="N345" s="46"/>
      <c r="O345" s="49"/>
      <c r="P345" s="49"/>
      <c r="Q345" s="48"/>
      <c r="R345" s="46"/>
      <c r="S345" s="49"/>
      <c r="T345" s="50"/>
      <c r="U345" s="49"/>
      <c r="V345" s="49"/>
      <c r="W345" s="49"/>
      <c r="X345" s="46"/>
      <c r="Y345" s="49"/>
      <c r="Z345" s="50"/>
      <c r="AA345" s="46"/>
      <c r="AB345" s="231"/>
      <c r="AC345" s="51"/>
      <c r="AD345" s="49"/>
      <c r="AE345" s="49"/>
      <c r="AF345" s="49"/>
      <c r="AG345" s="49"/>
      <c r="AH345" s="49"/>
      <c r="AI345" s="49"/>
      <c r="AJ345" s="51"/>
      <c r="AK345" s="49"/>
      <c r="AL345" s="245"/>
      <c r="AM345" s="246"/>
      <c r="AN345" s="49"/>
      <c r="AO345" s="245"/>
      <c r="AP345" s="49"/>
      <c r="AQ345" s="41"/>
      <c r="AR345" s="52"/>
      <c r="AS345" s="53"/>
      <c r="AT345" s="53"/>
      <c r="AU345" s="54"/>
      <c r="AV345" s="247"/>
      <c r="AW345" s="42"/>
      <c r="AY345" s="40"/>
      <c r="AZ345" s="40"/>
      <c r="BI345" s="35"/>
      <c r="BJ345" s="36"/>
      <c r="BK345" s="37"/>
      <c r="BN345" s="16"/>
      <c r="BO345" s="16"/>
    </row>
    <row r="346" spans="1:67" s="67" customFormat="1" ht="15.95" customHeight="1" x14ac:dyDescent="0.25">
      <c r="A346" s="16"/>
      <c r="B346" s="68">
        <f>SUBTOTAL(103,$K$346:K346)</f>
        <v>1</v>
      </c>
      <c r="C346" s="53">
        <v>1</v>
      </c>
      <c r="D346" s="53" t="s">
        <v>2118</v>
      </c>
      <c r="E346" s="53" t="s">
        <v>19</v>
      </c>
      <c r="F346" s="53" t="s">
        <v>105</v>
      </c>
      <c r="G346" s="53" t="s">
        <v>4781</v>
      </c>
      <c r="H346" s="53" t="s">
        <v>4782</v>
      </c>
      <c r="I346" s="58" t="s">
        <v>3773</v>
      </c>
      <c r="J346" s="58" t="s">
        <v>1099</v>
      </c>
      <c r="K346" s="103" t="s">
        <v>4222</v>
      </c>
      <c r="L346" s="53" t="s">
        <v>170</v>
      </c>
      <c r="M346" s="68">
        <v>1</v>
      </c>
      <c r="N346" s="53" t="s">
        <v>2305</v>
      </c>
      <c r="O346" s="53" t="s">
        <v>5031</v>
      </c>
      <c r="P346" s="53" t="s">
        <v>3893</v>
      </c>
      <c r="Q346" s="58" t="s">
        <v>3774</v>
      </c>
      <c r="R346" s="53">
        <v>2013</v>
      </c>
      <c r="S346" s="53" t="s">
        <v>153</v>
      </c>
      <c r="T346" s="53">
        <v>7.32</v>
      </c>
      <c r="U346" s="53"/>
      <c r="V346" s="53"/>
      <c r="W346" s="53"/>
      <c r="X346" s="57" t="s">
        <v>4222</v>
      </c>
      <c r="Y346" s="53"/>
      <c r="Z346" s="53"/>
      <c r="AA346" s="248"/>
      <c r="AB346" s="188" t="s">
        <v>2307</v>
      </c>
      <c r="AC346" s="53" t="s">
        <v>157</v>
      </c>
      <c r="AD346" s="53"/>
      <c r="AE346" s="53"/>
      <c r="AF346" s="248"/>
      <c r="AG346" s="58" t="s">
        <v>3635</v>
      </c>
      <c r="AH346" s="53" t="s">
        <v>155</v>
      </c>
      <c r="AI346" s="58"/>
      <c r="AJ346" s="120" t="s">
        <v>3775</v>
      </c>
      <c r="AK346" s="58" t="s">
        <v>2307</v>
      </c>
      <c r="AL346" s="63" t="s">
        <v>3776</v>
      </c>
      <c r="AM346" s="122" t="s">
        <v>3777</v>
      </c>
      <c r="AN346" s="57" t="s">
        <v>3778</v>
      </c>
      <c r="AO346" s="102" t="s">
        <v>132</v>
      </c>
      <c r="AP346" s="58"/>
      <c r="AQ346" s="58" t="s">
        <v>3779</v>
      </c>
      <c r="AR346" s="58"/>
      <c r="AS346" s="58"/>
      <c r="AT346" s="58"/>
      <c r="AU346" s="54"/>
      <c r="AV346" s="54">
        <v>7140217</v>
      </c>
      <c r="AW346" s="53">
        <v>604</v>
      </c>
      <c r="AX346" s="60"/>
      <c r="BJ346" s="40"/>
      <c r="BK346" s="40"/>
      <c r="BN346" s="16"/>
      <c r="BO346" s="16"/>
    </row>
    <row r="347" spans="1:67" s="67" customFormat="1" ht="15.95" customHeight="1" x14ac:dyDescent="0.25">
      <c r="A347" s="16"/>
      <c r="B347" s="68">
        <f>SUBTOTAL(103,$K$346:K347)</f>
        <v>2</v>
      </c>
      <c r="C347" s="53">
        <v>2</v>
      </c>
      <c r="D347" s="53" t="s">
        <v>2118</v>
      </c>
      <c r="E347" s="53" t="s">
        <v>19</v>
      </c>
      <c r="F347" s="53" t="s">
        <v>105</v>
      </c>
      <c r="G347" s="53" t="s">
        <v>4781</v>
      </c>
      <c r="H347" s="53" t="s">
        <v>4783</v>
      </c>
      <c r="I347" s="58" t="s">
        <v>3780</v>
      </c>
      <c r="J347" s="58" t="s">
        <v>3781</v>
      </c>
      <c r="K347" s="103" t="s">
        <v>4223</v>
      </c>
      <c r="L347" s="53" t="s">
        <v>170</v>
      </c>
      <c r="M347" s="68">
        <v>1</v>
      </c>
      <c r="N347" s="53" t="s">
        <v>150</v>
      </c>
      <c r="O347" s="53" t="s">
        <v>5031</v>
      </c>
      <c r="P347" s="53" t="s">
        <v>3893</v>
      </c>
      <c r="Q347" s="58" t="s">
        <v>3774</v>
      </c>
      <c r="R347" s="53">
        <v>2011</v>
      </c>
      <c r="S347" s="53" t="s">
        <v>236</v>
      </c>
      <c r="T347" s="107" t="s">
        <v>3782</v>
      </c>
      <c r="U347" s="53"/>
      <c r="V347" s="53" t="s">
        <v>173</v>
      </c>
      <c r="W347" s="53" t="s">
        <v>153</v>
      </c>
      <c r="X347" s="119" t="s">
        <v>4223</v>
      </c>
      <c r="Y347" s="53"/>
      <c r="Z347" s="53"/>
      <c r="AA347" s="248"/>
      <c r="AB347" s="188" t="s">
        <v>253</v>
      </c>
      <c r="AC347" s="53" t="s">
        <v>157</v>
      </c>
      <c r="AD347" s="53" t="s">
        <v>157</v>
      </c>
      <c r="AE347" s="53"/>
      <c r="AF347" s="248"/>
      <c r="AG347" s="58" t="s">
        <v>3783</v>
      </c>
      <c r="AH347" s="53" t="s">
        <v>155</v>
      </c>
      <c r="AI347" s="58"/>
      <c r="AJ347" s="249" t="s">
        <v>3784</v>
      </c>
      <c r="AK347" s="58" t="s">
        <v>253</v>
      </c>
      <c r="AL347" s="63" t="s">
        <v>2860</v>
      </c>
      <c r="AM347" s="58" t="s">
        <v>3785</v>
      </c>
      <c r="AN347" s="250" t="s">
        <v>3786</v>
      </c>
      <c r="AO347" s="158"/>
      <c r="AP347" s="64"/>
      <c r="AQ347" s="58" t="s">
        <v>3779</v>
      </c>
      <c r="AR347" s="58"/>
      <c r="AS347" s="58"/>
      <c r="AT347" s="58"/>
      <c r="AU347" s="54"/>
      <c r="AV347" s="54">
        <v>7140217</v>
      </c>
      <c r="AW347" s="53">
        <v>605</v>
      </c>
      <c r="AX347" s="60"/>
      <c r="BJ347" s="40"/>
      <c r="BK347" s="40"/>
      <c r="BN347" s="16"/>
      <c r="BO347" s="16"/>
    </row>
    <row r="348" spans="1:67" s="67" customFormat="1" ht="15.95" customHeight="1" x14ac:dyDescent="0.25">
      <c r="A348" s="16"/>
      <c r="B348" s="68">
        <f>SUBTOTAL(103,$K$346:K348)</f>
        <v>3</v>
      </c>
      <c r="C348" s="53">
        <v>3</v>
      </c>
      <c r="D348" s="53" t="s">
        <v>2118</v>
      </c>
      <c r="E348" s="53" t="s">
        <v>19</v>
      </c>
      <c r="F348" s="53" t="s">
        <v>105</v>
      </c>
      <c r="G348" s="53" t="s">
        <v>4781</v>
      </c>
      <c r="H348" s="53" t="s">
        <v>4784</v>
      </c>
      <c r="I348" s="64" t="s">
        <v>3787</v>
      </c>
      <c r="J348" s="64" t="s">
        <v>473</v>
      </c>
      <c r="K348" s="103" t="s">
        <v>4224</v>
      </c>
      <c r="L348" s="53" t="s">
        <v>170</v>
      </c>
      <c r="M348" s="68">
        <v>1</v>
      </c>
      <c r="N348" s="53" t="s">
        <v>150</v>
      </c>
      <c r="O348" s="53" t="s">
        <v>5031</v>
      </c>
      <c r="P348" s="53" t="s">
        <v>3893</v>
      </c>
      <c r="Q348" s="58" t="s">
        <v>23</v>
      </c>
      <c r="R348" s="53">
        <v>2025</v>
      </c>
      <c r="S348" s="53" t="s">
        <v>236</v>
      </c>
      <c r="T348" s="53" t="s">
        <v>1512</v>
      </c>
      <c r="U348" s="53" t="s">
        <v>3788</v>
      </c>
      <c r="V348" s="53" t="s">
        <v>548</v>
      </c>
      <c r="W348" s="53" t="s">
        <v>153</v>
      </c>
      <c r="X348" s="103" t="s">
        <v>4224</v>
      </c>
      <c r="Y348" s="53"/>
      <c r="Z348" s="53"/>
      <c r="AA348" s="53"/>
      <c r="AB348" s="188" t="s">
        <v>2150</v>
      </c>
      <c r="AC348" s="53" t="s">
        <v>157</v>
      </c>
      <c r="AD348" s="53" t="s">
        <v>157</v>
      </c>
      <c r="AE348" s="53"/>
      <c r="AF348" s="248"/>
      <c r="AG348" s="64" t="s">
        <v>2139</v>
      </c>
      <c r="AH348" s="53" t="s">
        <v>155</v>
      </c>
      <c r="AI348" s="53"/>
      <c r="AJ348" s="184" t="s">
        <v>3789</v>
      </c>
      <c r="AK348" s="102" t="s">
        <v>253</v>
      </c>
      <c r="AL348" s="102" t="s">
        <v>3790</v>
      </c>
      <c r="AM348" s="102" t="s">
        <v>3791</v>
      </c>
      <c r="AN348" s="185" t="s">
        <v>3792</v>
      </c>
      <c r="AO348" s="102"/>
      <c r="AP348" s="102"/>
      <c r="AQ348" s="63" t="s">
        <v>3779</v>
      </c>
      <c r="AR348" s="63"/>
      <c r="AS348" s="63"/>
      <c r="AT348" s="58"/>
      <c r="AU348" s="54"/>
      <c r="AV348" s="54">
        <v>7140217</v>
      </c>
      <c r="AW348" s="53">
        <v>606</v>
      </c>
      <c r="AX348" s="60"/>
      <c r="BJ348" s="40"/>
      <c r="BK348" s="40"/>
      <c r="BN348" s="16"/>
      <c r="BO348" s="16"/>
    </row>
    <row r="349" spans="1:67" s="67" customFormat="1" ht="15.95" customHeight="1" x14ac:dyDescent="0.25">
      <c r="A349" s="16"/>
      <c r="B349" s="68">
        <f>SUBTOTAL(103,$K$346:K349)</f>
        <v>4</v>
      </c>
      <c r="C349" s="53">
        <v>4</v>
      </c>
      <c r="D349" s="53" t="s">
        <v>2118</v>
      </c>
      <c r="E349" s="53" t="s">
        <v>19</v>
      </c>
      <c r="F349" s="53" t="s">
        <v>105</v>
      </c>
      <c r="G349" s="53" t="s">
        <v>4781</v>
      </c>
      <c r="H349" s="53" t="s">
        <v>4785</v>
      </c>
      <c r="I349" s="58" t="s">
        <v>3600</v>
      </c>
      <c r="J349" s="58" t="s">
        <v>169</v>
      </c>
      <c r="K349" s="103" t="s">
        <v>4225</v>
      </c>
      <c r="L349" s="53" t="s">
        <v>170</v>
      </c>
      <c r="M349" s="68">
        <v>1</v>
      </c>
      <c r="N349" s="53" t="s">
        <v>150</v>
      </c>
      <c r="O349" s="53" t="s">
        <v>5031</v>
      </c>
      <c r="P349" s="53" t="s">
        <v>3893</v>
      </c>
      <c r="Q349" s="58" t="s">
        <v>3793</v>
      </c>
      <c r="R349" s="53">
        <v>1999</v>
      </c>
      <c r="S349" s="53" t="s">
        <v>248</v>
      </c>
      <c r="T349" s="53" t="s">
        <v>2087</v>
      </c>
      <c r="U349" s="53"/>
      <c r="V349" s="53"/>
      <c r="W349" s="53"/>
      <c r="X349" s="197" t="s">
        <v>4225</v>
      </c>
      <c r="Y349" s="53"/>
      <c r="Z349" s="53"/>
      <c r="AA349" s="53"/>
      <c r="AB349" s="188" t="s">
        <v>253</v>
      </c>
      <c r="AC349" s="53" t="s">
        <v>157</v>
      </c>
      <c r="AD349" s="53"/>
      <c r="AE349" s="53">
        <v>8</v>
      </c>
      <c r="AF349" s="248"/>
      <c r="AG349" s="58" t="s">
        <v>2463</v>
      </c>
      <c r="AH349" s="53" t="s">
        <v>155</v>
      </c>
      <c r="AI349" s="58"/>
      <c r="AJ349" s="237" t="s">
        <v>3794</v>
      </c>
      <c r="AK349" s="58" t="s">
        <v>253</v>
      </c>
      <c r="AL349" s="63" t="s">
        <v>3170</v>
      </c>
      <c r="AM349" s="122" t="s">
        <v>3795</v>
      </c>
      <c r="AN349" s="103" t="s">
        <v>3796</v>
      </c>
      <c r="AO349" s="64"/>
      <c r="AP349" s="64"/>
      <c r="AQ349" s="63" t="s">
        <v>3779</v>
      </c>
      <c r="AR349" s="58"/>
      <c r="AS349" s="58"/>
      <c r="AT349" s="58"/>
      <c r="AU349" s="54"/>
      <c r="AV349" s="54">
        <v>7140217</v>
      </c>
      <c r="AW349" s="53">
        <v>607</v>
      </c>
      <c r="AX349" s="60"/>
      <c r="BJ349" s="40"/>
      <c r="BK349" s="40"/>
      <c r="BN349" s="16"/>
      <c r="BO349" s="16"/>
    </row>
    <row r="350" spans="1:67" s="67" customFormat="1" ht="15.95" customHeight="1" x14ac:dyDescent="0.25">
      <c r="A350" s="16"/>
      <c r="B350" s="68">
        <f>SUBTOTAL(103,$K$346:K350)</f>
        <v>5</v>
      </c>
      <c r="C350" s="53">
        <v>5</v>
      </c>
      <c r="D350" s="53" t="s">
        <v>2118</v>
      </c>
      <c r="E350" s="53" t="s">
        <v>19</v>
      </c>
      <c r="F350" s="53" t="s">
        <v>105</v>
      </c>
      <c r="G350" s="53" t="s">
        <v>4781</v>
      </c>
      <c r="H350" s="53" t="s">
        <v>4786</v>
      </c>
      <c r="I350" s="64" t="s">
        <v>2602</v>
      </c>
      <c r="J350" s="64" t="s">
        <v>3797</v>
      </c>
      <c r="K350" s="99" t="s">
        <v>4226</v>
      </c>
      <c r="L350" s="53" t="s">
        <v>170</v>
      </c>
      <c r="M350" s="68">
        <v>1</v>
      </c>
      <c r="N350" s="53" t="s">
        <v>150</v>
      </c>
      <c r="O350" s="53" t="s">
        <v>5031</v>
      </c>
      <c r="P350" s="53" t="s">
        <v>3893</v>
      </c>
      <c r="Q350" s="64" t="s">
        <v>3798</v>
      </c>
      <c r="R350" s="53">
        <v>2018</v>
      </c>
      <c r="S350" s="53" t="s">
        <v>236</v>
      </c>
      <c r="T350" s="53">
        <v>8.0399999999999991</v>
      </c>
      <c r="U350" s="53"/>
      <c r="V350" s="53" t="s">
        <v>282</v>
      </c>
      <c r="W350" s="53" t="s">
        <v>153</v>
      </c>
      <c r="X350" s="99" t="s">
        <v>4226</v>
      </c>
      <c r="Y350" s="53"/>
      <c r="Z350" s="53"/>
      <c r="AA350" s="53"/>
      <c r="AB350" s="188" t="s">
        <v>3799</v>
      </c>
      <c r="AC350" s="53" t="s">
        <v>157</v>
      </c>
      <c r="AD350" s="53" t="s">
        <v>157</v>
      </c>
      <c r="AE350" s="53"/>
      <c r="AF350" s="68"/>
      <c r="AG350" s="64" t="s">
        <v>3800</v>
      </c>
      <c r="AH350" s="53" t="s">
        <v>155</v>
      </c>
      <c r="AI350" s="53"/>
      <c r="AJ350" s="101" t="s">
        <v>3801</v>
      </c>
      <c r="AK350" s="64" t="s">
        <v>3799</v>
      </c>
      <c r="AL350" s="102" t="s">
        <v>3802</v>
      </c>
      <c r="AM350" s="64" t="s">
        <v>3803</v>
      </c>
      <c r="AN350" s="103" t="s">
        <v>3804</v>
      </c>
      <c r="AO350" s="64"/>
      <c r="AP350" s="64"/>
      <c r="AQ350" s="63" t="s">
        <v>3779</v>
      </c>
      <c r="AS350" s="58"/>
      <c r="AT350" s="58"/>
      <c r="AU350" s="54"/>
      <c r="AV350" s="54">
        <v>7140217</v>
      </c>
      <c r="AW350" s="53">
        <v>608</v>
      </c>
      <c r="AX350" s="60"/>
      <c r="BJ350" s="40"/>
      <c r="BK350" s="40"/>
      <c r="BN350" s="16"/>
      <c r="BO350" s="16"/>
    </row>
    <row r="351" spans="1:67" s="67" customFormat="1" ht="15.95" customHeight="1" x14ac:dyDescent="0.25">
      <c r="A351" s="16"/>
      <c r="B351" s="68">
        <f>SUBTOTAL(103,$K$346:K351)</f>
        <v>6</v>
      </c>
      <c r="C351" s="53">
        <v>6</v>
      </c>
      <c r="D351" s="53" t="s">
        <v>2118</v>
      </c>
      <c r="E351" s="53" t="s">
        <v>19</v>
      </c>
      <c r="F351" s="53" t="s">
        <v>105</v>
      </c>
      <c r="G351" s="53" t="s">
        <v>4781</v>
      </c>
      <c r="H351" s="53" t="s">
        <v>4787</v>
      </c>
      <c r="I351" s="64" t="s">
        <v>1395</v>
      </c>
      <c r="J351" s="64" t="s">
        <v>3384</v>
      </c>
      <c r="K351" s="103" t="s">
        <v>4227</v>
      </c>
      <c r="L351" s="53" t="s">
        <v>149</v>
      </c>
      <c r="M351" s="53">
        <v>0</v>
      </c>
      <c r="N351" s="53" t="s">
        <v>150</v>
      </c>
      <c r="O351" s="53" t="s">
        <v>5031</v>
      </c>
      <c r="P351" s="53" t="s">
        <v>3893</v>
      </c>
      <c r="Q351" s="58" t="s">
        <v>3805</v>
      </c>
      <c r="R351" s="53">
        <v>1998</v>
      </c>
      <c r="S351" s="53" t="s">
        <v>248</v>
      </c>
      <c r="T351" s="53" t="s">
        <v>2370</v>
      </c>
      <c r="U351" s="53"/>
      <c r="V351" s="53"/>
      <c r="W351" s="53"/>
      <c r="X351" s="103" t="s">
        <v>4227</v>
      </c>
      <c r="Y351" s="53"/>
      <c r="Z351" s="53"/>
      <c r="AA351" s="53"/>
      <c r="AB351" s="188" t="s">
        <v>253</v>
      </c>
      <c r="AC351" s="53" t="s">
        <v>157</v>
      </c>
      <c r="AD351" s="53"/>
      <c r="AE351" s="53">
        <v>20</v>
      </c>
      <c r="AF351" s="68"/>
      <c r="AG351" s="58" t="s">
        <v>3806</v>
      </c>
      <c r="AH351" s="53" t="s">
        <v>155</v>
      </c>
      <c r="AI351" s="53"/>
      <c r="AJ351" s="101" t="s">
        <v>3807</v>
      </c>
      <c r="AK351" s="58" t="s">
        <v>253</v>
      </c>
      <c r="AL351" s="63" t="s">
        <v>2242</v>
      </c>
      <c r="AM351" s="79" t="s">
        <v>3808</v>
      </c>
      <c r="AN351" s="103" t="s">
        <v>3809</v>
      </c>
      <c r="AO351" s="64" t="s">
        <v>3810</v>
      </c>
      <c r="AP351" s="64"/>
      <c r="AQ351" s="63" t="s">
        <v>3779</v>
      </c>
      <c r="AS351" s="58"/>
      <c r="AT351" s="58"/>
      <c r="AU351" s="54"/>
      <c r="AV351" s="54">
        <v>7140217</v>
      </c>
      <c r="AW351" s="53">
        <v>609</v>
      </c>
      <c r="AX351" s="60"/>
      <c r="BJ351" s="40"/>
      <c r="BK351" s="40"/>
      <c r="BN351" s="16"/>
      <c r="BO351" s="16"/>
    </row>
    <row r="352" spans="1:67" s="67" customFormat="1" ht="15.95" customHeight="1" x14ac:dyDescent="0.25">
      <c r="A352" s="16"/>
      <c r="B352" s="68">
        <f>SUBTOTAL(103,$K$346:K352)</f>
        <v>7</v>
      </c>
      <c r="C352" s="53">
        <v>7</v>
      </c>
      <c r="D352" s="53" t="s">
        <v>2118</v>
      </c>
      <c r="E352" s="53" t="s">
        <v>19</v>
      </c>
      <c r="F352" s="53" t="s">
        <v>106</v>
      </c>
      <c r="G352" s="53" t="s">
        <v>4781</v>
      </c>
      <c r="H352" s="53" t="s">
        <v>4788</v>
      </c>
      <c r="I352" s="64" t="s">
        <v>1624</v>
      </c>
      <c r="J352" s="64" t="s">
        <v>1009</v>
      </c>
      <c r="K352" s="103" t="s">
        <v>4228</v>
      </c>
      <c r="L352" s="53" t="s">
        <v>170</v>
      </c>
      <c r="M352" s="68">
        <v>1</v>
      </c>
      <c r="N352" s="53" t="s">
        <v>150</v>
      </c>
      <c r="O352" s="53" t="s">
        <v>5031</v>
      </c>
      <c r="P352" s="53" t="s">
        <v>3893</v>
      </c>
      <c r="Q352" s="64" t="s">
        <v>3811</v>
      </c>
      <c r="R352" s="53">
        <v>2011</v>
      </c>
      <c r="S352" s="53" t="s">
        <v>153</v>
      </c>
      <c r="T352" s="53">
        <v>7.89</v>
      </c>
      <c r="U352" s="53"/>
      <c r="V352" s="53" t="s">
        <v>1183</v>
      </c>
      <c r="W352" s="53" t="s">
        <v>153</v>
      </c>
      <c r="X352" s="103" t="s">
        <v>4228</v>
      </c>
      <c r="Y352" s="53"/>
      <c r="Z352" s="53"/>
      <c r="AA352" s="53"/>
      <c r="AB352" s="188" t="s">
        <v>253</v>
      </c>
      <c r="AC352" s="53" t="s">
        <v>157</v>
      </c>
      <c r="AD352" s="53" t="s">
        <v>157</v>
      </c>
      <c r="AE352" s="53">
        <v>17</v>
      </c>
      <c r="AF352" s="68"/>
      <c r="AG352" s="64" t="s">
        <v>3812</v>
      </c>
      <c r="AH352" s="53" t="s">
        <v>3813</v>
      </c>
      <c r="AI352" s="64"/>
      <c r="AJ352" s="251" t="s">
        <v>3814</v>
      </c>
      <c r="AK352" s="64" t="s">
        <v>253</v>
      </c>
      <c r="AL352" s="102" t="s">
        <v>2441</v>
      </c>
      <c r="AM352" s="79" t="s">
        <v>3815</v>
      </c>
      <c r="AN352" s="103" t="s">
        <v>3816</v>
      </c>
      <c r="AO352" s="64"/>
      <c r="AP352" s="64"/>
      <c r="AQ352" s="58" t="s">
        <v>3779</v>
      </c>
      <c r="AR352" s="58"/>
      <c r="AS352" s="58"/>
      <c r="AT352" s="58"/>
      <c r="AU352" s="54"/>
      <c r="AV352" s="54">
        <v>7140217</v>
      </c>
      <c r="AW352" s="53">
        <v>610</v>
      </c>
      <c r="AX352" s="60"/>
      <c r="BJ352" s="40"/>
      <c r="BK352" s="40"/>
      <c r="BN352" s="16"/>
      <c r="BO352" s="16"/>
    </row>
    <row r="353" spans="1:67" s="67" customFormat="1" ht="15.95" customHeight="1" x14ac:dyDescent="0.25">
      <c r="A353" s="16"/>
      <c r="B353" s="68">
        <f>SUBTOTAL(103,$K$346:K353)</f>
        <v>8</v>
      </c>
      <c r="C353" s="53">
        <v>8</v>
      </c>
      <c r="D353" s="53" t="s">
        <v>2118</v>
      </c>
      <c r="E353" s="53" t="s">
        <v>19</v>
      </c>
      <c r="F353" s="53" t="s">
        <v>104</v>
      </c>
      <c r="G353" s="53" t="s">
        <v>4781</v>
      </c>
      <c r="H353" s="53" t="s">
        <v>4789</v>
      </c>
      <c r="I353" s="58" t="s">
        <v>1951</v>
      </c>
      <c r="J353" s="58" t="s">
        <v>508</v>
      </c>
      <c r="K353" s="103" t="s">
        <v>4229</v>
      </c>
      <c r="L353" s="53" t="s">
        <v>170</v>
      </c>
      <c r="M353" s="68">
        <v>1</v>
      </c>
      <c r="N353" s="53" t="s">
        <v>150</v>
      </c>
      <c r="O353" s="53" t="s">
        <v>5031</v>
      </c>
      <c r="P353" s="53" t="s">
        <v>3893</v>
      </c>
      <c r="Q353" s="58" t="s">
        <v>3817</v>
      </c>
      <c r="R353" s="53">
        <v>2021</v>
      </c>
      <c r="S353" s="53" t="s">
        <v>153</v>
      </c>
      <c r="T353" s="53">
        <v>7.1</v>
      </c>
      <c r="U353" s="53"/>
      <c r="V353" s="53" t="s">
        <v>283</v>
      </c>
      <c r="W353" s="53" t="s">
        <v>248</v>
      </c>
      <c r="X353" s="197" t="s">
        <v>4229</v>
      </c>
      <c r="Y353" s="53"/>
      <c r="Z353" s="53"/>
      <c r="AA353" s="53"/>
      <c r="AB353" s="188" t="s">
        <v>2211</v>
      </c>
      <c r="AC353" s="53" t="s">
        <v>157</v>
      </c>
      <c r="AD353" s="53" t="s">
        <v>157</v>
      </c>
      <c r="AE353" s="53"/>
      <c r="AF353" s="68"/>
      <c r="AG353" s="58" t="s">
        <v>2751</v>
      </c>
      <c r="AH353" s="53"/>
      <c r="AI353" s="58"/>
      <c r="AJ353" s="237" t="s">
        <v>3818</v>
      </c>
      <c r="AK353" s="58" t="s">
        <v>253</v>
      </c>
      <c r="AL353" s="63" t="s">
        <v>3819</v>
      </c>
      <c r="AM353" s="58" t="s">
        <v>3820</v>
      </c>
      <c r="AN353" s="103" t="s">
        <v>3821</v>
      </c>
      <c r="AO353" s="58"/>
      <c r="AP353" s="64"/>
      <c r="AQ353" s="58" t="s">
        <v>3779</v>
      </c>
      <c r="AR353" s="58"/>
      <c r="AS353" s="58"/>
      <c r="AT353" s="58"/>
      <c r="AU353" s="54"/>
      <c r="AV353" s="54">
        <v>7140217</v>
      </c>
      <c r="AW353" s="53">
        <v>611</v>
      </c>
      <c r="AX353" s="60"/>
      <c r="BJ353" s="40"/>
      <c r="BK353" s="40"/>
      <c r="BN353" s="16"/>
      <c r="BO353" s="16"/>
    </row>
    <row r="354" spans="1:67" s="67" customFormat="1" ht="15.95" customHeight="1" x14ac:dyDescent="0.25">
      <c r="A354" s="16"/>
      <c r="B354" s="68">
        <f>SUBTOTAL(103,$K$346:K354)</f>
        <v>9</v>
      </c>
      <c r="C354" s="53">
        <v>9</v>
      </c>
      <c r="D354" s="53" t="s">
        <v>2118</v>
      </c>
      <c r="E354" s="53" t="s">
        <v>19</v>
      </c>
      <c r="F354" s="53" t="s">
        <v>639</v>
      </c>
      <c r="G354" s="53" t="s">
        <v>4781</v>
      </c>
      <c r="H354" s="53" t="s">
        <v>4790</v>
      </c>
      <c r="I354" s="58" t="s">
        <v>3822</v>
      </c>
      <c r="J354" s="64" t="s">
        <v>676</v>
      </c>
      <c r="K354" s="103" t="s">
        <v>4230</v>
      </c>
      <c r="L354" s="53" t="s">
        <v>170</v>
      </c>
      <c r="M354" s="68">
        <v>1</v>
      </c>
      <c r="N354" s="53" t="s">
        <v>150</v>
      </c>
      <c r="O354" s="53" t="s">
        <v>5031</v>
      </c>
      <c r="P354" s="53" t="s">
        <v>3893</v>
      </c>
      <c r="Q354" s="58"/>
      <c r="R354" s="53">
        <v>2024</v>
      </c>
      <c r="S354" s="99"/>
      <c r="T354" s="123"/>
      <c r="U354" s="123"/>
      <c r="V354" s="123" t="s">
        <v>779</v>
      </c>
      <c r="W354" s="53" t="s">
        <v>236</v>
      </c>
      <c r="X354" s="103" t="s">
        <v>4230</v>
      </c>
      <c r="Y354" s="53" t="s">
        <v>1971</v>
      </c>
      <c r="Z354" s="99" t="s">
        <v>850</v>
      </c>
      <c r="AA354" s="53"/>
      <c r="AB354" s="188" t="s">
        <v>2211</v>
      </c>
      <c r="AC354" s="53"/>
      <c r="AD354" s="53"/>
      <c r="AE354" s="53"/>
      <c r="AF354" s="68"/>
      <c r="AG354" s="58" t="s">
        <v>3772</v>
      </c>
      <c r="AH354" s="53"/>
      <c r="AI354" s="58"/>
      <c r="AJ354" s="101" t="s">
        <v>3823</v>
      </c>
      <c r="AK354" s="64" t="s">
        <v>2163</v>
      </c>
      <c r="AL354" s="63" t="s">
        <v>3100</v>
      </c>
      <c r="AM354" s="122" t="s">
        <v>3824</v>
      </c>
      <c r="AN354" s="103" t="s">
        <v>3825</v>
      </c>
      <c r="AO354" s="58" t="s">
        <v>3826</v>
      </c>
      <c r="AP354" s="64"/>
      <c r="AQ354" s="58" t="s">
        <v>3779</v>
      </c>
      <c r="AR354" s="58"/>
      <c r="AS354" s="58"/>
      <c r="AT354" s="58"/>
      <c r="AU354" s="54"/>
      <c r="AV354" s="54">
        <v>7140217</v>
      </c>
      <c r="AW354" s="53">
        <v>612</v>
      </c>
      <c r="AX354" s="60"/>
      <c r="BJ354" s="40"/>
      <c r="BK354" s="40"/>
      <c r="BN354" s="16"/>
      <c r="BO354" s="16"/>
    </row>
    <row r="355" spans="1:67" s="67" customFormat="1" ht="15.95" customHeight="1" x14ac:dyDescent="0.25">
      <c r="A355" s="16"/>
      <c r="B355" s="68">
        <f>SUBTOTAL(103,$K$346:K355)</f>
        <v>10</v>
      </c>
      <c r="C355" s="53">
        <v>10</v>
      </c>
      <c r="D355" s="53" t="s">
        <v>2118</v>
      </c>
      <c r="E355" s="53" t="s">
        <v>19</v>
      </c>
      <c r="F355" s="53" t="s">
        <v>639</v>
      </c>
      <c r="G355" s="53" t="s">
        <v>4781</v>
      </c>
      <c r="H355" s="53" t="s">
        <v>4791</v>
      </c>
      <c r="I355" s="64" t="s">
        <v>3827</v>
      </c>
      <c r="J355" s="64" t="s">
        <v>440</v>
      </c>
      <c r="K355" s="103" t="s">
        <v>4231</v>
      </c>
      <c r="L355" s="53" t="s">
        <v>170</v>
      </c>
      <c r="M355" s="68">
        <v>1</v>
      </c>
      <c r="N355" s="53" t="s">
        <v>150</v>
      </c>
      <c r="O355" s="53" t="s">
        <v>5031</v>
      </c>
      <c r="P355" s="53" t="s">
        <v>3893</v>
      </c>
      <c r="Q355" s="58"/>
      <c r="R355" s="53">
        <v>2018</v>
      </c>
      <c r="S355" s="53"/>
      <c r="T355" s="53"/>
      <c r="U355" s="53"/>
      <c r="V355" s="53" t="s">
        <v>328</v>
      </c>
      <c r="W355" s="53" t="s">
        <v>236</v>
      </c>
      <c r="X355" s="103" t="s">
        <v>4231</v>
      </c>
      <c r="Y355" s="53" t="s">
        <v>3828</v>
      </c>
      <c r="Z355" s="53">
        <v>23.8</v>
      </c>
      <c r="AA355" s="53"/>
      <c r="AB355" s="188" t="s">
        <v>2150</v>
      </c>
      <c r="AC355" s="53" t="s">
        <v>157</v>
      </c>
      <c r="AD355" s="53" t="s">
        <v>157</v>
      </c>
      <c r="AE355" s="53"/>
      <c r="AF355" s="68"/>
      <c r="AG355" s="64" t="s">
        <v>3829</v>
      </c>
      <c r="AH355" s="53" t="s">
        <v>155</v>
      </c>
      <c r="AI355" s="64" t="s">
        <v>3830</v>
      </c>
      <c r="AJ355" s="101" t="s">
        <v>3831</v>
      </c>
      <c r="AK355" s="64" t="s">
        <v>2150</v>
      </c>
      <c r="AL355" s="64" t="s">
        <v>2406</v>
      </c>
      <c r="AM355" s="64" t="s">
        <v>3832</v>
      </c>
      <c r="AN355" s="103" t="s">
        <v>3833</v>
      </c>
      <c r="AO355" s="64"/>
      <c r="AP355" s="64"/>
      <c r="AQ355" s="67" t="s">
        <v>3779</v>
      </c>
      <c r="AR355" s="58"/>
      <c r="AS355" s="58"/>
      <c r="AT355" s="58"/>
      <c r="AU355" s="54"/>
      <c r="AV355" s="54">
        <v>7140217</v>
      </c>
      <c r="AW355" s="53">
        <v>613</v>
      </c>
      <c r="BJ355" s="40"/>
      <c r="BK355" s="40"/>
      <c r="BN355" s="16"/>
      <c r="BO355" s="16"/>
    </row>
    <row r="356" spans="1:67" s="67" customFormat="1" ht="15.95" customHeight="1" x14ac:dyDescent="0.25">
      <c r="A356" s="16"/>
      <c r="B356" s="68">
        <f>SUBTOTAL(103,$K$346:K356)</f>
        <v>11</v>
      </c>
      <c r="C356" s="53">
        <v>11</v>
      </c>
      <c r="D356" s="53" t="s">
        <v>2118</v>
      </c>
      <c r="E356" s="53" t="s">
        <v>19</v>
      </c>
      <c r="F356" s="53" t="s">
        <v>639</v>
      </c>
      <c r="G356" s="53" t="s">
        <v>4781</v>
      </c>
      <c r="H356" s="53" t="s">
        <v>4792</v>
      </c>
      <c r="I356" s="64" t="s">
        <v>3834</v>
      </c>
      <c r="J356" s="64" t="s">
        <v>1467</v>
      </c>
      <c r="K356" s="103" t="s">
        <v>4232</v>
      </c>
      <c r="L356" s="53" t="s">
        <v>170</v>
      </c>
      <c r="M356" s="68">
        <v>1</v>
      </c>
      <c r="N356" s="53" t="s">
        <v>150</v>
      </c>
      <c r="O356" s="53" t="s">
        <v>5031</v>
      </c>
      <c r="P356" s="53" t="s">
        <v>3893</v>
      </c>
      <c r="Q356" s="58"/>
      <c r="R356" s="53">
        <v>2025</v>
      </c>
      <c r="S356" s="53"/>
      <c r="T356" s="53"/>
      <c r="U356" s="53"/>
      <c r="V356" s="53" t="s">
        <v>1084</v>
      </c>
      <c r="W356" s="53" t="s">
        <v>818</v>
      </c>
      <c r="X356" s="103" t="s">
        <v>4232</v>
      </c>
      <c r="Y356" s="53" t="s">
        <v>1971</v>
      </c>
      <c r="Z356" s="53">
        <v>22.8</v>
      </c>
      <c r="AA356" s="53"/>
      <c r="AB356" s="188" t="s">
        <v>156</v>
      </c>
      <c r="AC356" s="53"/>
      <c r="AD356" s="53"/>
      <c r="AE356" s="53"/>
      <c r="AF356" s="68"/>
      <c r="AG356" s="64" t="s">
        <v>3835</v>
      </c>
      <c r="AH356" s="53"/>
      <c r="AI356" s="53"/>
      <c r="AJ356" s="101" t="s">
        <v>3836</v>
      </c>
      <c r="AK356" s="64" t="s">
        <v>156</v>
      </c>
      <c r="AL356" s="64" t="s">
        <v>340</v>
      </c>
      <c r="AM356" s="64" t="s">
        <v>3837</v>
      </c>
      <c r="AN356" s="185" t="s">
        <v>3838</v>
      </c>
      <c r="AO356" s="64"/>
      <c r="AP356" s="64"/>
      <c r="AQ356" s="67" t="s">
        <v>2427</v>
      </c>
      <c r="AR356" s="58"/>
      <c r="AS356" s="63"/>
      <c r="AT356" s="58"/>
      <c r="AU356" s="54"/>
      <c r="AV356" s="54">
        <v>7140217</v>
      </c>
      <c r="AW356" s="53">
        <v>614</v>
      </c>
      <c r="BJ356" s="40"/>
      <c r="BK356" s="40"/>
      <c r="BN356" s="16"/>
      <c r="BO356" s="16"/>
    </row>
    <row r="357" spans="1:67" s="67" customFormat="1" ht="15.95" customHeight="1" x14ac:dyDescent="0.25">
      <c r="A357" s="16"/>
      <c r="B357" s="68">
        <f>SUBTOTAL(103,$K$346:K357)</f>
        <v>12</v>
      </c>
      <c r="C357" s="53">
        <v>12</v>
      </c>
      <c r="D357" s="53" t="s">
        <v>2118</v>
      </c>
      <c r="E357" s="53" t="s">
        <v>19</v>
      </c>
      <c r="F357" s="53" t="s">
        <v>639</v>
      </c>
      <c r="G357" s="53" t="s">
        <v>4781</v>
      </c>
      <c r="H357" s="53" t="s">
        <v>4793</v>
      </c>
      <c r="I357" s="58" t="s">
        <v>2314</v>
      </c>
      <c r="J357" s="58" t="s">
        <v>619</v>
      </c>
      <c r="K357" s="103" t="s">
        <v>4233</v>
      </c>
      <c r="L357" s="53" t="s">
        <v>170</v>
      </c>
      <c r="M357" s="68">
        <v>1</v>
      </c>
      <c r="N357" s="53" t="s">
        <v>150</v>
      </c>
      <c r="O357" s="53" t="s">
        <v>5031</v>
      </c>
      <c r="P357" s="53" t="s">
        <v>3893</v>
      </c>
      <c r="Q357" s="58"/>
      <c r="R357" s="53">
        <v>2020</v>
      </c>
      <c r="S357" s="99"/>
      <c r="T357" s="123"/>
      <c r="U357" s="99"/>
      <c r="V357" s="99" t="s">
        <v>1591</v>
      </c>
      <c r="W357" s="53" t="s">
        <v>236</v>
      </c>
      <c r="X357" s="197" t="s">
        <v>4233</v>
      </c>
      <c r="Y357" s="53" t="s">
        <v>1971</v>
      </c>
      <c r="Z357" s="99">
        <v>26.8</v>
      </c>
      <c r="AA357" s="53"/>
      <c r="AB357" s="188" t="s">
        <v>2298</v>
      </c>
      <c r="AC357" s="53" t="s">
        <v>157</v>
      </c>
      <c r="AD357" s="53" t="s">
        <v>157</v>
      </c>
      <c r="AE357" s="53"/>
      <c r="AF357" s="68"/>
      <c r="AG357" s="58" t="s">
        <v>3839</v>
      </c>
      <c r="AH357" s="53" t="s">
        <v>155</v>
      </c>
      <c r="AI357" s="58" t="s">
        <v>3840</v>
      </c>
      <c r="AJ357" s="120" t="s">
        <v>3841</v>
      </c>
      <c r="AK357" s="100" t="s">
        <v>2298</v>
      </c>
      <c r="AL357" s="63" t="s">
        <v>3842</v>
      </c>
      <c r="AM357" s="58" t="s">
        <v>3843</v>
      </c>
      <c r="AN357" s="106" t="s">
        <v>3844</v>
      </c>
      <c r="AO357" s="64"/>
      <c r="AP357" s="64"/>
      <c r="AQ357" s="67" t="s">
        <v>3779</v>
      </c>
      <c r="AR357" s="58"/>
      <c r="AS357" s="58"/>
      <c r="AT357" s="58"/>
      <c r="AU357" s="54"/>
      <c r="AV357" s="54">
        <v>7140217</v>
      </c>
      <c r="AW357" s="53">
        <v>615</v>
      </c>
      <c r="AX357" s="60"/>
      <c r="BJ357" s="40"/>
      <c r="BK357" s="40"/>
      <c r="BN357" s="16"/>
      <c r="BO357" s="16"/>
    </row>
    <row r="358" spans="1:67" s="67" customFormat="1" ht="16.5" customHeight="1" x14ac:dyDescent="0.25">
      <c r="A358" s="16"/>
      <c r="B358" s="55"/>
      <c r="C358" s="59"/>
      <c r="D358" s="53"/>
      <c r="E358" s="68"/>
      <c r="F358" s="49"/>
      <c r="G358" s="49"/>
      <c r="H358" s="49"/>
      <c r="I358" s="56" t="s">
        <v>1173</v>
      </c>
      <c r="J358" s="49"/>
      <c r="K358" s="103"/>
      <c r="L358" s="68"/>
      <c r="M358" s="68"/>
      <c r="N358" s="68"/>
      <c r="O358" s="58"/>
      <c r="P358" s="53"/>
      <c r="Q358" s="58"/>
      <c r="R358" s="53"/>
      <c r="S358" s="68"/>
      <c r="T358" s="53"/>
      <c r="U358" s="53"/>
      <c r="V358" s="53"/>
      <c r="W358" s="59"/>
      <c r="X358" s="57"/>
      <c r="Y358" s="59"/>
      <c r="Z358" s="53"/>
      <c r="AA358" s="58"/>
      <c r="AB358" s="76"/>
      <c r="AC358" s="58"/>
      <c r="AD358" s="58"/>
      <c r="AE358" s="58"/>
      <c r="AF358" s="148"/>
      <c r="AG358" s="59"/>
      <c r="AH358" s="53"/>
      <c r="AI358" s="58"/>
      <c r="AJ358" s="61"/>
      <c r="AK358" s="68"/>
      <c r="AL358" s="59"/>
      <c r="AM358" s="64"/>
      <c r="AN358" s="65"/>
      <c r="AO358" s="53"/>
      <c r="AP358" s="64"/>
      <c r="AR358" s="41"/>
      <c r="AS358" s="58"/>
      <c r="AT358" s="53"/>
      <c r="AU358" s="54"/>
      <c r="AV358" s="54">
        <v>7140231</v>
      </c>
      <c r="AW358" s="53">
        <v>146</v>
      </c>
      <c r="AX358" s="60"/>
      <c r="AY358" s="40"/>
      <c r="AZ358" s="40"/>
      <c r="BI358" s="36"/>
      <c r="BJ358" s="36"/>
      <c r="BK358" s="37"/>
      <c r="BN358" s="16"/>
      <c r="BO358" s="16"/>
    </row>
    <row r="359" spans="1:67" s="67" customFormat="1" ht="16.5" customHeight="1" x14ac:dyDescent="0.25">
      <c r="A359" s="16"/>
      <c r="B359" s="68">
        <f>SUBTOTAL(103,$K$359:K359)</f>
        <v>1</v>
      </c>
      <c r="C359" s="59" t="s">
        <v>146</v>
      </c>
      <c r="D359" s="53" t="s">
        <v>158</v>
      </c>
      <c r="E359" s="53" t="s">
        <v>19</v>
      </c>
      <c r="F359" s="59" t="s">
        <v>105</v>
      </c>
      <c r="G359" s="59" t="s">
        <v>4803</v>
      </c>
      <c r="H359" s="59" t="s">
        <v>4794</v>
      </c>
      <c r="I359" s="73" t="s">
        <v>1091</v>
      </c>
      <c r="J359" s="74" t="s">
        <v>421</v>
      </c>
      <c r="K359" s="75" t="s">
        <v>4234</v>
      </c>
      <c r="L359" s="59" t="s">
        <v>170</v>
      </c>
      <c r="M359" s="68">
        <v>1</v>
      </c>
      <c r="N359" s="59" t="s">
        <v>150</v>
      </c>
      <c r="O359" s="73" t="s">
        <v>5032</v>
      </c>
      <c r="P359" s="59" t="s">
        <v>3894</v>
      </c>
      <c r="Q359" s="73" t="s">
        <v>682</v>
      </c>
      <c r="R359" s="59" t="s">
        <v>431</v>
      </c>
      <c r="S359" s="59" t="s">
        <v>153</v>
      </c>
      <c r="T359" s="59" t="s">
        <v>1174</v>
      </c>
      <c r="U359" s="59"/>
      <c r="V359" s="59" t="s">
        <v>239</v>
      </c>
      <c r="W359" s="59" t="s">
        <v>153</v>
      </c>
      <c r="X359" s="75" t="s">
        <v>4234</v>
      </c>
      <c r="Y359" s="59"/>
      <c r="Z359" s="59"/>
      <c r="AA359" s="58"/>
      <c r="AB359" s="76" t="s">
        <v>156</v>
      </c>
      <c r="AC359" s="58" t="s">
        <v>157</v>
      </c>
      <c r="AD359" s="59" t="s">
        <v>157</v>
      </c>
      <c r="AE359" s="58"/>
      <c r="AF359" s="59"/>
      <c r="AG359" s="59" t="s">
        <v>228</v>
      </c>
      <c r="AH359" s="59" t="s">
        <v>155</v>
      </c>
      <c r="AI359" s="59"/>
      <c r="AJ359" s="77" t="s">
        <v>1175</v>
      </c>
      <c r="AK359" s="59" t="s">
        <v>156</v>
      </c>
      <c r="AL359" s="59" t="s">
        <v>413</v>
      </c>
      <c r="AM359" s="74" t="s">
        <v>414</v>
      </c>
      <c r="AN359" s="78" t="s">
        <v>1176</v>
      </c>
      <c r="AO359" s="59" t="s">
        <v>164</v>
      </c>
      <c r="AP359" s="64"/>
      <c r="AQ359" s="84" t="s">
        <v>368</v>
      </c>
      <c r="AR359" s="41"/>
      <c r="AS359" s="58"/>
      <c r="AT359" s="53"/>
      <c r="AU359" s="54"/>
      <c r="AV359" s="54">
        <v>7140231</v>
      </c>
      <c r="AW359" s="53">
        <v>147</v>
      </c>
      <c r="AX359" s="60"/>
      <c r="AY359" s="40"/>
      <c r="AZ359" s="40"/>
      <c r="BI359" s="36"/>
      <c r="BJ359" s="36"/>
      <c r="BK359" s="37"/>
      <c r="BN359" s="16"/>
      <c r="BO359" s="16"/>
    </row>
    <row r="360" spans="1:67" s="67" customFormat="1" ht="16.5" customHeight="1" x14ac:dyDescent="0.25">
      <c r="A360" s="16"/>
      <c r="B360" s="68">
        <f>SUBTOTAL(103,$K$359:K360)</f>
        <v>2</v>
      </c>
      <c r="C360" s="59" t="s">
        <v>167</v>
      </c>
      <c r="D360" s="53" t="s">
        <v>158</v>
      </c>
      <c r="E360" s="53" t="s">
        <v>19</v>
      </c>
      <c r="F360" s="53" t="s">
        <v>105</v>
      </c>
      <c r="G360" s="59" t="s">
        <v>4803</v>
      </c>
      <c r="H360" s="53" t="s">
        <v>4795</v>
      </c>
      <c r="I360" s="58" t="s">
        <v>784</v>
      </c>
      <c r="J360" s="58" t="s">
        <v>440</v>
      </c>
      <c r="K360" s="103" t="s">
        <v>4235</v>
      </c>
      <c r="L360" s="53" t="s">
        <v>170</v>
      </c>
      <c r="M360" s="68">
        <v>1</v>
      </c>
      <c r="N360" s="53" t="s">
        <v>150</v>
      </c>
      <c r="O360" s="73" t="s">
        <v>5032</v>
      </c>
      <c r="P360" s="59" t="s">
        <v>3894</v>
      </c>
      <c r="Q360" s="58" t="s">
        <v>682</v>
      </c>
      <c r="R360" s="53">
        <v>2017</v>
      </c>
      <c r="S360" s="53" t="s">
        <v>153</v>
      </c>
      <c r="T360" s="53"/>
      <c r="U360" s="53"/>
      <c r="V360" s="53" t="s">
        <v>239</v>
      </c>
      <c r="W360" s="53" t="s">
        <v>153</v>
      </c>
      <c r="X360" s="57" t="s">
        <v>4235</v>
      </c>
      <c r="Y360" s="53"/>
      <c r="Z360" s="53"/>
      <c r="AA360" s="58"/>
      <c r="AB360" s="76" t="s">
        <v>156</v>
      </c>
      <c r="AC360" s="58" t="s">
        <v>157</v>
      </c>
      <c r="AD360" s="58" t="s">
        <v>157</v>
      </c>
      <c r="AE360" s="58">
        <v>3</v>
      </c>
      <c r="AF360" s="58"/>
      <c r="AG360" s="58" t="s">
        <v>228</v>
      </c>
      <c r="AH360" s="53" t="s">
        <v>155</v>
      </c>
      <c r="AI360" s="58"/>
      <c r="AJ360" s="61" t="s">
        <v>1177</v>
      </c>
      <c r="AK360" s="68" t="s">
        <v>156</v>
      </c>
      <c r="AL360" s="63" t="s">
        <v>1178</v>
      </c>
      <c r="AM360" s="64" t="s">
        <v>1179</v>
      </c>
      <c r="AN360" s="65" t="s">
        <v>1180</v>
      </c>
      <c r="AO360" s="53" t="s">
        <v>164</v>
      </c>
      <c r="AP360" s="64"/>
      <c r="AQ360" s="67" t="s">
        <v>824</v>
      </c>
      <c r="AR360" s="41"/>
      <c r="AS360" s="58"/>
      <c r="AT360" s="53"/>
      <c r="AU360" s="54"/>
      <c r="AV360" s="54">
        <v>7140231</v>
      </c>
      <c r="AW360" s="53">
        <v>148</v>
      </c>
      <c r="AX360" s="60"/>
      <c r="AY360" s="40"/>
      <c r="AZ360" s="40"/>
      <c r="BI360" s="36"/>
      <c r="BJ360" s="36"/>
      <c r="BK360" s="37"/>
      <c r="BN360" s="16"/>
      <c r="BO360" s="16"/>
    </row>
    <row r="361" spans="1:67" s="67" customFormat="1" ht="16.5" customHeight="1" x14ac:dyDescent="0.25">
      <c r="A361" s="16"/>
      <c r="B361" s="68">
        <f>SUBTOTAL(103,$K$359:K361)</f>
        <v>3</v>
      </c>
      <c r="C361" s="59" t="s">
        <v>181</v>
      </c>
      <c r="D361" s="53" t="s">
        <v>158</v>
      </c>
      <c r="E361" s="68" t="s">
        <v>19</v>
      </c>
      <c r="F361" s="53" t="s">
        <v>106</v>
      </c>
      <c r="G361" s="59" t="s">
        <v>4803</v>
      </c>
      <c r="H361" s="53" t="s">
        <v>4796</v>
      </c>
      <c r="I361" s="58" t="s">
        <v>1181</v>
      </c>
      <c r="J361" s="58" t="s">
        <v>676</v>
      </c>
      <c r="K361" s="103" t="s">
        <v>4236</v>
      </c>
      <c r="L361" s="53" t="s">
        <v>149</v>
      </c>
      <c r="M361" s="53">
        <v>0</v>
      </c>
      <c r="N361" s="68" t="s">
        <v>150</v>
      </c>
      <c r="O361" s="73" t="s">
        <v>5032</v>
      </c>
      <c r="P361" s="59" t="s">
        <v>3894</v>
      </c>
      <c r="Q361" s="58" t="s">
        <v>1083</v>
      </c>
      <c r="R361" s="53">
        <v>2020</v>
      </c>
      <c r="S361" s="68" t="s">
        <v>153</v>
      </c>
      <c r="T361" s="53" t="s">
        <v>1182</v>
      </c>
      <c r="U361" s="53"/>
      <c r="V361" s="53" t="s">
        <v>1183</v>
      </c>
      <c r="W361" s="59" t="s">
        <v>153</v>
      </c>
      <c r="X361" s="57" t="s">
        <v>4236</v>
      </c>
      <c r="Y361" s="59"/>
      <c r="Z361" s="53"/>
      <c r="AA361" s="58"/>
      <c r="AB361" s="76" t="s">
        <v>156</v>
      </c>
      <c r="AC361" s="53" t="s">
        <v>157</v>
      </c>
      <c r="AD361" s="53" t="s">
        <v>157</v>
      </c>
      <c r="AE361" s="58"/>
      <c r="AF361" s="148"/>
      <c r="AG361" s="74" t="s">
        <v>228</v>
      </c>
      <c r="AH361" s="53" t="s">
        <v>155</v>
      </c>
      <c r="AI361" s="58"/>
      <c r="AJ361" s="61" t="s">
        <v>1184</v>
      </c>
      <c r="AK361" s="68" t="s">
        <v>156</v>
      </c>
      <c r="AL361" s="59" t="s">
        <v>366</v>
      </c>
      <c r="AM361" s="74" t="s">
        <v>1185</v>
      </c>
      <c r="AN361" s="65" t="s">
        <v>1186</v>
      </c>
      <c r="AO361" s="53" t="s">
        <v>632</v>
      </c>
      <c r="AP361" s="64" t="s">
        <v>1187</v>
      </c>
      <c r="AQ361" s="67" t="s">
        <v>968</v>
      </c>
      <c r="AR361" s="41"/>
      <c r="AS361" s="58"/>
      <c r="AT361" s="53"/>
      <c r="AU361" s="54"/>
      <c r="AV361" s="54">
        <v>7140231</v>
      </c>
      <c r="AW361" s="53">
        <v>149</v>
      </c>
      <c r="AX361" s="60"/>
      <c r="AY361" s="40"/>
      <c r="AZ361" s="40"/>
      <c r="BI361" s="36"/>
      <c r="BJ361" s="36"/>
      <c r="BK361" s="37"/>
      <c r="BN361" s="16"/>
      <c r="BO361" s="16"/>
    </row>
    <row r="362" spans="1:67" s="67" customFormat="1" ht="16.5" customHeight="1" x14ac:dyDescent="0.25">
      <c r="A362" s="16"/>
      <c r="B362" s="68">
        <f>SUBTOTAL(103,$K$359:K362)</f>
        <v>4</v>
      </c>
      <c r="C362" s="59" t="s">
        <v>194</v>
      </c>
      <c r="D362" s="53" t="s">
        <v>158</v>
      </c>
      <c r="E362" s="68" t="s">
        <v>19</v>
      </c>
      <c r="F362" s="53" t="s">
        <v>106</v>
      </c>
      <c r="G362" s="59" t="s">
        <v>4803</v>
      </c>
      <c r="H362" s="53" t="s">
        <v>4797</v>
      </c>
      <c r="I362" s="58" t="s">
        <v>1188</v>
      </c>
      <c r="J362" s="58" t="s">
        <v>1032</v>
      </c>
      <c r="K362" s="103" t="s">
        <v>4237</v>
      </c>
      <c r="L362" s="68" t="s">
        <v>170</v>
      </c>
      <c r="M362" s="68">
        <v>1</v>
      </c>
      <c r="N362" s="68" t="s">
        <v>150</v>
      </c>
      <c r="O362" s="73" t="s">
        <v>5032</v>
      </c>
      <c r="P362" s="59" t="s">
        <v>3894</v>
      </c>
      <c r="Q362" s="58" t="s">
        <v>26</v>
      </c>
      <c r="R362" s="53">
        <v>2019</v>
      </c>
      <c r="S362" s="68" t="s">
        <v>153</v>
      </c>
      <c r="T362" s="53" t="s">
        <v>1189</v>
      </c>
      <c r="U362" s="53" t="s">
        <v>1190</v>
      </c>
      <c r="V362" s="53"/>
      <c r="W362" s="59"/>
      <c r="X362" s="57" t="s">
        <v>4237</v>
      </c>
      <c r="Y362" s="59"/>
      <c r="Z362" s="53"/>
      <c r="AA362" s="58"/>
      <c r="AB362" s="76" t="s">
        <v>156</v>
      </c>
      <c r="AC362" s="53" t="s">
        <v>157</v>
      </c>
      <c r="AD362" s="53"/>
      <c r="AE362" s="58">
        <v>4</v>
      </c>
      <c r="AF362" s="148"/>
      <c r="AG362" s="58" t="s">
        <v>228</v>
      </c>
      <c r="AH362" s="53" t="s">
        <v>155</v>
      </c>
      <c r="AI362" s="58"/>
      <c r="AJ362" s="61" t="s">
        <v>1191</v>
      </c>
      <c r="AK362" s="68" t="s">
        <v>156</v>
      </c>
      <c r="AL362" s="59" t="s">
        <v>229</v>
      </c>
      <c r="AM362" s="64" t="s">
        <v>649</v>
      </c>
      <c r="AN362" s="65" t="s">
        <v>1192</v>
      </c>
      <c r="AO362" s="72" t="s">
        <v>164</v>
      </c>
      <c r="AP362" s="64" t="s">
        <v>1193</v>
      </c>
      <c r="AQ362" s="67" t="s">
        <v>865</v>
      </c>
      <c r="AR362" s="41"/>
      <c r="AS362" s="58"/>
      <c r="AT362" s="53"/>
      <c r="AU362" s="54"/>
      <c r="AV362" s="54">
        <v>7140231</v>
      </c>
      <c r="AW362" s="53">
        <v>150</v>
      </c>
      <c r="AX362" s="60"/>
      <c r="AY362" s="40"/>
      <c r="AZ362" s="40"/>
      <c r="BI362" s="36"/>
      <c r="BJ362" s="36"/>
      <c r="BK362" s="37"/>
      <c r="BN362" s="16"/>
      <c r="BO362" s="16"/>
    </row>
    <row r="363" spans="1:67" s="67" customFormat="1" ht="16.5" customHeight="1" x14ac:dyDescent="0.25">
      <c r="A363" s="16"/>
      <c r="B363" s="68">
        <f>SUBTOTAL(103,$K$359:K363)</f>
        <v>5</v>
      </c>
      <c r="C363" s="59" t="s">
        <v>203</v>
      </c>
      <c r="D363" s="53" t="s">
        <v>158</v>
      </c>
      <c r="E363" s="68" t="s">
        <v>19</v>
      </c>
      <c r="F363" s="68" t="s">
        <v>106</v>
      </c>
      <c r="G363" s="59" t="s">
        <v>4803</v>
      </c>
      <c r="H363" s="53" t="s">
        <v>4798</v>
      </c>
      <c r="I363" s="58" t="s">
        <v>1194</v>
      </c>
      <c r="J363" s="58" t="s">
        <v>508</v>
      </c>
      <c r="K363" s="234" t="s">
        <v>4238</v>
      </c>
      <c r="L363" s="53" t="s">
        <v>149</v>
      </c>
      <c r="M363" s="53">
        <v>0</v>
      </c>
      <c r="N363" s="59" t="s">
        <v>441</v>
      </c>
      <c r="O363" s="73" t="s">
        <v>5032</v>
      </c>
      <c r="P363" s="59" t="s">
        <v>3894</v>
      </c>
      <c r="Q363" s="82" t="s">
        <v>29</v>
      </c>
      <c r="R363" s="53">
        <v>2024</v>
      </c>
      <c r="S363" s="59" t="s">
        <v>153</v>
      </c>
      <c r="T363" s="68" t="s">
        <v>710</v>
      </c>
      <c r="U363" s="68" t="s">
        <v>1195</v>
      </c>
      <c r="V363" s="53" t="s">
        <v>779</v>
      </c>
      <c r="W363" s="53" t="s">
        <v>236</v>
      </c>
      <c r="X363" s="81" t="s">
        <v>4238</v>
      </c>
      <c r="Y363" s="59" t="s">
        <v>1121</v>
      </c>
      <c r="Z363" s="53" t="s">
        <v>1196</v>
      </c>
      <c r="AA363" s="58"/>
      <c r="AB363" s="76" t="s">
        <v>156</v>
      </c>
      <c r="AC363" s="53" t="s">
        <v>157</v>
      </c>
      <c r="AD363" s="53" t="s">
        <v>157</v>
      </c>
      <c r="AE363" s="58"/>
      <c r="AF363" s="148"/>
      <c r="AG363" s="59" t="s">
        <v>228</v>
      </c>
      <c r="AH363" s="59" t="s">
        <v>155</v>
      </c>
      <c r="AI363" s="58"/>
      <c r="AJ363" s="161" t="s">
        <v>1197</v>
      </c>
      <c r="AK363" s="68" t="s">
        <v>156</v>
      </c>
      <c r="AL363" s="59" t="s">
        <v>413</v>
      </c>
      <c r="AM363" s="74" t="s">
        <v>1198</v>
      </c>
      <c r="AN363" s="65" t="s">
        <v>1199</v>
      </c>
      <c r="AO363" s="53" t="s">
        <v>164</v>
      </c>
      <c r="AP363" s="64"/>
      <c r="AQ363" s="67" t="s">
        <v>180</v>
      </c>
      <c r="AR363" s="41"/>
      <c r="AS363" s="58"/>
      <c r="AT363" s="53"/>
      <c r="AU363" s="54"/>
      <c r="AV363" s="54">
        <v>7140231</v>
      </c>
      <c r="AW363" s="53">
        <v>151</v>
      </c>
      <c r="AX363" s="60"/>
      <c r="AY363" s="40"/>
      <c r="AZ363" s="40"/>
      <c r="BI363" s="36"/>
      <c r="BJ363" s="36"/>
      <c r="BK363" s="37"/>
      <c r="BN363" s="16"/>
      <c r="BO363" s="16"/>
    </row>
    <row r="364" spans="1:67" s="67" customFormat="1" ht="16.5" customHeight="1" x14ac:dyDescent="0.25">
      <c r="A364" s="16"/>
      <c r="B364" s="68">
        <f>SUBTOTAL(103,$K$359:K364)</f>
        <v>6</v>
      </c>
      <c r="C364" s="59" t="s">
        <v>212</v>
      </c>
      <c r="D364" s="53" t="s">
        <v>158</v>
      </c>
      <c r="E364" s="68" t="s">
        <v>19</v>
      </c>
      <c r="F364" s="53" t="s">
        <v>639</v>
      </c>
      <c r="G364" s="59" t="s">
        <v>4803</v>
      </c>
      <c r="H364" s="53" t="s">
        <v>4799</v>
      </c>
      <c r="I364" s="58" t="s">
        <v>1200</v>
      </c>
      <c r="J364" s="58" t="s">
        <v>652</v>
      </c>
      <c r="K364" s="103" t="s">
        <v>4239</v>
      </c>
      <c r="L364" s="68" t="s">
        <v>170</v>
      </c>
      <c r="M364" s="68">
        <v>1</v>
      </c>
      <c r="N364" s="68" t="s">
        <v>150</v>
      </c>
      <c r="O364" s="73" t="s">
        <v>5032</v>
      </c>
      <c r="P364" s="59" t="s">
        <v>3894</v>
      </c>
      <c r="Q364" s="58"/>
      <c r="R364" s="53">
        <v>2022</v>
      </c>
      <c r="S364" s="68" t="s">
        <v>153</v>
      </c>
      <c r="T364" s="53" t="s">
        <v>1201</v>
      </c>
      <c r="U364" s="53"/>
      <c r="V364" s="53" t="s">
        <v>779</v>
      </c>
      <c r="W364" s="53" t="s">
        <v>236</v>
      </c>
      <c r="X364" s="57" t="s">
        <v>4239</v>
      </c>
      <c r="Y364" s="53" t="s">
        <v>1202</v>
      </c>
      <c r="Z364" s="53" t="s">
        <v>911</v>
      </c>
      <c r="AA364" s="58"/>
      <c r="AB364" s="76" t="s">
        <v>156</v>
      </c>
      <c r="AC364" s="53" t="s">
        <v>157</v>
      </c>
      <c r="AD364" s="53" t="s">
        <v>157</v>
      </c>
      <c r="AE364" s="58"/>
      <c r="AF364" s="148"/>
      <c r="AG364" s="74" t="s">
        <v>1203</v>
      </c>
      <c r="AH364" s="53"/>
      <c r="AI364" s="64" t="s">
        <v>281</v>
      </c>
      <c r="AJ364" s="61" t="s">
        <v>1204</v>
      </c>
      <c r="AK364" s="68" t="s">
        <v>156</v>
      </c>
      <c r="AL364" s="71" t="s">
        <v>483</v>
      </c>
      <c r="AM364" s="74" t="s">
        <v>1205</v>
      </c>
      <c r="AN364" s="65" t="s">
        <v>1206</v>
      </c>
      <c r="AO364" s="53" t="s">
        <v>1207</v>
      </c>
      <c r="AP364" s="64"/>
      <c r="AQ364" s="67" t="s">
        <v>1208</v>
      </c>
      <c r="AR364" s="41"/>
      <c r="AS364" s="58"/>
      <c r="AT364" s="53"/>
      <c r="AU364" s="54"/>
      <c r="AV364" s="54">
        <v>7140231</v>
      </c>
      <c r="AW364" s="53">
        <v>152</v>
      </c>
      <c r="AX364" s="60"/>
      <c r="AY364" s="40"/>
      <c r="AZ364" s="40"/>
      <c r="BI364" s="36"/>
      <c r="BJ364" s="36"/>
      <c r="BK364" s="37"/>
      <c r="BN364" s="16"/>
      <c r="BO364" s="16"/>
    </row>
    <row r="365" spans="1:67" s="67" customFormat="1" ht="16.5" customHeight="1" x14ac:dyDescent="0.25">
      <c r="A365" s="16"/>
      <c r="B365" s="68">
        <f>SUBTOTAL(103,$K$359:K365)</f>
        <v>7</v>
      </c>
      <c r="C365" s="59" t="s">
        <v>225</v>
      </c>
      <c r="D365" s="53" t="s">
        <v>158</v>
      </c>
      <c r="E365" s="68" t="s">
        <v>19</v>
      </c>
      <c r="F365" s="53" t="s">
        <v>639</v>
      </c>
      <c r="G365" s="59" t="s">
        <v>4803</v>
      </c>
      <c r="H365" s="53" t="s">
        <v>4800</v>
      </c>
      <c r="I365" s="58" t="s">
        <v>1209</v>
      </c>
      <c r="J365" s="58" t="s">
        <v>1210</v>
      </c>
      <c r="K365" s="103" t="s">
        <v>4240</v>
      </c>
      <c r="L365" s="68" t="s">
        <v>149</v>
      </c>
      <c r="M365" s="53">
        <v>0</v>
      </c>
      <c r="N365" s="68" t="s">
        <v>150</v>
      </c>
      <c r="O365" s="73" t="s">
        <v>5032</v>
      </c>
      <c r="P365" s="59" t="s">
        <v>3894</v>
      </c>
      <c r="Q365" s="58"/>
      <c r="R365" s="53">
        <v>2019</v>
      </c>
      <c r="S365" s="68"/>
      <c r="T365" s="53"/>
      <c r="U365" s="53"/>
      <c r="V365" s="53" t="s">
        <v>779</v>
      </c>
      <c r="W365" s="59" t="s">
        <v>236</v>
      </c>
      <c r="X365" s="57" t="s">
        <v>4240</v>
      </c>
      <c r="Y365" s="59" t="s">
        <v>1211</v>
      </c>
      <c r="Z365" s="53" t="s">
        <v>786</v>
      </c>
      <c r="AA365" s="58"/>
      <c r="AB365" s="76" t="s">
        <v>156</v>
      </c>
      <c r="AC365" s="53" t="s">
        <v>157</v>
      </c>
      <c r="AD365" s="53" t="s">
        <v>157</v>
      </c>
      <c r="AE365" s="58"/>
      <c r="AF365" s="148"/>
      <c r="AG365" s="58" t="s">
        <v>1212</v>
      </c>
      <c r="AH365" s="53"/>
      <c r="AI365" s="58"/>
      <c r="AJ365" s="61" t="s">
        <v>1213</v>
      </c>
      <c r="AK365" s="68" t="s">
        <v>156</v>
      </c>
      <c r="AL365" s="59" t="s">
        <v>229</v>
      </c>
      <c r="AM365" s="64" t="s">
        <v>1147</v>
      </c>
      <c r="AN365" s="65" t="s">
        <v>1214</v>
      </c>
      <c r="AO365" s="72" t="s">
        <v>164</v>
      </c>
      <c r="AP365" s="64"/>
      <c r="AQ365" s="67" t="s">
        <v>865</v>
      </c>
      <c r="AR365" s="41"/>
      <c r="AS365" s="63"/>
      <c r="AT365" s="53"/>
      <c r="AU365" s="54"/>
      <c r="AV365" s="54">
        <v>7140231</v>
      </c>
      <c r="AW365" s="53">
        <v>153</v>
      </c>
      <c r="AX365" s="60"/>
      <c r="AY365" s="40"/>
      <c r="AZ365" s="40"/>
      <c r="BI365" s="36"/>
      <c r="BJ365" s="36"/>
      <c r="BK365" s="37"/>
      <c r="BN365" s="16"/>
      <c r="BO365" s="16"/>
    </row>
    <row r="366" spans="1:67" s="67" customFormat="1" ht="16.5" customHeight="1" x14ac:dyDescent="0.25">
      <c r="A366" s="16"/>
      <c r="B366" s="68">
        <f>SUBTOTAL(103,$K$359:K366)</f>
        <v>8</v>
      </c>
      <c r="C366" s="59" t="s">
        <v>233</v>
      </c>
      <c r="D366" s="53" t="s">
        <v>158</v>
      </c>
      <c r="E366" s="68" t="s">
        <v>19</v>
      </c>
      <c r="F366" s="59" t="s">
        <v>639</v>
      </c>
      <c r="G366" s="59" t="s">
        <v>4803</v>
      </c>
      <c r="H366" s="53" t="s">
        <v>4801</v>
      </c>
      <c r="I366" s="73" t="s">
        <v>1215</v>
      </c>
      <c r="J366" s="74" t="s">
        <v>627</v>
      </c>
      <c r="K366" s="75" t="s">
        <v>4241</v>
      </c>
      <c r="L366" s="59" t="s">
        <v>170</v>
      </c>
      <c r="M366" s="68">
        <v>1</v>
      </c>
      <c r="N366" s="59" t="s">
        <v>150</v>
      </c>
      <c r="O366" s="73" t="s">
        <v>5032</v>
      </c>
      <c r="P366" s="59" t="s">
        <v>3894</v>
      </c>
      <c r="Q366" s="58"/>
      <c r="R366" s="59" t="s">
        <v>1216</v>
      </c>
      <c r="S366" s="59"/>
      <c r="T366" s="59"/>
      <c r="U366" s="59"/>
      <c r="V366" s="59" t="s">
        <v>779</v>
      </c>
      <c r="W366" s="59" t="s">
        <v>236</v>
      </c>
      <c r="X366" s="75" t="s">
        <v>4241</v>
      </c>
      <c r="Y366" s="59" t="s">
        <v>1217</v>
      </c>
      <c r="Z366" s="59" t="s">
        <v>1218</v>
      </c>
      <c r="AA366" s="58"/>
      <c r="AB366" s="76" t="s">
        <v>156</v>
      </c>
      <c r="AC366" s="59" t="s">
        <v>157</v>
      </c>
      <c r="AD366" s="59" t="s">
        <v>157</v>
      </c>
      <c r="AE366" s="59"/>
      <c r="AF366" s="59"/>
      <c r="AG366" s="59" t="s">
        <v>1145</v>
      </c>
      <c r="AH366" s="59"/>
      <c r="AI366" s="59"/>
      <c r="AJ366" s="77" t="s">
        <v>1219</v>
      </c>
      <c r="AK366" s="68" t="s">
        <v>156</v>
      </c>
      <c r="AL366" s="71" t="s">
        <v>229</v>
      </c>
      <c r="AM366" s="64" t="s">
        <v>822</v>
      </c>
      <c r="AN366" s="78" t="s">
        <v>1220</v>
      </c>
      <c r="AO366" s="59" t="s">
        <v>164</v>
      </c>
      <c r="AP366" s="64"/>
      <c r="AQ366" s="67" t="s">
        <v>166</v>
      </c>
      <c r="AR366" s="41"/>
      <c r="AS366" s="63"/>
      <c r="AT366" s="53"/>
      <c r="AU366" s="54"/>
      <c r="AV366" s="54">
        <v>7140231</v>
      </c>
      <c r="AW366" s="53">
        <v>154</v>
      </c>
      <c r="AX366" s="60"/>
      <c r="AY366" s="40"/>
      <c r="AZ366" s="40"/>
      <c r="BI366" s="36"/>
      <c r="BJ366" s="36"/>
      <c r="BK366" s="37"/>
      <c r="BN366" s="16"/>
      <c r="BO366" s="16"/>
    </row>
    <row r="367" spans="1:67" s="67" customFormat="1" ht="16.5" customHeight="1" x14ac:dyDescent="0.25">
      <c r="A367" s="16"/>
      <c r="B367" s="55"/>
      <c r="C367" s="49"/>
      <c r="D367" s="53"/>
      <c r="E367" s="53"/>
      <c r="F367" s="49"/>
      <c r="G367" s="49"/>
      <c r="H367" s="49"/>
      <c r="I367" s="56" t="s">
        <v>3558</v>
      </c>
      <c r="J367" s="49"/>
      <c r="K367" s="103"/>
      <c r="L367" s="53"/>
      <c r="M367" s="53"/>
      <c r="N367" s="53"/>
      <c r="O367" s="74"/>
      <c r="P367" s="59"/>
      <c r="Q367" s="58"/>
      <c r="R367" s="53"/>
      <c r="S367" s="53"/>
      <c r="T367" s="123"/>
      <c r="U367" s="99"/>
      <c r="V367" s="99"/>
      <c r="W367" s="53"/>
      <c r="X367" s="103"/>
      <c r="Y367" s="68"/>
      <c r="Z367" s="68"/>
      <c r="AA367" s="58"/>
      <c r="AB367" s="60"/>
      <c r="AC367" s="58"/>
      <c r="AD367" s="58"/>
      <c r="AE367" s="58"/>
      <c r="AF367" s="58"/>
      <c r="AG367" s="64"/>
      <c r="AH367" s="53"/>
      <c r="AI367" s="58"/>
      <c r="AJ367" s="140"/>
      <c r="AK367" s="58"/>
      <c r="AL367" s="58"/>
      <c r="AM367" s="58"/>
      <c r="AN367" s="57"/>
      <c r="AO367" s="58"/>
      <c r="AP367" s="58"/>
      <c r="AQ367" s="201"/>
      <c r="AR367" s="64"/>
      <c r="AS367" s="64"/>
      <c r="AT367" s="53"/>
      <c r="AU367" s="54"/>
      <c r="AV367" s="54">
        <v>7140231</v>
      </c>
      <c r="AW367" s="53">
        <v>560</v>
      </c>
      <c r="AX367" s="60"/>
      <c r="AY367" s="40"/>
      <c r="AZ367" s="40"/>
      <c r="BI367" s="36"/>
      <c r="BJ367" s="36"/>
      <c r="BK367" s="37"/>
      <c r="BN367" s="16"/>
      <c r="BO367" s="16"/>
    </row>
    <row r="368" spans="1:67" s="67" customFormat="1" ht="16.5" customHeight="1" x14ac:dyDescent="0.25">
      <c r="A368" s="16"/>
      <c r="B368" s="68">
        <f>SUBTOTAL(103,$K$359:K368)</f>
        <v>9</v>
      </c>
      <c r="C368" s="59" t="s">
        <v>146</v>
      </c>
      <c r="D368" s="53" t="s">
        <v>2118</v>
      </c>
      <c r="E368" s="53" t="s">
        <v>19</v>
      </c>
      <c r="F368" s="53" t="s">
        <v>105</v>
      </c>
      <c r="G368" s="53" t="s">
        <v>4830</v>
      </c>
      <c r="H368" s="53" t="s">
        <v>4802</v>
      </c>
      <c r="I368" s="58" t="s">
        <v>399</v>
      </c>
      <c r="J368" s="58" t="s">
        <v>148</v>
      </c>
      <c r="K368" s="103" t="s">
        <v>4242</v>
      </c>
      <c r="L368" s="68" t="s">
        <v>170</v>
      </c>
      <c r="M368" s="68">
        <v>1</v>
      </c>
      <c r="N368" s="68" t="s">
        <v>150</v>
      </c>
      <c r="O368" s="58" t="s">
        <v>5033</v>
      </c>
      <c r="P368" s="59" t="s">
        <v>3894</v>
      </c>
      <c r="Q368" s="58" t="s">
        <v>3552</v>
      </c>
      <c r="R368" s="53">
        <v>2005</v>
      </c>
      <c r="S368" s="53" t="s">
        <v>337</v>
      </c>
      <c r="T368" s="53">
        <v>6.42</v>
      </c>
      <c r="U368" s="53"/>
      <c r="V368" s="53"/>
      <c r="W368" s="53"/>
      <c r="X368" s="197" t="s">
        <v>4242</v>
      </c>
      <c r="Y368" s="53"/>
      <c r="Z368" s="53"/>
      <c r="AA368" s="58"/>
      <c r="AB368" s="60" t="s">
        <v>2163</v>
      </c>
      <c r="AC368" s="58" t="s">
        <v>157</v>
      </c>
      <c r="AD368" s="58"/>
      <c r="AE368" s="58"/>
      <c r="AF368" s="58"/>
      <c r="AG368" s="58" t="s">
        <v>2534</v>
      </c>
      <c r="AH368" s="53" t="s">
        <v>155</v>
      </c>
      <c r="AI368" s="58"/>
      <c r="AJ368" s="237" t="s">
        <v>3553</v>
      </c>
      <c r="AK368" s="58" t="s">
        <v>2298</v>
      </c>
      <c r="AL368" s="58" t="s">
        <v>3554</v>
      </c>
      <c r="AM368" s="58" t="s">
        <v>3555</v>
      </c>
      <c r="AN368" s="103" t="s">
        <v>3556</v>
      </c>
      <c r="AO368" s="64" t="s">
        <v>3557</v>
      </c>
      <c r="AP368" s="64"/>
      <c r="AQ368" s="201"/>
      <c r="AR368" s="58"/>
      <c r="AS368" s="63"/>
      <c r="AT368" s="53"/>
      <c r="AU368" s="54"/>
      <c r="AV368" s="54">
        <v>7140231</v>
      </c>
      <c r="AW368" s="53">
        <v>559</v>
      </c>
      <c r="AX368" s="60"/>
      <c r="BJ368" s="40"/>
      <c r="BK368" s="40"/>
      <c r="BN368" s="16"/>
      <c r="BO368" s="16"/>
    </row>
    <row r="369" spans="1:67" s="67" customFormat="1" ht="16.5" customHeight="1" x14ac:dyDescent="0.25">
      <c r="A369" s="16"/>
      <c r="B369" s="68">
        <f>SUBTOTAL(103,$K$359:K369)</f>
        <v>10</v>
      </c>
      <c r="C369" s="59" t="s">
        <v>167</v>
      </c>
      <c r="D369" s="53" t="s">
        <v>2118</v>
      </c>
      <c r="E369" s="53" t="s">
        <v>19</v>
      </c>
      <c r="F369" s="53" t="s">
        <v>105</v>
      </c>
      <c r="G369" s="53" t="s">
        <v>4830</v>
      </c>
      <c r="H369" s="53" t="s">
        <v>4804</v>
      </c>
      <c r="I369" s="58" t="s">
        <v>3559</v>
      </c>
      <c r="J369" s="58" t="s">
        <v>3560</v>
      </c>
      <c r="K369" s="234" t="s">
        <v>4243</v>
      </c>
      <c r="L369" s="68" t="s">
        <v>170</v>
      </c>
      <c r="M369" s="68">
        <v>1</v>
      </c>
      <c r="N369" s="68" t="s">
        <v>2434</v>
      </c>
      <c r="O369" s="58" t="s">
        <v>5033</v>
      </c>
      <c r="P369" s="59" t="s">
        <v>3894</v>
      </c>
      <c r="Q369" s="58" t="s">
        <v>3561</v>
      </c>
      <c r="R369" s="68">
        <v>2010</v>
      </c>
      <c r="S369" s="68" t="s">
        <v>197</v>
      </c>
      <c r="T369" s="68" t="s">
        <v>501</v>
      </c>
      <c r="U369" s="252"/>
      <c r="V369" s="107" t="s">
        <v>423</v>
      </c>
      <c r="W369" s="107" t="s">
        <v>248</v>
      </c>
      <c r="X369" s="81" t="s">
        <v>4243</v>
      </c>
      <c r="Y369" s="53"/>
      <c r="Z369" s="68"/>
      <c r="AA369" s="58"/>
      <c r="AB369" s="60" t="s">
        <v>3562</v>
      </c>
      <c r="AC369" s="58"/>
      <c r="AD369" s="58" t="s">
        <v>157</v>
      </c>
      <c r="AE369" s="58" t="s">
        <v>157</v>
      </c>
      <c r="AF369" s="58"/>
      <c r="AG369" s="58" t="s">
        <v>2234</v>
      </c>
      <c r="AH369" s="53" t="s">
        <v>155</v>
      </c>
      <c r="AI369" s="58" t="s">
        <v>3563</v>
      </c>
      <c r="AJ369" s="140" t="s">
        <v>3564</v>
      </c>
      <c r="AK369" s="58" t="s">
        <v>3565</v>
      </c>
      <c r="AL369" s="58" t="s">
        <v>3566</v>
      </c>
      <c r="AM369" s="58" t="s">
        <v>3567</v>
      </c>
      <c r="AN369" s="57" t="s">
        <v>3568</v>
      </c>
      <c r="AO369" s="64"/>
      <c r="AP369" s="58"/>
      <c r="AQ369" s="64" t="s">
        <v>3569</v>
      </c>
      <c r="AR369" s="102" t="s">
        <v>3875</v>
      </c>
      <c r="AS369" s="58"/>
      <c r="AT369" s="53"/>
      <c r="AU369" s="54"/>
      <c r="AV369" s="54">
        <v>7140231</v>
      </c>
      <c r="AW369" s="53">
        <v>561</v>
      </c>
      <c r="AX369" s="60"/>
      <c r="AY369" s="40"/>
      <c r="AZ369" s="40"/>
      <c r="BI369" s="36"/>
      <c r="BJ369" s="36"/>
      <c r="BK369" s="37"/>
      <c r="BN369" s="16"/>
      <c r="BO369" s="16"/>
    </row>
    <row r="370" spans="1:67" s="67" customFormat="1" ht="16.5" customHeight="1" x14ac:dyDescent="0.25">
      <c r="A370" s="16"/>
      <c r="B370" s="68">
        <f>SUBTOTAL(103,$K$359:K370)</f>
        <v>11</v>
      </c>
      <c r="C370" s="59" t="s">
        <v>181</v>
      </c>
      <c r="D370" s="53" t="s">
        <v>2118</v>
      </c>
      <c r="E370" s="53" t="s">
        <v>19</v>
      </c>
      <c r="F370" s="53" t="s">
        <v>105</v>
      </c>
      <c r="G370" s="53" t="s">
        <v>4830</v>
      </c>
      <c r="H370" s="53" t="s">
        <v>4805</v>
      </c>
      <c r="I370" s="58" t="s">
        <v>3570</v>
      </c>
      <c r="J370" s="58" t="s">
        <v>3571</v>
      </c>
      <c r="K370" s="234" t="s">
        <v>3977</v>
      </c>
      <c r="L370" s="68" t="s">
        <v>170</v>
      </c>
      <c r="M370" s="68">
        <v>1</v>
      </c>
      <c r="N370" s="68" t="s">
        <v>2434</v>
      </c>
      <c r="O370" s="58" t="s">
        <v>5033</v>
      </c>
      <c r="P370" s="59" t="s">
        <v>3894</v>
      </c>
      <c r="Q370" s="58" t="s">
        <v>2489</v>
      </c>
      <c r="R370" s="68">
        <v>2016</v>
      </c>
      <c r="S370" s="68" t="s">
        <v>197</v>
      </c>
      <c r="T370" s="68" t="s">
        <v>1044</v>
      </c>
      <c r="U370" s="68"/>
      <c r="V370" s="53"/>
      <c r="W370" s="53"/>
      <c r="X370" s="153" t="s">
        <v>3977</v>
      </c>
      <c r="Y370" s="53"/>
      <c r="Z370" s="68"/>
      <c r="AA370" s="58"/>
      <c r="AB370" s="60" t="s">
        <v>2626</v>
      </c>
      <c r="AC370" s="58"/>
      <c r="AD370" s="58" t="s">
        <v>157</v>
      </c>
      <c r="AE370" s="58" t="s">
        <v>157</v>
      </c>
      <c r="AF370" s="58"/>
      <c r="AG370" s="58" t="s">
        <v>3572</v>
      </c>
      <c r="AH370" s="53" t="s">
        <v>155</v>
      </c>
      <c r="AI370" s="58"/>
      <c r="AJ370" s="237" t="s">
        <v>3573</v>
      </c>
      <c r="AK370" s="58" t="s">
        <v>2626</v>
      </c>
      <c r="AL370" s="58" t="s">
        <v>3574</v>
      </c>
      <c r="AM370" s="58" t="s">
        <v>3575</v>
      </c>
      <c r="AN370" s="103" t="s">
        <v>3576</v>
      </c>
      <c r="AO370" s="64" t="s">
        <v>498</v>
      </c>
      <c r="AP370" s="158"/>
      <c r="AQ370" s="64"/>
      <c r="AR370" s="102" t="s">
        <v>392</v>
      </c>
      <c r="AS370" s="158"/>
      <c r="AT370" s="53"/>
      <c r="AU370" s="54"/>
      <c r="AV370" s="54">
        <v>7140231</v>
      </c>
      <c r="AW370" s="53">
        <v>562</v>
      </c>
      <c r="AX370" s="60"/>
      <c r="AY370" s="40"/>
      <c r="AZ370" s="40"/>
      <c r="BI370" s="36"/>
      <c r="BJ370" s="36"/>
      <c r="BK370" s="37"/>
      <c r="BN370" s="16"/>
      <c r="BO370" s="16"/>
    </row>
    <row r="371" spans="1:67" s="67" customFormat="1" ht="16.5" customHeight="1" x14ac:dyDescent="0.25">
      <c r="A371" s="16"/>
      <c r="B371" s="68">
        <f>SUBTOTAL(103,$K$359:K371)</f>
        <v>12</v>
      </c>
      <c r="C371" s="59" t="s">
        <v>194</v>
      </c>
      <c r="D371" s="53" t="s">
        <v>2118</v>
      </c>
      <c r="E371" s="53" t="s">
        <v>19</v>
      </c>
      <c r="F371" s="53" t="s">
        <v>105</v>
      </c>
      <c r="G371" s="53" t="s">
        <v>4830</v>
      </c>
      <c r="H371" s="53" t="s">
        <v>4806</v>
      </c>
      <c r="I371" s="58" t="s">
        <v>2488</v>
      </c>
      <c r="J371" s="64" t="s">
        <v>532</v>
      </c>
      <c r="K371" s="103" t="s">
        <v>4244</v>
      </c>
      <c r="L371" s="68" t="s">
        <v>170</v>
      </c>
      <c r="M371" s="68">
        <v>1</v>
      </c>
      <c r="N371" s="68" t="s">
        <v>150</v>
      </c>
      <c r="O371" s="58" t="s">
        <v>5033</v>
      </c>
      <c r="P371" s="59" t="s">
        <v>3894</v>
      </c>
      <c r="Q371" s="58" t="s">
        <v>23</v>
      </c>
      <c r="R371" s="53">
        <v>2023</v>
      </c>
      <c r="S371" s="53" t="s">
        <v>236</v>
      </c>
      <c r="T371" s="53">
        <v>8.0399999999999991</v>
      </c>
      <c r="U371" s="53"/>
      <c r="V371" s="53" t="s">
        <v>1183</v>
      </c>
      <c r="W371" s="53" t="s">
        <v>153</v>
      </c>
      <c r="X371" s="197" t="s">
        <v>4244</v>
      </c>
      <c r="Y371" s="53"/>
      <c r="Z371" s="53"/>
      <c r="AA371" s="58"/>
      <c r="AB371" s="60" t="s">
        <v>253</v>
      </c>
      <c r="AC371" s="58" t="s">
        <v>157</v>
      </c>
      <c r="AD371" s="58" t="s">
        <v>157</v>
      </c>
      <c r="AE371" s="58"/>
      <c r="AF371" s="58"/>
      <c r="AG371" s="58" t="s">
        <v>3577</v>
      </c>
      <c r="AH371" s="53" t="s">
        <v>155</v>
      </c>
      <c r="AI371" s="58" t="s">
        <v>3578</v>
      </c>
      <c r="AJ371" s="101" t="s">
        <v>3579</v>
      </c>
      <c r="AK371" s="58" t="s">
        <v>253</v>
      </c>
      <c r="AL371" s="102" t="s">
        <v>2236</v>
      </c>
      <c r="AM371" s="58" t="s">
        <v>3580</v>
      </c>
      <c r="AN371" s="103" t="s">
        <v>3581</v>
      </c>
      <c r="AO371" s="64" t="s">
        <v>2827</v>
      </c>
      <c r="AP371" s="66"/>
      <c r="AQ371" s="58"/>
      <c r="AR371" s="63"/>
      <c r="AS371" s="58"/>
      <c r="AT371" s="53"/>
      <c r="AU371" s="54"/>
      <c r="AV371" s="54">
        <v>7140231</v>
      </c>
      <c r="AW371" s="53">
        <v>563</v>
      </c>
      <c r="AX371" s="60"/>
      <c r="BJ371" s="40"/>
      <c r="BK371" s="40"/>
      <c r="BN371" s="16"/>
      <c r="BO371" s="16"/>
    </row>
    <row r="372" spans="1:67" s="67" customFormat="1" ht="16.5" customHeight="1" x14ac:dyDescent="0.25">
      <c r="A372" s="16"/>
      <c r="B372" s="68">
        <f>SUBTOTAL(103,$K$359:K372)</f>
        <v>13</v>
      </c>
      <c r="C372" s="59" t="s">
        <v>203</v>
      </c>
      <c r="D372" s="53" t="s">
        <v>2118</v>
      </c>
      <c r="E372" s="53" t="s">
        <v>19</v>
      </c>
      <c r="F372" s="53" t="s">
        <v>105</v>
      </c>
      <c r="G372" s="53" t="s">
        <v>4830</v>
      </c>
      <c r="H372" s="53" t="s">
        <v>4807</v>
      </c>
      <c r="I372" s="58" t="s">
        <v>3582</v>
      </c>
      <c r="J372" s="64" t="s">
        <v>556</v>
      </c>
      <c r="K372" s="103" t="s">
        <v>4245</v>
      </c>
      <c r="L372" s="68" t="s">
        <v>170</v>
      </c>
      <c r="M372" s="68">
        <v>1</v>
      </c>
      <c r="N372" s="68" t="s">
        <v>150</v>
      </c>
      <c r="O372" s="58" t="s">
        <v>5033</v>
      </c>
      <c r="P372" s="59" t="s">
        <v>3894</v>
      </c>
      <c r="Q372" s="58" t="s">
        <v>23</v>
      </c>
      <c r="R372" s="53">
        <v>2016</v>
      </c>
      <c r="S372" s="53" t="s">
        <v>153</v>
      </c>
      <c r="T372" s="53">
        <v>7.12</v>
      </c>
      <c r="U372" s="53"/>
      <c r="V372" s="53"/>
      <c r="W372" s="53"/>
      <c r="X372" s="57" t="s">
        <v>4245</v>
      </c>
      <c r="Y372" s="53"/>
      <c r="Z372" s="53"/>
      <c r="AA372" s="58"/>
      <c r="AB372" s="60" t="s">
        <v>2233</v>
      </c>
      <c r="AC372" s="58"/>
      <c r="AD372" s="58"/>
      <c r="AE372" s="58"/>
      <c r="AF372" s="58"/>
      <c r="AG372" s="58" t="s">
        <v>2234</v>
      </c>
      <c r="AH372" s="53" t="s">
        <v>155</v>
      </c>
      <c r="AI372" s="58" t="s">
        <v>3583</v>
      </c>
      <c r="AJ372" s="101" t="s">
        <v>3584</v>
      </c>
      <c r="AK372" s="64" t="s">
        <v>2233</v>
      </c>
      <c r="AL372" s="64" t="s">
        <v>3585</v>
      </c>
      <c r="AM372" s="58" t="s">
        <v>3586</v>
      </c>
      <c r="AN372" s="103" t="s">
        <v>3587</v>
      </c>
      <c r="AO372" s="64" t="s">
        <v>3588</v>
      </c>
      <c r="AP372" s="66"/>
      <c r="AQ372" s="58"/>
      <c r="AR372" s="58"/>
      <c r="AS372" s="58"/>
      <c r="AT372" s="53"/>
      <c r="AU372" s="54"/>
      <c r="AV372" s="54">
        <v>7140231</v>
      </c>
      <c r="AW372" s="53">
        <v>564</v>
      </c>
      <c r="AX372" s="60"/>
      <c r="BJ372" s="40"/>
      <c r="BK372" s="40"/>
      <c r="BN372" s="16"/>
      <c r="BO372" s="16"/>
    </row>
    <row r="373" spans="1:67" s="67" customFormat="1" ht="16.5" customHeight="1" x14ac:dyDescent="0.25">
      <c r="A373" s="16"/>
      <c r="B373" s="68">
        <f>SUBTOTAL(103,$K$359:K373)</f>
        <v>14</v>
      </c>
      <c r="C373" s="59" t="s">
        <v>212</v>
      </c>
      <c r="D373" s="53" t="s">
        <v>2118</v>
      </c>
      <c r="E373" s="53" t="s">
        <v>19</v>
      </c>
      <c r="F373" s="53" t="s">
        <v>106</v>
      </c>
      <c r="G373" s="53" t="s">
        <v>4830</v>
      </c>
      <c r="H373" s="53" t="s">
        <v>4808</v>
      </c>
      <c r="I373" s="58" t="s">
        <v>3589</v>
      </c>
      <c r="J373" s="58" t="s">
        <v>2657</v>
      </c>
      <c r="K373" s="234" t="s">
        <v>4246</v>
      </c>
      <c r="L373" s="68" t="s">
        <v>1067</v>
      </c>
      <c r="M373" s="68">
        <v>1</v>
      </c>
      <c r="N373" s="68" t="s">
        <v>3225</v>
      </c>
      <c r="O373" s="58" t="s">
        <v>5033</v>
      </c>
      <c r="P373" s="59" t="s">
        <v>3894</v>
      </c>
      <c r="Q373" s="58" t="s">
        <v>3590</v>
      </c>
      <c r="R373" s="68">
        <v>2012</v>
      </c>
      <c r="S373" s="68" t="s">
        <v>153</v>
      </c>
      <c r="T373" s="68"/>
      <c r="U373" s="68" t="s">
        <v>2619</v>
      </c>
      <c r="V373" s="53" t="s">
        <v>401</v>
      </c>
      <c r="W373" s="53" t="s">
        <v>248</v>
      </c>
      <c r="X373" s="81" t="s">
        <v>4246</v>
      </c>
      <c r="Y373" s="53"/>
      <c r="Z373" s="68"/>
      <c r="AA373" s="58"/>
      <c r="AB373" s="188" t="s">
        <v>156</v>
      </c>
      <c r="AC373" s="58"/>
      <c r="AD373" s="58" t="s">
        <v>157</v>
      </c>
      <c r="AE373" s="58" t="s">
        <v>157</v>
      </c>
      <c r="AF373" s="58"/>
      <c r="AG373" s="58" t="s">
        <v>3591</v>
      </c>
      <c r="AH373" s="53" t="s">
        <v>155</v>
      </c>
      <c r="AI373" s="58"/>
      <c r="AJ373" s="101" t="s">
        <v>3592</v>
      </c>
      <c r="AK373" s="64" t="s">
        <v>156</v>
      </c>
      <c r="AL373" s="64" t="s">
        <v>3593</v>
      </c>
      <c r="AM373" s="58" t="s">
        <v>3594</v>
      </c>
      <c r="AN373" s="103" t="s">
        <v>3595</v>
      </c>
      <c r="AO373" s="64" t="s">
        <v>2268</v>
      </c>
      <c r="AP373" s="58"/>
      <c r="AQ373" s="64"/>
      <c r="AR373" s="102" t="s">
        <v>3876</v>
      </c>
      <c r="AS373" s="53"/>
      <c r="AT373" s="53"/>
      <c r="AU373" s="54"/>
      <c r="AV373" s="54">
        <v>7140231</v>
      </c>
      <c r="AW373" s="53">
        <v>565</v>
      </c>
      <c r="AX373" s="60"/>
      <c r="AY373" s="40"/>
      <c r="AZ373" s="40"/>
      <c r="BI373" s="36"/>
      <c r="BJ373" s="36"/>
      <c r="BK373" s="37"/>
      <c r="BN373" s="16"/>
      <c r="BO373" s="16"/>
    </row>
    <row r="374" spans="1:67" s="67" customFormat="1" ht="16.5" customHeight="1" x14ac:dyDescent="0.25">
      <c r="A374" s="16"/>
      <c r="B374" s="68">
        <f>SUBTOTAL(103,$K$359:K374)</f>
        <v>15</v>
      </c>
      <c r="C374" s="59" t="s">
        <v>225</v>
      </c>
      <c r="D374" s="53" t="s">
        <v>2118</v>
      </c>
      <c r="E374" s="53" t="s">
        <v>19</v>
      </c>
      <c r="F374" s="53" t="s">
        <v>106</v>
      </c>
      <c r="G374" s="53" t="s">
        <v>4830</v>
      </c>
      <c r="H374" s="53" t="s">
        <v>4809</v>
      </c>
      <c r="I374" s="58" t="s">
        <v>3596</v>
      </c>
      <c r="J374" s="58" t="s">
        <v>3560</v>
      </c>
      <c r="K374" s="103" t="s">
        <v>4247</v>
      </c>
      <c r="L374" s="53" t="s">
        <v>170</v>
      </c>
      <c r="M374" s="68">
        <v>1</v>
      </c>
      <c r="N374" s="53" t="s">
        <v>150</v>
      </c>
      <c r="O374" s="58" t="s">
        <v>5033</v>
      </c>
      <c r="P374" s="59" t="s">
        <v>3894</v>
      </c>
      <c r="Q374" s="58" t="s">
        <v>32</v>
      </c>
      <c r="R374" s="53">
        <v>2018</v>
      </c>
      <c r="S374" s="53" t="s">
        <v>236</v>
      </c>
      <c r="T374" s="53" t="s">
        <v>693</v>
      </c>
      <c r="U374" s="53" t="s">
        <v>1766</v>
      </c>
      <c r="V374" s="53" t="s">
        <v>693</v>
      </c>
      <c r="W374" s="53" t="s">
        <v>236</v>
      </c>
      <c r="X374" s="57" t="s">
        <v>4247</v>
      </c>
      <c r="Y374" s="53"/>
      <c r="Z374" s="53"/>
      <c r="AA374" s="58"/>
      <c r="AB374" s="60" t="s">
        <v>253</v>
      </c>
      <c r="AC374" s="58" t="s">
        <v>157</v>
      </c>
      <c r="AD374" s="58" t="s">
        <v>157</v>
      </c>
      <c r="AE374" s="58">
        <v>5</v>
      </c>
      <c r="AF374" s="53" t="s">
        <v>253</v>
      </c>
      <c r="AG374" s="58" t="s">
        <v>2339</v>
      </c>
      <c r="AH374" s="53" t="s">
        <v>155</v>
      </c>
      <c r="AI374" s="58"/>
      <c r="AJ374" s="140" t="s">
        <v>3597</v>
      </c>
      <c r="AK374" s="58" t="s">
        <v>253</v>
      </c>
      <c r="AL374" s="58" t="s">
        <v>2437</v>
      </c>
      <c r="AM374" s="58" t="s">
        <v>3598</v>
      </c>
      <c r="AN374" s="234" t="s">
        <v>3599</v>
      </c>
      <c r="AO374" s="64"/>
      <c r="AP374" s="58"/>
      <c r="AQ374" s="64"/>
      <c r="AR374" s="152"/>
      <c r="AS374" s="53"/>
      <c r="AT374" s="53"/>
      <c r="AU374" s="201"/>
      <c r="AV374" s="54">
        <v>7140231</v>
      </c>
      <c r="AW374" s="53">
        <v>566</v>
      </c>
      <c r="AX374" s="60"/>
      <c r="BJ374" s="40"/>
      <c r="BK374" s="40"/>
      <c r="BN374" s="16"/>
      <c r="BO374" s="16"/>
    </row>
    <row r="375" spans="1:67" s="67" customFormat="1" ht="16.5" customHeight="1" x14ac:dyDescent="0.25">
      <c r="A375" s="16"/>
      <c r="B375" s="68">
        <f>SUBTOTAL(103,$K$359:K375)</f>
        <v>16</v>
      </c>
      <c r="C375" s="59" t="s">
        <v>233</v>
      </c>
      <c r="D375" s="53" t="s">
        <v>2118</v>
      </c>
      <c r="E375" s="53" t="s">
        <v>19</v>
      </c>
      <c r="F375" s="53" t="s">
        <v>106</v>
      </c>
      <c r="G375" s="53" t="s">
        <v>4830</v>
      </c>
      <c r="H375" s="53" t="s">
        <v>4810</v>
      </c>
      <c r="I375" s="58" t="s">
        <v>3600</v>
      </c>
      <c r="J375" s="64" t="s">
        <v>722</v>
      </c>
      <c r="K375" s="103" t="s">
        <v>4248</v>
      </c>
      <c r="L375" s="68" t="s">
        <v>170</v>
      </c>
      <c r="M375" s="68">
        <v>1</v>
      </c>
      <c r="N375" s="68" t="s">
        <v>150</v>
      </c>
      <c r="O375" s="58" t="s">
        <v>5033</v>
      </c>
      <c r="P375" s="59" t="s">
        <v>3894</v>
      </c>
      <c r="Q375" s="58" t="s">
        <v>23</v>
      </c>
      <c r="R375" s="53">
        <v>2023</v>
      </c>
      <c r="S375" s="53" t="s">
        <v>153</v>
      </c>
      <c r="T375" s="53"/>
      <c r="U375" s="53" t="s">
        <v>2333</v>
      </c>
      <c r="V375" s="53" t="s">
        <v>2370</v>
      </c>
      <c r="W375" s="53" t="s">
        <v>248</v>
      </c>
      <c r="X375" s="197" t="s">
        <v>4248</v>
      </c>
      <c r="Y375" s="53"/>
      <c r="Z375" s="53"/>
      <c r="AA375" s="58"/>
      <c r="AB375" s="60" t="s">
        <v>2211</v>
      </c>
      <c r="AC375" s="58" t="s">
        <v>157</v>
      </c>
      <c r="AD375" s="58" t="s">
        <v>157</v>
      </c>
      <c r="AE375" s="58"/>
      <c r="AF375" s="58"/>
      <c r="AG375" s="58" t="s">
        <v>2534</v>
      </c>
      <c r="AH375" s="53" t="s">
        <v>19</v>
      </c>
      <c r="AI375" s="58" t="s">
        <v>3601</v>
      </c>
      <c r="AJ375" s="101" t="s">
        <v>3602</v>
      </c>
      <c r="AK375" s="64" t="s">
        <v>3431</v>
      </c>
      <c r="AL375" s="64" t="s">
        <v>3603</v>
      </c>
      <c r="AM375" s="58" t="s">
        <v>3604</v>
      </c>
      <c r="AN375" s="103" t="s">
        <v>3605</v>
      </c>
      <c r="AO375" s="64" t="s">
        <v>758</v>
      </c>
      <c r="AP375" s="66"/>
      <c r="AQ375" s="58"/>
      <c r="AR375" s="58"/>
      <c r="AS375" s="58"/>
      <c r="AT375" s="53"/>
      <c r="AU375" s="54"/>
      <c r="AV375" s="54">
        <v>7140231</v>
      </c>
      <c r="AW375" s="53">
        <v>567</v>
      </c>
      <c r="AX375" s="60"/>
      <c r="BJ375" s="40"/>
      <c r="BK375" s="40"/>
      <c r="BN375" s="16"/>
      <c r="BO375" s="16"/>
    </row>
    <row r="376" spans="1:67" s="67" customFormat="1" ht="16.5" customHeight="1" x14ac:dyDescent="0.25">
      <c r="A376" s="16"/>
      <c r="B376" s="68">
        <f>SUBTOTAL(103,$K$359:K376)</f>
        <v>17</v>
      </c>
      <c r="C376" s="59" t="s">
        <v>244</v>
      </c>
      <c r="D376" s="53" t="s">
        <v>2118</v>
      </c>
      <c r="E376" s="53" t="s">
        <v>19</v>
      </c>
      <c r="F376" s="53" t="s">
        <v>106</v>
      </c>
      <c r="G376" s="53" t="s">
        <v>4830</v>
      </c>
      <c r="H376" s="53" t="s">
        <v>4811</v>
      </c>
      <c r="I376" s="58" t="s">
        <v>314</v>
      </c>
      <c r="J376" s="64" t="s">
        <v>1066</v>
      </c>
      <c r="K376" s="103" t="s">
        <v>4249</v>
      </c>
      <c r="L376" s="68" t="s">
        <v>170</v>
      </c>
      <c r="M376" s="68">
        <v>1</v>
      </c>
      <c r="N376" s="68" t="s">
        <v>150</v>
      </c>
      <c r="O376" s="58" t="s">
        <v>5033</v>
      </c>
      <c r="P376" s="59" t="s">
        <v>3894</v>
      </c>
      <c r="Q376" s="58" t="s">
        <v>2664</v>
      </c>
      <c r="R376" s="53">
        <v>2021</v>
      </c>
      <c r="S376" s="53" t="s">
        <v>153</v>
      </c>
      <c r="T376" s="53">
        <v>7.03</v>
      </c>
      <c r="U376" s="53">
        <v>2.78</v>
      </c>
      <c r="V376" s="53" t="s">
        <v>239</v>
      </c>
      <c r="W376" s="53" t="s">
        <v>153</v>
      </c>
      <c r="X376" s="197" t="s">
        <v>4249</v>
      </c>
      <c r="Y376" s="53"/>
      <c r="Z376" s="53"/>
      <c r="AA376" s="58"/>
      <c r="AB376" s="60" t="s">
        <v>253</v>
      </c>
      <c r="AC376" s="58" t="s">
        <v>157</v>
      </c>
      <c r="AD376" s="58" t="s">
        <v>157</v>
      </c>
      <c r="AE376" s="58"/>
      <c r="AF376" s="58"/>
      <c r="AG376" s="58" t="s">
        <v>2339</v>
      </c>
      <c r="AH376" s="53" t="s">
        <v>155</v>
      </c>
      <c r="AI376" s="58"/>
      <c r="AJ376" s="101" t="s">
        <v>3606</v>
      </c>
      <c r="AK376" s="64" t="s">
        <v>253</v>
      </c>
      <c r="AL376" s="64" t="s">
        <v>2831</v>
      </c>
      <c r="AM376" s="58" t="s">
        <v>3607</v>
      </c>
      <c r="AN376" s="103" t="s">
        <v>3608</v>
      </c>
      <c r="AO376" s="64" t="s">
        <v>2352</v>
      </c>
      <c r="AP376" s="64"/>
      <c r="AQ376" s="58"/>
      <c r="AR376" s="63"/>
      <c r="AS376" s="58"/>
      <c r="AT376" s="53"/>
      <c r="AU376" s="54"/>
      <c r="AV376" s="54">
        <v>7140231</v>
      </c>
      <c r="AW376" s="53">
        <v>568</v>
      </c>
      <c r="AX376" s="60"/>
      <c r="BJ376" s="40"/>
      <c r="BK376" s="40"/>
      <c r="BN376" s="16"/>
      <c r="BO376" s="16"/>
    </row>
    <row r="377" spans="1:67" s="67" customFormat="1" ht="16.5" customHeight="1" x14ac:dyDescent="0.25">
      <c r="A377" s="16"/>
      <c r="B377" s="68">
        <f>SUBTOTAL(103,$K$359:K377)</f>
        <v>18</v>
      </c>
      <c r="C377" s="59" t="s">
        <v>257</v>
      </c>
      <c r="D377" s="53" t="s">
        <v>2118</v>
      </c>
      <c r="E377" s="53" t="s">
        <v>19</v>
      </c>
      <c r="F377" s="53" t="s">
        <v>106</v>
      </c>
      <c r="G377" s="53" t="s">
        <v>4830</v>
      </c>
      <c r="H377" s="53" t="s">
        <v>4812</v>
      </c>
      <c r="I377" s="58" t="s">
        <v>3609</v>
      </c>
      <c r="J377" s="53" t="s">
        <v>3610</v>
      </c>
      <c r="K377" s="234" t="s">
        <v>4250</v>
      </c>
      <c r="L377" s="68" t="s">
        <v>170</v>
      </c>
      <c r="M377" s="68">
        <v>1</v>
      </c>
      <c r="N377" s="68" t="s">
        <v>150</v>
      </c>
      <c r="O377" s="58" t="s">
        <v>5033</v>
      </c>
      <c r="P377" s="59" t="s">
        <v>3894</v>
      </c>
      <c r="Q377" s="58" t="s">
        <v>545</v>
      </c>
      <c r="R377" s="68">
        <v>2018</v>
      </c>
      <c r="S377" s="68" t="s">
        <v>197</v>
      </c>
      <c r="T377" s="68" t="s">
        <v>1746</v>
      </c>
      <c r="U377" s="68"/>
      <c r="V377" s="53" t="s">
        <v>186</v>
      </c>
      <c r="W377" s="53" t="s">
        <v>153</v>
      </c>
      <c r="X377" s="153" t="s">
        <v>4250</v>
      </c>
      <c r="Y377" s="53"/>
      <c r="Z377" s="68"/>
      <c r="AA377" s="58"/>
      <c r="AB377" s="60" t="s">
        <v>2163</v>
      </c>
      <c r="AC377" s="58"/>
      <c r="AD377" s="58" t="s">
        <v>157</v>
      </c>
      <c r="AE377" s="58" t="s">
        <v>157</v>
      </c>
      <c r="AF377" s="58"/>
      <c r="AG377" s="58" t="s">
        <v>2680</v>
      </c>
      <c r="AH377" s="53" t="s">
        <v>155</v>
      </c>
      <c r="AI377" s="58" t="s">
        <v>2362</v>
      </c>
      <c r="AJ377" s="101" t="s">
        <v>3611</v>
      </c>
      <c r="AK377" s="64" t="s">
        <v>2163</v>
      </c>
      <c r="AL377" s="102" t="s">
        <v>3303</v>
      </c>
      <c r="AM377" s="58" t="s">
        <v>3612</v>
      </c>
      <c r="AN377" s="106" t="s">
        <v>3613</v>
      </c>
      <c r="AO377" s="64"/>
      <c r="AP377" s="58"/>
      <c r="AQ377" s="64" t="s">
        <v>3614</v>
      </c>
      <c r="AR377" s="102" t="s">
        <v>3877</v>
      </c>
      <c r="AS377" s="53"/>
      <c r="AT377" s="53"/>
      <c r="AU377" s="54"/>
      <c r="AV377" s="54">
        <v>7140231</v>
      </c>
      <c r="AW377" s="53">
        <v>569</v>
      </c>
      <c r="AX377" s="60"/>
      <c r="AY377" s="40"/>
      <c r="AZ377" s="40"/>
      <c r="BI377" s="36"/>
      <c r="BJ377" s="36"/>
      <c r="BK377" s="37"/>
      <c r="BN377" s="16"/>
      <c r="BO377" s="16"/>
    </row>
    <row r="378" spans="1:67" s="67" customFormat="1" ht="16.5" customHeight="1" x14ac:dyDescent="0.25">
      <c r="A378" s="16"/>
      <c r="B378" s="68">
        <f>SUBTOTAL(103,$K$359:K378)</f>
        <v>19</v>
      </c>
      <c r="C378" s="59" t="s">
        <v>268</v>
      </c>
      <c r="D378" s="53" t="s">
        <v>2118</v>
      </c>
      <c r="E378" s="53" t="s">
        <v>19</v>
      </c>
      <c r="F378" s="53" t="s">
        <v>106</v>
      </c>
      <c r="G378" s="53" t="s">
        <v>4830</v>
      </c>
      <c r="H378" s="53" t="s">
        <v>4813</v>
      </c>
      <c r="I378" s="58" t="s">
        <v>3615</v>
      </c>
      <c r="J378" s="64" t="s">
        <v>3616</v>
      </c>
      <c r="K378" s="103" t="s">
        <v>4251</v>
      </c>
      <c r="L378" s="68" t="s">
        <v>170</v>
      </c>
      <c r="M378" s="68">
        <v>1</v>
      </c>
      <c r="N378" s="68" t="s">
        <v>150</v>
      </c>
      <c r="O378" s="58" t="s">
        <v>5033</v>
      </c>
      <c r="P378" s="59" t="s">
        <v>3894</v>
      </c>
      <c r="Q378" s="58" t="s">
        <v>26</v>
      </c>
      <c r="R378" s="53">
        <v>2022</v>
      </c>
      <c r="S378" s="53" t="s">
        <v>236</v>
      </c>
      <c r="T378" s="53">
        <v>7.77</v>
      </c>
      <c r="U378" s="53">
        <v>3.23</v>
      </c>
      <c r="V378" s="53"/>
      <c r="W378" s="53"/>
      <c r="X378" s="197" t="s">
        <v>4251</v>
      </c>
      <c r="Y378" s="53"/>
      <c r="Z378" s="53"/>
      <c r="AA378" s="58"/>
      <c r="AB378" s="60" t="s">
        <v>2298</v>
      </c>
      <c r="AC378" s="58"/>
      <c r="AD378" s="58"/>
      <c r="AE378" s="58"/>
      <c r="AF378" s="58"/>
      <c r="AG378" s="58" t="s">
        <v>3617</v>
      </c>
      <c r="AH378" s="53" t="s">
        <v>155</v>
      </c>
      <c r="AI378" s="58"/>
      <c r="AJ378" s="101" t="s">
        <v>3618</v>
      </c>
      <c r="AK378" s="64" t="s">
        <v>2298</v>
      </c>
      <c r="AL378" s="64" t="s">
        <v>2988</v>
      </c>
      <c r="AM378" s="58" t="s">
        <v>3619</v>
      </c>
      <c r="AN378" s="189" t="s">
        <v>3620</v>
      </c>
      <c r="AO378" s="64" t="s">
        <v>3621</v>
      </c>
      <c r="AP378" s="64"/>
      <c r="AQ378" s="58"/>
      <c r="AR378" s="58"/>
      <c r="AS378" s="58"/>
      <c r="AT378" s="53"/>
      <c r="AU378" s="253"/>
      <c r="AV378" s="54">
        <v>7140231</v>
      </c>
      <c r="AW378" s="53">
        <v>570</v>
      </c>
      <c r="BJ378" s="40"/>
      <c r="BK378" s="40"/>
      <c r="BN378" s="16"/>
      <c r="BO378" s="16"/>
    </row>
    <row r="379" spans="1:67" s="67" customFormat="1" ht="16.5" customHeight="1" x14ac:dyDescent="0.25">
      <c r="A379" s="16"/>
      <c r="B379" s="68">
        <f>SUBTOTAL(103,$K$359:K379)</f>
        <v>20</v>
      </c>
      <c r="C379" s="59" t="s">
        <v>278</v>
      </c>
      <c r="D379" s="53" t="s">
        <v>2118</v>
      </c>
      <c r="E379" s="53" t="s">
        <v>19</v>
      </c>
      <c r="F379" s="53" t="s">
        <v>106</v>
      </c>
      <c r="G379" s="53" t="s">
        <v>4830</v>
      </c>
      <c r="H379" s="53" t="s">
        <v>4814</v>
      </c>
      <c r="I379" s="58" t="s">
        <v>3622</v>
      </c>
      <c r="J379" s="58" t="s">
        <v>606</v>
      </c>
      <c r="K379" s="234" t="s">
        <v>4252</v>
      </c>
      <c r="L379" s="68" t="s">
        <v>170</v>
      </c>
      <c r="M379" s="68">
        <v>1</v>
      </c>
      <c r="N379" s="68" t="s">
        <v>150</v>
      </c>
      <c r="O379" s="58" t="s">
        <v>5033</v>
      </c>
      <c r="P379" s="59" t="s">
        <v>3894</v>
      </c>
      <c r="Q379" s="58" t="s">
        <v>26</v>
      </c>
      <c r="R379" s="68">
        <v>2023</v>
      </c>
      <c r="S379" s="68" t="s">
        <v>236</v>
      </c>
      <c r="T379" s="68"/>
      <c r="U379" s="252">
        <v>3.37</v>
      </c>
      <c r="V379" s="99" t="s">
        <v>262</v>
      </c>
      <c r="W379" s="53" t="s">
        <v>153</v>
      </c>
      <c r="X379" s="153" t="s">
        <v>4252</v>
      </c>
      <c r="Y379" s="53"/>
      <c r="Z379" s="68"/>
      <c r="AA379" s="58"/>
      <c r="AB379" s="60" t="s">
        <v>2233</v>
      </c>
      <c r="AC379" s="58"/>
      <c r="AD379" s="58" t="s">
        <v>157</v>
      </c>
      <c r="AE379" s="58" t="s">
        <v>157</v>
      </c>
      <c r="AF379" s="58"/>
      <c r="AG379" s="58" t="s">
        <v>2534</v>
      </c>
      <c r="AH379" s="53" t="s">
        <v>19</v>
      </c>
      <c r="AI379" s="58"/>
      <c r="AJ379" s="120" t="s">
        <v>3623</v>
      </c>
      <c r="AK379" s="58" t="s">
        <v>2233</v>
      </c>
      <c r="AL379" s="58" t="s">
        <v>3624</v>
      </c>
      <c r="AM379" s="58" t="s">
        <v>3625</v>
      </c>
      <c r="AN379" s="199" t="s">
        <v>3626</v>
      </c>
      <c r="AO379" s="64"/>
      <c r="AP379" s="158"/>
      <c r="AQ379" s="64" t="s">
        <v>3367</v>
      </c>
      <c r="AR379" s="64" t="s">
        <v>392</v>
      </c>
      <c r="AS379" s="58"/>
      <c r="AT379" s="53"/>
      <c r="AU379" s="253"/>
      <c r="AV379" s="54">
        <v>7140231</v>
      </c>
      <c r="AW379" s="53">
        <v>571</v>
      </c>
      <c r="AY379" s="40"/>
      <c r="AZ379" s="40"/>
      <c r="BI379" s="36"/>
      <c r="BJ379" s="36"/>
      <c r="BK379" s="37"/>
      <c r="BN379" s="16"/>
      <c r="BO379" s="16"/>
    </row>
    <row r="380" spans="1:67" s="67" customFormat="1" ht="16.5" customHeight="1" x14ac:dyDescent="0.25">
      <c r="A380" s="16"/>
      <c r="B380" s="68">
        <f>SUBTOTAL(103,$K$359:K380)</f>
        <v>21</v>
      </c>
      <c r="C380" s="59" t="s">
        <v>390</v>
      </c>
      <c r="D380" s="53" t="s">
        <v>2118</v>
      </c>
      <c r="E380" s="53" t="s">
        <v>19</v>
      </c>
      <c r="F380" s="53" t="s">
        <v>104</v>
      </c>
      <c r="G380" s="53" t="s">
        <v>4830</v>
      </c>
      <c r="H380" s="53" t="s">
        <v>4815</v>
      </c>
      <c r="I380" s="58" t="s">
        <v>3627</v>
      </c>
      <c r="J380" s="64" t="s">
        <v>421</v>
      </c>
      <c r="K380" s="234" t="s">
        <v>4253</v>
      </c>
      <c r="L380" s="68" t="s">
        <v>170</v>
      </c>
      <c r="M380" s="68">
        <v>1</v>
      </c>
      <c r="N380" s="68" t="s">
        <v>150</v>
      </c>
      <c r="O380" s="58" t="s">
        <v>5033</v>
      </c>
      <c r="P380" s="59" t="s">
        <v>3894</v>
      </c>
      <c r="Q380" s="58" t="s">
        <v>545</v>
      </c>
      <c r="R380" s="68">
        <v>2013</v>
      </c>
      <c r="S380" s="68" t="s">
        <v>248</v>
      </c>
      <c r="T380" s="68" t="s">
        <v>401</v>
      </c>
      <c r="U380" s="68"/>
      <c r="V380" s="53"/>
      <c r="W380" s="53"/>
      <c r="X380" s="81" t="s">
        <v>4253</v>
      </c>
      <c r="Y380" s="53"/>
      <c r="Z380" s="68"/>
      <c r="AA380" s="58"/>
      <c r="AB380" s="188" t="s">
        <v>2150</v>
      </c>
      <c r="AC380" s="58"/>
      <c r="AD380" s="58"/>
      <c r="AE380" s="58" t="s">
        <v>3628</v>
      </c>
      <c r="AF380" s="58"/>
      <c r="AG380" s="58" t="s">
        <v>2234</v>
      </c>
      <c r="AH380" s="53" t="s">
        <v>155</v>
      </c>
      <c r="AI380" s="58"/>
      <c r="AJ380" s="101" t="s">
        <v>3629</v>
      </c>
      <c r="AK380" s="64" t="s">
        <v>2150</v>
      </c>
      <c r="AL380" s="64" t="s">
        <v>3549</v>
      </c>
      <c r="AM380" s="58" t="s">
        <v>3630</v>
      </c>
      <c r="AN380" s="103" t="s">
        <v>3631</v>
      </c>
      <c r="AO380" s="64" t="s">
        <v>3632</v>
      </c>
      <c r="AP380" s="58"/>
      <c r="AQ380" s="64"/>
      <c r="AR380" s="102" t="s">
        <v>3867</v>
      </c>
      <c r="AS380" s="53"/>
      <c r="AT380" s="53"/>
      <c r="AU380" s="54"/>
      <c r="AV380" s="54">
        <v>7140231</v>
      </c>
      <c r="AW380" s="53">
        <v>572</v>
      </c>
      <c r="AX380" s="60"/>
      <c r="AY380" s="40"/>
      <c r="AZ380" s="40"/>
      <c r="BI380" s="36"/>
      <c r="BJ380" s="36"/>
      <c r="BK380" s="37"/>
      <c r="BN380" s="16"/>
      <c r="BO380" s="16"/>
    </row>
    <row r="381" spans="1:67" s="67" customFormat="1" ht="16.5" customHeight="1" x14ac:dyDescent="0.25">
      <c r="A381" s="16"/>
      <c r="B381" s="68">
        <f>SUBTOTAL(103,$K$359:K381)</f>
        <v>22</v>
      </c>
      <c r="C381" s="59" t="s">
        <v>398</v>
      </c>
      <c r="D381" s="53" t="s">
        <v>2118</v>
      </c>
      <c r="E381" s="53" t="s">
        <v>19</v>
      </c>
      <c r="F381" s="53" t="s">
        <v>104</v>
      </c>
      <c r="G381" s="53" t="s">
        <v>4830</v>
      </c>
      <c r="H381" s="53" t="s">
        <v>4816</v>
      </c>
      <c r="I381" s="58" t="s">
        <v>3633</v>
      </c>
      <c r="J381" s="58" t="s">
        <v>3634</v>
      </c>
      <c r="K381" s="103" t="s">
        <v>4254</v>
      </c>
      <c r="L381" s="68" t="s">
        <v>170</v>
      </c>
      <c r="M381" s="68">
        <v>1</v>
      </c>
      <c r="N381" s="68" t="s">
        <v>2434</v>
      </c>
      <c r="O381" s="58" t="s">
        <v>5033</v>
      </c>
      <c r="P381" s="59" t="s">
        <v>3894</v>
      </c>
      <c r="Q381" s="58" t="s">
        <v>575</v>
      </c>
      <c r="R381" s="53">
        <v>2013</v>
      </c>
      <c r="S381" s="53" t="s">
        <v>153</v>
      </c>
      <c r="T381" s="53">
        <v>7.7</v>
      </c>
      <c r="U381" s="53"/>
      <c r="V381" s="53" t="s">
        <v>434</v>
      </c>
      <c r="W381" s="53" t="s">
        <v>153</v>
      </c>
      <c r="X381" s="119" t="s">
        <v>4254</v>
      </c>
      <c r="Y381" s="53"/>
      <c r="Z381" s="53"/>
      <c r="AA381" s="58"/>
      <c r="AB381" s="60" t="s">
        <v>3281</v>
      </c>
      <c r="AC381" s="58" t="s">
        <v>157</v>
      </c>
      <c r="AD381" s="58" t="s">
        <v>157</v>
      </c>
      <c r="AE381" s="58"/>
      <c r="AF381" s="58"/>
      <c r="AG381" s="58" t="s">
        <v>3635</v>
      </c>
      <c r="AH381" s="53" t="s">
        <v>155</v>
      </c>
      <c r="AI381" s="58"/>
      <c r="AJ381" s="237" t="s">
        <v>3636</v>
      </c>
      <c r="AK381" s="58" t="s">
        <v>3281</v>
      </c>
      <c r="AL381" s="58" t="s">
        <v>3637</v>
      </c>
      <c r="AM381" s="58" t="s">
        <v>3638</v>
      </c>
      <c r="AN381" s="103" t="s">
        <v>3639</v>
      </c>
      <c r="AO381" s="64"/>
      <c r="AP381" s="64"/>
      <c r="AQ381" s="58"/>
      <c r="AR381" s="63"/>
      <c r="AS381" s="58"/>
      <c r="AT381" s="53"/>
      <c r="AU381" s="54"/>
      <c r="AV381" s="54">
        <v>7140231</v>
      </c>
      <c r="AW381" s="53">
        <v>573</v>
      </c>
      <c r="AX381" s="60"/>
      <c r="BJ381" s="40"/>
      <c r="BK381" s="40"/>
      <c r="BN381" s="16"/>
      <c r="BO381" s="16"/>
    </row>
    <row r="382" spans="1:67" s="67" customFormat="1" ht="16.5" customHeight="1" x14ac:dyDescent="0.25">
      <c r="A382" s="16"/>
      <c r="B382" s="68">
        <f>SUBTOTAL(103,$K$359:K382)</f>
        <v>23</v>
      </c>
      <c r="C382" s="59" t="s">
        <v>407</v>
      </c>
      <c r="D382" s="53" t="s">
        <v>2118</v>
      </c>
      <c r="E382" s="53" t="s">
        <v>19</v>
      </c>
      <c r="F382" s="53" t="s">
        <v>639</v>
      </c>
      <c r="G382" s="53" t="s">
        <v>4830</v>
      </c>
      <c r="H382" s="53" t="s">
        <v>4817</v>
      </c>
      <c r="I382" s="58" t="s">
        <v>1951</v>
      </c>
      <c r="J382" s="64" t="s">
        <v>676</v>
      </c>
      <c r="K382" s="103" t="s">
        <v>4255</v>
      </c>
      <c r="L382" s="68" t="s">
        <v>170</v>
      </c>
      <c r="M382" s="68">
        <v>1</v>
      </c>
      <c r="N382" s="68" t="s">
        <v>150</v>
      </c>
      <c r="O382" s="58" t="s">
        <v>5033</v>
      </c>
      <c r="P382" s="59" t="s">
        <v>3894</v>
      </c>
      <c r="Q382" s="58"/>
      <c r="R382" s="53">
        <v>2023</v>
      </c>
      <c r="S382" s="53"/>
      <c r="T382" s="53"/>
      <c r="U382" s="53"/>
      <c r="V382" s="53" t="s">
        <v>986</v>
      </c>
      <c r="W382" s="53" t="s">
        <v>236</v>
      </c>
      <c r="X382" s="57" t="s">
        <v>4255</v>
      </c>
      <c r="Y382" s="53" t="s">
        <v>3640</v>
      </c>
      <c r="Z382" s="53">
        <v>25.7</v>
      </c>
      <c r="AA382" s="58"/>
      <c r="AB382" s="60" t="s">
        <v>253</v>
      </c>
      <c r="AC382" s="58" t="s">
        <v>157</v>
      </c>
      <c r="AD382" s="58" t="s">
        <v>157</v>
      </c>
      <c r="AE382" s="58"/>
      <c r="AF382" s="58"/>
      <c r="AG382" s="58" t="s">
        <v>3641</v>
      </c>
      <c r="AH382" s="53"/>
      <c r="AI382" s="58"/>
      <c r="AJ382" s="101" t="s">
        <v>3642</v>
      </c>
      <c r="AK382" s="64" t="s">
        <v>253</v>
      </c>
      <c r="AL382" s="64" t="s">
        <v>3643</v>
      </c>
      <c r="AM382" s="58" t="s">
        <v>3644</v>
      </c>
      <c r="AN382" s="103" t="s">
        <v>3645</v>
      </c>
      <c r="AO382" s="58"/>
      <c r="AP382" s="64"/>
      <c r="AQ382" s="58"/>
      <c r="AR382" s="63"/>
      <c r="AS382" s="58"/>
      <c r="AT382" s="53"/>
      <c r="AU382" s="54"/>
      <c r="AV382" s="54">
        <v>7140231</v>
      </c>
      <c r="AW382" s="53">
        <v>575</v>
      </c>
      <c r="AX382" s="60"/>
      <c r="BJ382" s="40"/>
      <c r="BK382" s="40"/>
      <c r="BN382" s="16"/>
      <c r="BO382" s="16"/>
    </row>
    <row r="383" spans="1:67" s="67" customFormat="1" ht="16.5" customHeight="1" x14ac:dyDescent="0.25">
      <c r="A383" s="16"/>
      <c r="B383" s="68">
        <f>SUBTOTAL(103,$K$359:K383)</f>
        <v>24</v>
      </c>
      <c r="C383" s="59" t="s">
        <v>415</v>
      </c>
      <c r="D383" s="53" t="s">
        <v>2118</v>
      </c>
      <c r="E383" s="53" t="s">
        <v>19</v>
      </c>
      <c r="F383" s="53" t="s">
        <v>639</v>
      </c>
      <c r="G383" s="53" t="s">
        <v>4830</v>
      </c>
      <c r="H383" s="53" t="s">
        <v>4818</v>
      </c>
      <c r="I383" s="58" t="s">
        <v>3646</v>
      </c>
      <c r="J383" s="64" t="s">
        <v>692</v>
      </c>
      <c r="K383" s="103" t="s">
        <v>4256</v>
      </c>
      <c r="L383" s="53" t="s">
        <v>170</v>
      </c>
      <c r="M383" s="68">
        <v>1</v>
      </c>
      <c r="N383" s="53" t="s">
        <v>150</v>
      </c>
      <c r="O383" s="58" t="s">
        <v>5033</v>
      </c>
      <c r="P383" s="59" t="s">
        <v>3894</v>
      </c>
      <c r="Q383" s="58"/>
      <c r="R383" s="53">
        <v>2019</v>
      </c>
      <c r="S383" s="53"/>
      <c r="T383" s="53"/>
      <c r="U383" s="53"/>
      <c r="V383" s="53" t="s">
        <v>607</v>
      </c>
      <c r="W383" s="53" t="s">
        <v>236</v>
      </c>
      <c r="X383" s="57" t="s">
        <v>4256</v>
      </c>
      <c r="Y383" s="53" t="s">
        <v>857</v>
      </c>
      <c r="Z383" s="53" t="s">
        <v>3647</v>
      </c>
      <c r="AA383" s="58"/>
      <c r="AB383" s="188" t="s">
        <v>1136</v>
      </c>
      <c r="AC383" s="58" t="s">
        <v>157</v>
      </c>
      <c r="AD383" s="58" t="s">
        <v>157</v>
      </c>
      <c r="AE383" s="58"/>
      <c r="AF383" s="53" t="s">
        <v>253</v>
      </c>
      <c r="AG383" s="58" t="s">
        <v>1137</v>
      </c>
      <c r="AH383" s="53"/>
      <c r="AI383" s="58" t="s">
        <v>2898</v>
      </c>
      <c r="AJ383" s="101" t="s">
        <v>3648</v>
      </c>
      <c r="AK383" s="64" t="s">
        <v>1136</v>
      </c>
      <c r="AL383" s="102" t="s">
        <v>3649</v>
      </c>
      <c r="AM383" s="58" t="s">
        <v>3650</v>
      </c>
      <c r="AN383" s="234" t="s">
        <v>3651</v>
      </c>
      <c r="AO383" s="64"/>
      <c r="AP383" s="58"/>
      <c r="AQ383" s="64"/>
      <c r="AR383" s="152"/>
      <c r="AS383" s="53"/>
      <c r="AT383" s="53"/>
      <c r="AU383" s="201"/>
      <c r="AV383" s="54">
        <v>7140231</v>
      </c>
      <c r="AW383" s="53">
        <v>576</v>
      </c>
      <c r="AX383" s="60"/>
      <c r="BJ383" s="40"/>
      <c r="BK383" s="40"/>
      <c r="BN383" s="16"/>
      <c r="BO383" s="16"/>
    </row>
    <row r="384" spans="1:67" s="67" customFormat="1" ht="16.5" customHeight="1" x14ac:dyDescent="0.25">
      <c r="A384" s="16"/>
      <c r="B384" s="68">
        <f>SUBTOTAL(103,$K$359:K384)</f>
        <v>25</v>
      </c>
      <c r="C384" s="59" t="s">
        <v>543</v>
      </c>
      <c r="D384" s="53" t="s">
        <v>2118</v>
      </c>
      <c r="E384" s="53" t="s">
        <v>19</v>
      </c>
      <c r="F384" s="53" t="s">
        <v>639</v>
      </c>
      <c r="G384" s="53" t="s">
        <v>4830</v>
      </c>
      <c r="H384" s="53" t="s">
        <v>4819</v>
      </c>
      <c r="I384" s="58" t="s">
        <v>3652</v>
      </c>
      <c r="J384" s="64" t="s">
        <v>1968</v>
      </c>
      <c r="K384" s="234" t="s">
        <v>4257</v>
      </c>
      <c r="L384" s="53" t="s">
        <v>1067</v>
      </c>
      <c r="M384" s="68">
        <v>1</v>
      </c>
      <c r="N384" s="53" t="s">
        <v>3225</v>
      </c>
      <c r="O384" s="58" t="s">
        <v>5033</v>
      </c>
      <c r="P384" s="59" t="s">
        <v>3894</v>
      </c>
      <c r="Q384" s="58"/>
      <c r="R384" s="68">
        <v>2021</v>
      </c>
      <c r="S384" s="68"/>
      <c r="T384" s="68" t="s">
        <v>3653</v>
      </c>
      <c r="U384" s="68" t="s">
        <v>3654</v>
      </c>
      <c r="V384" s="53" t="s">
        <v>642</v>
      </c>
      <c r="W384" s="53" t="s">
        <v>236</v>
      </c>
      <c r="X384" s="81" t="s">
        <v>4257</v>
      </c>
      <c r="Y384" s="68" t="s">
        <v>3640</v>
      </c>
      <c r="Z384" s="68" t="s">
        <v>3655</v>
      </c>
      <c r="AA384" s="58"/>
      <c r="AB384" s="60" t="s">
        <v>253</v>
      </c>
      <c r="AC384" s="58"/>
      <c r="AD384" s="58" t="s">
        <v>157</v>
      </c>
      <c r="AE384" s="58" t="s">
        <v>157</v>
      </c>
      <c r="AF384" s="58"/>
      <c r="AG384" s="64" t="s">
        <v>3656</v>
      </c>
      <c r="AH384" s="53"/>
      <c r="AI384" s="64" t="s">
        <v>3657</v>
      </c>
      <c r="AJ384" s="101" t="s">
        <v>3658</v>
      </c>
      <c r="AK384" s="58" t="s">
        <v>253</v>
      </c>
      <c r="AL384" s="102" t="s">
        <v>2706</v>
      </c>
      <c r="AM384" s="58" t="s">
        <v>3659</v>
      </c>
      <c r="AN384" s="103" t="s">
        <v>3660</v>
      </c>
      <c r="AO384" s="64"/>
      <c r="AP384" s="58"/>
      <c r="AQ384" s="64" t="s">
        <v>3661</v>
      </c>
      <c r="AR384" s="102" t="s">
        <v>3871</v>
      </c>
      <c r="AS384" s="53"/>
      <c r="AT384" s="53"/>
      <c r="AU384" s="54"/>
      <c r="AV384" s="54">
        <v>7140231</v>
      </c>
      <c r="AW384" s="53">
        <v>577</v>
      </c>
      <c r="AX384" s="60"/>
      <c r="AY384" s="40"/>
      <c r="AZ384" s="40"/>
      <c r="BI384" s="36"/>
      <c r="BJ384" s="36"/>
      <c r="BK384" s="37"/>
      <c r="BN384" s="16"/>
      <c r="BO384" s="16"/>
    </row>
    <row r="385" spans="1:67" s="67" customFormat="1" ht="16.5" customHeight="1" x14ac:dyDescent="0.25">
      <c r="A385" s="16"/>
      <c r="B385" s="68">
        <f>SUBTOTAL(103,$K$359:K385)</f>
        <v>26</v>
      </c>
      <c r="C385" s="59" t="s">
        <v>555</v>
      </c>
      <c r="D385" s="53" t="s">
        <v>2118</v>
      </c>
      <c r="E385" s="53" t="s">
        <v>19</v>
      </c>
      <c r="F385" s="53" t="s">
        <v>639</v>
      </c>
      <c r="G385" s="53" t="s">
        <v>4830</v>
      </c>
      <c r="H385" s="53" t="s">
        <v>4820</v>
      </c>
      <c r="I385" s="58" t="s">
        <v>3662</v>
      </c>
      <c r="J385" s="64" t="s">
        <v>1026</v>
      </c>
      <c r="K385" s="234" t="s">
        <v>4169</v>
      </c>
      <c r="L385" s="53" t="s">
        <v>1067</v>
      </c>
      <c r="M385" s="68">
        <v>1</v>
      </c>
      <c r="N385" s="53" t="s">
        <v>3225</v>
      </c>
      <c r="O385" s="58" t="s">
        <v>5033</v>
      </c>
      <c r="P385" s="59" t="s">
        <v>3894</v>
      </c>
      <c r="Q385" s="58"/>
      <c r="R385" s="68">
        <v>2023</v>
      </c>
      <c r="S385" s="68"/>
      <c r="T385" s="68"/>
      <c r="U385" s="68"/>
      <c r="V385" s="53" t="s">
        <v>328</v>
      </c>
      <c r="W385" s="53" t="s">
        <v>236</v>
      </c>
      <c r="X385" s="81" t="s">
        <v>4169</v>
      </c>
      <c r="Y385" s="68" t="s">
        <v>3640</v>
      </c>
      <c r="Z385" s="68">
        <v>25.9</v>
      </c>
      <c r="AA385" s="58"/>
      <c r="AB385" s="60" t="s">
        <v>2206</v>
      </c>
      <c r="AC385" s="58"/>
      <c r="AD385" s="58" t="s">
        <v>157</v>
      </c>
      <c r="AE385" s="58" t="s">
        <v>157</v>
      </c>
      <c r="AF385" s="58"/>
      <c r="AG385" s="64" t="s">
        <v>3663</v>
      </c>
      <c r="AH385" s="53"/>
      <c r="AI385" s="58"/>
      <c r="AJ385" s="101" t="s">
        <v>3664</v>
      </c>
      <c r="AK385" s="64" t="s">
        <v>2206</v>
      </c>
      <c r="AL385" s="64" t="s">
        <v>2207</v>
      </c>
      <c r="AM385" s="58" t="s">
        <v>3665</v>
      </c>
      <c r="AN385" s="103" t="s">
        <v>3666</v>
      </c>
      <c r="AO385" s="64"/>
      <c r="AP385" s="58"/>
      <c r="AQ385" s="64"/>
      <c r="AR385" s="102" t="s">
        <v>3878</v>
      </c>
      <c r="AS385" s="53"/>
      <c r="AT385" s="53"/>
      <c r="AU385" s="54"/>
      <c r="AV385" s="54">
        <v>7140231</v>
      </c>
      <c r="AW385" s="53">
        <v>578</v>
      </c>
      <c r="AX385" s="60"/>
      <c r="AY385" s="40"/>
      <c r="AZ385" s="40"/>
      <c r="BI385" s="36"/>
      <c r="BJ385" s="36"/>
      <c r="BK385" s="37"/>
      <c r="BN385" s="16"/>
      <c r="BO385" s="16"/>
    </row>
    <row r="386" spans="1:67" s="67" customFormat="1" ht="16.5" customHeight="1" x14ac:dyDescent="0.25">
      <c r="A386" s="16"/>
      <c r="B386" s="68">
        <f>SUBTOTAL(103,$K$359:K386)</f>
        <v>27</v>
      </c>
      <c r="C386" s="59" t="s">
        <v>563</v>
      </c>
      <c r="D386" s="53" t="s">
        <v>2118</v>
      </c>
      <c r="E386" s="53" t="s">
        <v>19</v>
      </c>
      <c r="F386" s="53" t="s">
        <v>639</v>
      </c>
      <c r="G386" s="53" t="s">
        <v>4830</v>
      </c>
      <c r="H386" s="53" t="s">
        <v>4821</v>
      </c>
      <c r="I386" s="58" t="s">
        <v>3667</v>
      </c>
      <c r="J386" s="58" t="s">
        <v>565</v>
      </c>
      <c r="K386" s="234" t="s">
        <v>4258</v>
      </c>
      <c r="L386" s="139" t="s">
        <v>170</v>
      </c>
      <c r="M386" s="68">
        <v>1</v>
      </c>
      <c r="N386" s="53" t="s">
        <v>150</v>
      </c>
      <c r="O386" s="58" t="s">
        <v>5033</v>
      </c>
      <c r="P386" s="59" t="s">
        <v>3894</v>
      </c>
      <c r="Q386" s="58"/>
      <c r="R386" s="68">
        <v>2019</v>
      </c>
      <c r="S386" s="68"/>
      <c r="T386" s="68"/>
      <c r="U386" s="68"/>
      <c r="V386" s="53" t="s">
        <v>685</v>
      </c>
      <c r="W386" s="53" t="s">
        <v>236</v>
      </c>
      <c r="X386" s="153" t="s">
        <v>4258</v>
      </c>
      <c r="Y386" s="68" t="s">
        <v>3640</v>
      </c>
      <c r="Z386" s="68" t="s">
        <v>3668</v>
      </c>
      <c r="AA386" s="58"/>
      <c r="AB386" s="60" t="s">
        <v>1136</v>
      </c>
      <c r="AC386" s="58"/>
      <c r="AD386" s="58" t="s">
        <v>157</v>
      </c>
      <c r="AE386" s="58" t="s">
        <v>157</v>
      </c>
      <c r="AF386" s="58"/>
      <c r="AG386" s="64" t="s">
        <v>3669</v>
      </c>
      <c r="AH386" s="53"/>
      <c r="AI386" s="58" t="s">
        <v>281</v>
      </c>
      <c r="AJ386" s="237" t="s">
        <v>3670</v>
      </c>
      <c r="AK386" s="58" t="s">
        <v>1136</v>
      </c>
      <c r="AL386" s="63" t="s">
        <v>1139</v>
      </c>
      <c r="AM386" s="122" t="s">
        <v>3671</v>
      </c>
      <c r="AN386" s="103" t="s">
        <v>3672</v>
      </c>
      <c r="AO386" s="64"/>
      <c r="AP386" s="44"/>
      <c r="AQ386" s="66" t="s">
        <v>3367</v>
      </c>
      <c r="AR386" s="66" t="s">
        <v>392</v>
      </c>
      <c r="AS386" s="40"/>
      <c r="AT386" s="40"/>
      <c r="AU386" s="40"/>
      <c r="AV386" s="54">
        <v>7140231</v>
      </c>
      <c r="AW386" s="53">
        <v>579</v>
      </c>
      <c r="AY386" s="40"/>
      <c r="AZ386" s="40"/>
      <c r="BI386" s="36"/>
      <c r="BJ386" s="36"/>
      <c r="BK386" s="37"/>
      <c r="BN386" s="16"/>
      <c r="BO386" s="16"/>
    </row>
    <row r="387" spans="1:67" s="67" customFormat="1" ht="16.5" customHeight="1" x14ac:dyDescent="0.25">
      <c r="A387" s="16"/>
      <c r="B387" s="68">
        <f>SUBTOTAL(103,$K$359:K387)</f>
        <v>28</v>
      </c>
      <c r="C387" s="59" t="s">
        <v>572</v>
      </c>
      <c r="D387" s="53" t="s">
        <v>2118</v>
      </c>
      <c r="E387" s="53" t="s">
        <v>19</v>
      </c>
      <c r="F387" s="53" t="s">
        <v>639</v>
      </c>
      <c r="G387" s="53" t="s">
        <v>4830</v>
      </c>
      <c r="H387" s="53" t="s">
        <v>4822</v>
      </c>
      <c r="I387" s="58" t="s">
        <v>314</v>
      </c>
      <c r="J387" s="64" t="s">
        <v>2657</v>
      </c>
      <c r="K387" s="103" t="s">
        <v>4259</v>
      </c>
      <c r="L387" s="68" t="s">
        <v>170</v>
      </c>
      <c r="M387" s="68">
        <v>1</v>
      </c>
      <c r="N387" s="68" t="s">
        <v>150</v>
      </c>
      <c r="O387" s="58" t="s">
        <v>5033</v>
      </c>
      <c r="P387" s="59" t="s">
        <v>3894</v>
      </c>
      <c r="Q387" s="58"/>
      <c r="R387" s="53">
        <v>2021</v>
      </c>
      <c r="S387" s="53"/>
      <c r="T387" s="53"/>
      <c r="U387" s="53"/>
      <c r="V387" s="53" t="s">
        <v>801</v>
      </c>
      <c r="W387" s="53" t="s">
        <v>236</v>
      </c>
      <c r="X387" s="197" t="s">
        <v>4259</v>
      </c>
      <c r="Y387" s="53" t="s">
        <v>3673</v>
      </c>
      <c r="Z387" s="53">
        <v>25.83</v>
      </c>
      <c r="AA387" s="58"/>
      <c r="AB387" s="60" t="s">
        <v>2233</v>
      </c>
      <c r="AC387" s="58" t="s">
        <v>157</v>
      </c>
      <c r="AD387" s="58" t="s">
        <v>157</v>
      </c>
      <c r="AE387" s="58"/>
      <c r="AF387" s="58"/>
      <c r="AG387" s="58" t="s">
        <v>3674</v>
      </c>
      <c r="AH387" s="53"/>
      <c r="AI387" s="64" t="s">
        <v>3675</v>
      </c>
      <c r="AJ387" s="101" t="s">
        <v>3676</v>
      </c>
      <c r="AK387" s="64" t="s">
        <v>2233</v>
      </c>
      <c r="AL387" s="64" t="s">
        <v>2612</v>
      </c>
      <c r="AM387" s="58" t="s">
        <v>3677</v>
      </c>
      <c r="AN387" s="103" t="s">
        <v>3678</v>
      </c>
      <c r="AO387" s="64"/>
      <c r="AP387" s="64"/>
      <c r="AQ387" s="58"/>
      <c r="AR387" s="63"/>
      <c r="AS387" s="58"/>
      <c r="AT387" s="53"/>
      <c r="AU387" s="54"/>
      <c r="AV387" s="54">
        <v>7140231</v>
      </c>
      <c r="AW387" s="53">
        <v>580</v>
      </c>
      <c r="AX387" s="60"/>
      <c r="BJ387" s="40"/>
      <c r="BK387" s="40"/>
      <c r="BN387" s="16"/>
      <c r="BO387" s="16"/>
    </row>
    <row r="388" spans="1:67" s="67" customFormat="1" ht="16.5" customHeight="1" x14ac:dyDescent="0.25">
      <c r="A388" s="16"/>
      <c r="B388" s="68">
        <f>SUBTOTAL(103,$K$359:K388)</f>
        <v>29</v>
      </c>
      <c r="C388" s="59" t="s">
        <v>581</v>
      </c>
      <c r="D388" s="53" t="s">
        <v>2118</v>
      </c>
      <c r="E388" s="53" t="s">
        <v>19</v>
      </c>
      <c r="F388" s="53" t="s">
        <v>639</v>
      </c>
      <c r="G388" s="53" t="s">
        <v>4830</v>
      </c>
      <c r="H388" s="53" t="s">
        <v>4823</v>
      </c>
      <c r="I388" s="58" t="s">
        <v>3679</v>
      </c>
      <c r="J388" s="64" t="s">
        <v>1032</v>
      </c>
      <c r="K388" s="103" t="s">
        <v>4260</v>
      </c>
      <c r="L388" s="68" t="s">
        <v>170</v>
      </c>
      <c r="M388" s="68">
        <v>1</v>
      </c>
      <c r="N388" s="68" t="s">
        <v>150</v>
      </c>
      <c r="O388" s="58" t="s">
        <v>5033</v>
      </c>
      <c r="P388" s="59" t="s">
        <v>3894</v>
      </c>
      <c r="Q388" s="58"/>
      <c r="R388" s="53">
        <v>2019</v>
      </c>
      <c r="S388" s="53"/>
      <c r="T388" s="53"/>
      <c r="U388" s="53"/>
      <c r="V388" s="53" t="s">
        <v>685</v>
      </c>
      <c r="W388" s="53" t="s">
        <v>236</v>
      </c>
      <c r="X388" s="197" t="s">
        <v>4260</v>
      </c>
      <c r="Y388" s="53" t="s">
        <v>3680</v>
      </c>
      <c r="Z388" s="53">
        <v>25.53</v>
      </c>
      <c r="AA388" s="58"/>
      <c r="AB388" s="60" t="s">
        <v>2150</v>
      </c>
      <c r="AC388" s="58" t="s">
        <v>157</v>
      </c>
      <c r="AD388" s="58" t="s">
        <v>157</v>
      </c>
      <c r="AE388" s="58"/>
      <c r="AF388" s="58"/>
      <c r="AG388" s="58" t="s">
        <v>3681</v>
      </c>
      <c r="AH388" s="53"/>
      <c r="AI388" s="64" t="s">
        <v>3682</v>
      </c>
      <c r="AJ388" s="101" t="s">
        <v>3683</v>
      </c>
      <c r="AK388" s="64" t="s">
        <v>2150</v>
      </c>
      <c r="AL388" s="64" t="s">
        <v>3684</v>
      </c>
      <c r="AM388" s="58" t="s">
        <v>3685</v>
      </c>
      <c r="AN388" s="103" t="s">
        <v>3686</v>
      </c>
      <c r="AO388" s="64"/>
      <c r="AP388" s="66"/>
      <c r="AQ388" s="58"/>
      <c r="AR388" s="58"/>
      <c r="AS388" s="58"/>
      <c r="AT388" s="53"/>
      <c r="AU388" s="54"/>
      <c r="AV388" s="54">
        <v>7140231</v>
      </c>
      <c r="AW388" s="53">
        <v>581</v>
      </c>
      <c r="AX388" s="60"/>
      <c r="BJ388" s="40"/>
      <c r="BK388" s="40"/>
      <c r="BN388" s="16"/>
      <c r="BO388" s="16"/>
    </row>
    <row r="389" spans="1:67" s="67" customFormat="1" ht="16.5" customHeight="1" x14ac:dyDescent="0.25">
      <c r="A389" s="16"/>
      <c r="B389" s="68">
        <f>SUBTOTAL(103,$K$359:K389)</f>
        <v>30</v>
      </c>
      <c r="C389" s="59" t="s">
        <v>588</v>
      </c>
      <c r="D389" s="53" t="s">
        <v>2118</v>
      </c>
      <c r="E389" s="53" t="s">
        <v>19</v>
      </c>
      <c r="F389" s="53" t="s">
        <v>639</v>
      </c>
      <c r="G389" s="53" t="s">
        <v>4830</v>
      </c>
      <c r="H389" s="53" t="s">
        <v>4824</v>
      </c>
      <c r="I389" s="58" t="s">
        <v>3687</v>
      </c>
      <c r="J389" s="64" t="s">
        <v>2513</v>
      </c>
      <c r="K389" s="103" t="s">
        <v>4261</v>
      </c>
      <c r="L389" s="68" t="s">
        <v>170</v>
      </c>
      <c r="M389" s="68">
        <v>1</v>
      </c>
      <c r="N389" s="68" t="s">
        <v>150</v>
      </c>
      <c r="O389" s="58" t="s">
        <v>5033</v>
      </c>
      <c r="P389" s="59" t="s">
        <v>3894</v>
      </c>
      <c r="Q389" s="58"/>
      <c r="R389" s="53">
        <v>2024</v>
      </c>
      <c r="S389" s="53" t="s">
        <v>236</v>
      </c>
      <c r="T389" s="53">
        <v>8.06</v>
      </c>
      <c r="U389" s="53">
        <v>3.38</v>
      </c>
      <c r="V389" s="53"/>
      <c r="W389" s="53" t="s">
        <v>236</v>
      </c>
      <c r="X389" s="197" t="s">
        <v>4261</v>
      </c>
      <c r="Y389" s="53" t="s">
        <v>3688</v>
      </c>
      <c r="Z389" s="53">
        <v>26.2</v>
      </c>
      <c r="AA389" s="58"/>
      <c r="AB389" s="60" t="s">
        <v>253</v>
      </c>
      <c r="AC389" s="58" t="s">
        <v>157</v>
      </c>
      <c r="AD389" s="58" t="s">
        <v>157</v>
      </c>
      <c r="AE389" s="58"/>
      <c r="AF389" s="58"/>
      <c r="AG389" s="58" t="s">
        <v>3107</v>
      </c>
      <c r="AH389" s="53"/>
      <c r="AI389" s="64" t="s">
        <v>3689</v>
      </c>
      <c r="AJ389" s="101" t="s">
        <v>3690</v>
      </c>
      <c r="AK389" s="64" t="s">
        <v>253</v>
      </c>
      <c r="AL389" s="102" t="s">
        <v>3691</v>
      </c>
      <c r="AM389" s="58" t="s">
        <v>3692</v>
      </c>
      <c r="AN389" s="103" t="s">
        <v>3693</v>
      </c>
      <c r="AO389" s="64"/>
      <c r="AP389" s="66"/>
      <c r="AQ389" s="58"/>
      <c r="AR389" s="63"/>
      <c r="AS389" s="58"/>
      <c r="AT389" s="53"/>
      <c r="AU389" s="54"/>
      <c r="AV389" s="54">
        <v>7140231</v>
      </c>
      <c r="AW389" s="53">
        <v>582</v>
      </c>
      <c r="AX389" s="60"/>
      <c r="BJ389" s="40"/>
      <c r="BK389" s="40"/>
      <c r="BN389" s="16"/>
      <c r="BO389" s="16"/>
    </row>
    <row r="390" spans="1:67" s="67" customFormat="1" ht="16.5" customHeight="1" x14ac:dyDescent="0.25">
      <c r="A390" s="16"/>
      <c r="B390" s="68">
        <f>SUBTOTAL(103,$K$359:K390)</f>
        <v>31</v>
      </c>
      <c r="C390" s="59" t="s">
        <v>594</v>
      </c>
      <c r="D390" s="53" t="s">
        <v>2118</v>
      </c>
      <c r="E390" s="53" t="s">
        <v>19</v>
      </c>
      <c r="F390" s="53" t="s">
        <v>639</v>
      </c>
      <c r="G390" s="53" t="s">
        <v>4830</v>
      </c>
      <c r="H390" s="53" t="s">
        <v>4825</v>
      </c>
      <c r="I390" s="58" t="s">
        <v>3694</v>
      </c>
      <c r="J390" s="58" t="s">
        <v>149</v>
      </c>
      <c r="K390" s="103" t="s">
        <v>4262</v>
      </c>
      <c r="L390" s="68" t="s">
        <v>149</v>
      </c>
      <c r="M390" s="53">
        <v>0</v>
      </c>
      <c r="N390" s="68" t="s">
        <v>150</v>
      </c>
      <c r="O390" s="58" t="s">
        <v>5033</v>
      </c>
      <c r="P390" s="59" t="s">
        <v>3894</v>
      </c>
      <c r="Q390" s="58"/>
      <c r="R390" s="53">
        <v>2025</v>
      </c>
      <c r="S390" s="53"/>
      <c r="T390" s="53"/>
      <c r="U390" s="53"/>
      <c r="V390" s="53" t="s">
        <v>685</v>
      </c>
      <c r="W390" s="53" t="s">
        <v>818</v>
      </c>
      <c r="X390" s="197" t="s">
        <v>4262</v>
      </c>
      <c r="Y390" s="53" t="s">
        <v>3640</v>
      </c>
      <c r="Z390" s="53" t="s">
        <v>3695</v>
      </c>
      <c r="AA390" s="58"/>
      <c r="AB390" s="60" t="s">
        <v>253</v>
      </c>
      <c r="AC390" s="58" t="s">
        <v>157</v>
      </c>
      <c r="AD390" s="58" t="s">
        <v>157</v>
      </c>
      <c r="AE390" s="58"/>
      <c r="AF390" s="58"/>
      <c r="AG390" s="58" t="s">
        <v>3696</v>
      </c>
      <c r="AH390" s="53"/>
      <c r="AI390" s="58"/>
      <c r="AJ390" s="101" t="s">
        <v>3697</v>
      </c>
      <c r="AK390" s="64" t="s">
        <v>253</v>
      </c>
      <c r="AL390" s="64" t="s">
        <v>2437</v>
      </c>
      <c r="AM390" s="58" t="s">
        <v>3698</v>
      </c>
      <c r="AN390" s="103" t="s">
        <v>3699</v>
      </c>
      <c r="AO390" s="58"/>
      <c r="AP390" s="64"/>
      <c r="AQ390" s="58"/>
      <c r="AR390" s="63"/>
      <c r="AS390" s="58"/>
      <c r="AT390" s="53"/>
      <c r="AU390" s="54"/>
      <c r="AV390" s="54">
        <v>7140231</v>
      </c>
      <c r="AW390" s="53">
        <v>583</v>
      </c>
      <c r="AX390" s="60"/>
      <c r="BJ390" s="40"/>
      <c r="BK390" s="40"/>
      <c r="BN390" s="16"/>
      <c r="BO390" s="16"/>
    </row>
    <row r="391" spans="1:67" s="67" customFormat="1" ht="16.5" customHeight="1" x14ac:dyDescent="0.25">
      <c r="A391" s="16"/>
      <c r="B391" s="68">
        <f>SUBTOTAL(103,$K$359:K391)</f>
        <v>32</v>
      </c>
      <c r="C391" s="59" t="s">
        <v>599</v>
      </c>
      <c r="D391" s="53" t="s">
        <v>2118</v>
      </c>
      <c r="E391" s="53" t="s">
        <v>19</v>
      </c>
      <c r="F391" s="53" t="s">
        <v>639</v>
      </c>
      <c r="G391" s="53" t="s">
        <v>4830</v>
      </c>
      <c r="H391" s="53" t="s">
        <v>4826</v>
      </c>
      <c r="I391" s="64" t="s">
        <v>3700</v>
      </c>
      <c r="J391" s="64" t="s">
        <v>1426</v>
      </c>
      <c r="K391" s="234" t="s">
        <v>4263</v>
      </c>
      <c r="L391" s="53" t="s">
        <v>1067</v>
      </c>
      <c r="M391" s="68">
        <v>1</v>
      </c>
      <c r="N391" s="53" t="s">
        <v>3225</v>
      </c>
      <c r="O391" s="58" t="s">
        <v>5033</v>
      </c>
      <c r="P391" s="59" t="s">
        <v>3894</v>
      </c>
      <c r="Q391" s="58"/>
      <c r="R391" s="68">
        <v>2019</v>
      </c>
      <c r="S391" s="68"/>
      <c r="T391" s="68"/>
      <c r="U391" s="68"/>
      <c r="V391" s="53" t="s">
        <v>779</v>
      </c>
      <c r="W391" s="53" t="s">
        <v>236</v>
      </c>
      <c r="X391" s="81" t="s">
        <v>4263</v>
      </c>
      <c r="Y391" s="68" t="s">
        <v>3640</v>
      </c>
      <c r="Z391" s="68">
        <v>24.47</v>
      </c>
      <c r="AA391" s="58"/>
      <c r="AB391" s="188" t="s">
        <v>2363</v>
      </c>
      <c r="AC391" s="58"/>
      <c r="AD391" s="58" t="s">
        <v>157</v>
      </c>
      <c r="AE391" s="58" t="s">
        <v>157</v>
      </c>
      <c r="AF391" s="58"/>
      <c r="AG391" s="64" t="s">
        <v>3701</v>
      </c>
      <c r="AH391" s="53"/>
      <c r="AI391" s="64" t="s">
        <v>3702</v>
      </c>
      <c r="AJ391" s="101" t="s">
        <v>3703</v>
      </c>
      <c r="AK391" s="64" t="s">
        <v>2363</v>
      </c>
      <c r="AL391" s="64" t="s">
        <v>2366</v>
      </c>
      <c r="AM391" s="58" t="s">
        <v>3704</v>
      </c>
      <c r="AN391" s="103" t="s">
        <v>3705</v>
      </c>
      <c r="AO391" s="64"/>
      <c r="AP391" s="58"/>
      <c r="AQ391" s="64"/>
      <c r="AR391" s="102" t="s">
        <v>3877</v>
      </c>
      <c r="AS391" s="53"/>
      <c r="AT391" s="53"/>
      <c r="AU391" s="54"/>
      <c r="AV391" s="54">
        <v>7140231</v>
      </c>
      <c r="AW391" s="53">
        <v>584</v>
      </c>
      <c r="AX391" s="60"/>
      <c r="AY391" s="40"/>
      <c r="AZ391" s="40"/>
      <c r="BI391" s="36"/>
      <c r="BJ391" s="36"/>
      <c r="BK391" s="37"/>
      <c r="BN391" s="16"/>
      <c r="BO391" s="16"/>
    </row>
    <row r="392" spans="1:67" s="67" customFormat="1" ht="16.5" customHeight="1" x14ac:dyDescent="0.25">
      <c r="A392" s="16"/>
      <c r="B392" s="68">
        <f>SUBTOTAL(103,$K$359:K392)</f>
        <v>33</v>
      </c>
      <c r="C392" s="59" t="s">
        <v>605</v>
      </c>
      <c r="D392" s="53" t="s">
        <v>2118</v>
      </c>
      <c r="E392" s="53" t="s">
        <v>19</v>
      </c>
      <c r="F392" s="53" t="s">
        <v>639</v>
      </c>
      <c r="G392" s="53" t="s">
        <v>4830</v>
      </c>
      <c r="H392" s="53" t="s">
        <v>4827</v>
      </c>
      <c r="I392" s="58" t="s">
        <v>3241</v>
      </c>
      <c r="J392" s="58" t="s">
        <v>400</v>
      </c>
      <c r="K392" s="234" t="s">
        <v>4264</v>
      </c>
      <c r="L392" s="53" t="s">
        <v>170</v>
      </c>
      <c r="M392" s="68">
        <v>1</v>
      </c>
      <c r="N392" s="53" t="s">
        <v>150</v>
      </c>
      <c r="O392" s="58" t="s">
        <v>5033</v>
      </c>
      <c r="P392" s="59" t="s">
        <v>3894</v>
      </c>
      <c r="Q392" s="58"/>
      <c r="R392" s="68">
        <v>2019</v>
      </c>
      <c r="S392" s="68"/>
      <c r="T392" s="68"/>
      <c r="U392" s="68"/>
      <c r="V392" s="53" t="s">
        <v>647</v>
      </c>
      <c r="W392" s="53" t="s">
        <v>236</v>
      </c>
      <c r="X392" s="81" t="s">
        <v>4264</v>
      </c>
      <c r="Y392" s="68" t="s">
        <v>857</v>
      </c>
      <c r="Z392" s="68" t="s">
        <v>820</v>
      </c>
      <c r="AA392" s="58"/>
      <c r="AB392" s="60" t="s">
        <v>2186</v>
      </c>
      <c r="AC392" s="58"/>
      <c r="AD392" s="58" t="s">
        <v>157</v>
      </c>
      <c r="AE392" s="58" t="s">
        <v>157</v>
      </c>
      <c r="AF392" s="58"/>
      <c r="AG392" s="64" t="s">
        <v>3706</v>
      </c>
      <c r="AH392" s="53"/>
      <c r="AI392" s="58" t="s">
        <v>3657</v>
      </c>
      <c r="AJ392" s="140" t="s">
        <v>3707</v>
      </c>
      <c r="AK392" s="58" t="s">
        <v>2186</v>
      </c>
      <c r="AL392" s="58" t="s">
        <v>3708</v>
      </c>
      <c r="AM392" s="58" t="s">
        <v>3709</v>
      </c>
      <c r="AN392" s="57" t="s">
        <v>3710</v>
      </c>
      <c r="AO392" s="64"/>
      <c r="AP392" s="58"/>
      <c r="AQ392" s="64" t="s">
        <v>3711</v>
      </c>
      <c r="AR392" s="64" t="s">
        <v>3877</v>
      </c>
      <c r="AS392" s="53"/>
      <c r="AT392" s="53"/>
      <c r="AU392" s="54"/>
      <c r="AV392" s="54">
        <v>7140231</v>
      </c>
      <c r="AW392" s="53">
        <v>585</v>
      </c>
      <c r="AX392" s="60"/>
      <c r="AY392" s="40"/>
      <c r="AZ392" s="40"/>
      <c r="BI392" s="36"/>
      <c r="BJ392" s="36"/>
      <c r="BK392" s="37"/>
      <c r="BN392" s="16"/>
      <c r="BO392" s="16"/>
    </row>
    <row r="393" spans="1:67" s="67" customFormat="1" ht="16.5" customHeight="1" x14ac:dyDescent="0.25">
      <c r="A393" s="16"/>
      <c r="B393" s="68">
        <f>SUBTOTAL(103,$K$359:K393)</f>
        <v>34</v>
      </c>
      <c r="C393" s="59" t="s">
        <v>614</v>
      </c>
      <c r="D393" s="53" t="s">
        <v>2118</v>
      </c>
      <c r="E393" s="53" t="s">
        <v>19</v>
      </c>
      <c r="F393" s="53" t="s">
        <v>639</v>
      </c>
      <c r="G393" s="53" t="s">
        <v>4830</v>
      </c>
      <c r="H393" s="53" t="s">
        <v>4828</v>
      </c>
      <c r="I393" s="58" t="s">
        <v>843</v>
      </c>
      <c r="J393" s="64" t="s">
        <v>3712</v>
      </c>
      <c r="K393" s="234" t="s">
        <v>4265</v>
      </c>
      <c r="L393" s="53" t="s">
        <v>1067</v>
      </c>
      <c r="M393" s="68">
        <v>1</v>
      </c>
      <c r="N393" s="53" t="s">
        <v>3225</v>
      </c>
      <c r="O393" s="58" t="s">
        <v>5033</v>
      </c>
      <c r="P393" s="59" t="s">
        <v>3894</v>
      </c>
      <c r="Q393" s="58"/>
      <c r="R393" s="68">
        <v>2018</v>
      </c>
      <c r="S393" s="68"/>
      <c r="T393" s="68"/>
      <c r="U393" s="68"/>
      <c r="V393" s="53" t="s">
        <v>607</v>
      </c>
      <c r="W393" s="53" t="s">
        <v>2665</v>
      </c>
      <c r="X393" s="81" t="s">
        <v>4265</v>
      </c>
      <c r="Y393" s="68" t="s">
        <v>1070</v>
      </c>
      <c r="Z393" s="68">
        <v>25.3</v>
      </c>
      <c r="AA393" s="58"/>
      <c r="AB393" s="188" t="s">
        <v>2491</v>
      </c>
      <c r="AC393" s="58"/>
      <c r="AD393" s="58" t="s">
        <v>157</v>
      </c>
      <c r="AE393" s="58" t="s">
        <v>157</v>
      </c>
      <c r="AF393" s="58"/>
      <c r="AG393" s="64" t="s">
        <v>2835</v>
      </c>
      <c r="AH393" s="53"/>
      <c r="AI393" s="64" t="s">
        <v>3713</v>
      </c>
      <c r="AJ393" s="254" t="s">
        <v>3714</v>
      </c>
      <c r="AK393" s="204" t="s">
        <v>2491</v>
      </c>
      <c r="AL393" s="204" t="s">
        <v>3684</v>
      </c>
      <c r="AM393" s="204" t="s">
        <v>3715</v>
      </c>
      <c r="AN393" s="207" t="s">
        <v>3716</v>
      </c>
      <c r="AO393" s="94"/>
      <c r="AQ393" s="66"/>
      <c r="AR393" s="66" t="s">
        <v>3879</v>
      </c>
      <c r="AS393" s="40"/>
      <c r="AT393" s="40"/>
      <c r="AU393" s="40"/>
      <c r="AV393" s="54">
        <v>7140231</v>
      </c>
      <c r="AW393" s="53">
        <v>586</v>
      </c>
      <c r="AY393" s="40"/>
      <c r="AZ393" s="40"/>
      <c r="BI393" s="36"/>
      <c r="BJ393" s="36"/>
      <c r="BK393" s="37"/>
      <c r="BN393" s="16"/>
      <c r="BO393" s="16"/>
    </row>
    <row r="394" spans="1:67" s="67" customFormat="1" ht="16.5" customHeight="1" x14ac:dyDescent="0.25">
      <c r="A394" s="16"/>
      <c r="B394" s="68">
        <f>SUBTOTAL(103,$K$359:K394)</f>
        <v>35</v>
      </c>
      <c r="C394" s="59" t="s">
        <v>618</v>
      </c>
      <c r="D394" s="53" t="s">
        <v>2118</v>
      </c>
      <c r="E394" s="53" t="s">
        <v>19</v>
      </c>
      <c r="F394" s="53" t="s">
        <v>639</v>
      </c>
      <c r="G394" s="53" t="s">
        <v>4830</v>
      </c>
      <c r="H394" s="53" t="s">
        <v>4829</v>
      </c>
      <c r="I394" s="58" t="s">
        <v>2435</v>
      </c>
      <c r="J394" s="64" t="s">
        <v>1598</v>
      </c>
      <c r="K394" s="234" t="s">
        <v>3976</v>
      </c>
      <c r="L394" s="53" t="s">
        <v>170</v>
      </c>
      <c r="M394" s="68">
        <v>1</v>
      </c>
      <c r="N394" s="53" t="s">
        <v>150</v>
      </c>
      <c r="O394" s="58" t="s">
        <v>5033</v>
      </c>
      <c r="P394" s="59" t="s">
        <v>3894</v>
      </c>
      <c r="Q394" s="58"/>
      <c r="R394" s="68">
        <v>2014</v>
      </c>
      <c r="S394" s="68"/>
      <c r="T394" s="68"/>
      <c r="U394" s="68"/>
      <c r="V394" s="53" t="s">
        <v>779</v>
      </c>
      <c r="W394" s="53" t="s">
        <v>2665</v>
      </c>
      <c r="X394" s="81" t="s">
        <v>3976</v>
      </c>
      <c r="Y394" s="68" t="s">
        <v>1121</v>
      </c>
      <c r="Z394" s="68">
        <v>23.4</v>
      </c>
      <c r="AA394" s="58"/>
      <c r="AB394" s="60" t="s">
        <v>2150</v>
      </c>
      <c r="AC394" s="58"/>
      <c r="AD394" s="58" t="s">
        <v>157</v>
      </c>
      <c r="AE394" s="58" t="s">
        <v>157</v>
      </c>
      <c r="AF394" s="58"/>
      <c r="AG394" s="64" t="s">
        <v>3717</v>
      </c>
      <c r="AH394" s="53"/>
      <c r="AI394" s="58"/>
      <c r="AJ394" s="131" t="s">
        <v>3718</v>
      </c>
      <c r="AK394" s="94" t="s">
        <v>2150</v>
      </c>
      <c r="AL394" s="94" t="s">
        <v>2406</v>
      </c>
      <c r="AM394" s="93" t="s">
        <v>3719</v>
      </c>
      <c r="AN394" s="133" t="s">
        <v>3720</v>
      </c>
      <c r="AO394" s="94"/>
      <c r="AQ394" s="66"/>
      <c r="AR394" s="66" t="s">
        <v>3311</v>
      </c>
      <c r="AS394" s="40"/>
      <c r="AT394" s="40"/>
      <c r="AU394" s="40"/>
      <c r="AV394" s="54">
        <v>7140231</v>
      </c>
      <c r="AW394" s="53">
        <v>587</v>
      </c>
      <c r="AY394" s="40"/>
      <c r="AZ394" s="40"/>
      <c r="BI394" s="36"/>
      <c r="BJ394" s="36"/>
      <c r="BK394" s="37"/>
      <c r="BN394" s="16"/>
      <c r="BO394" s="16"/>
    </row>
    <row r="395" spans="1:67" s="67" customFormat="1" ht="15.95" customHeight="1" x14ac:dyDescent="0.25">
      <c r="A395" s="16"/>
      <c r="B395" s="55"/>
      <c r="C395" s="59"/>
      <c r="D395" s="53"/>
      <c r="E395" s="53"/>
      <c r="F395" s="49"/>
      <c r="G395" s="49"/>
      <c r="H395" s="49"/>
      <c r="I395" s="56" t="s">
        <v>1221</v>
      </c>
      <c r="J395" s="49"/>
      <c r="K395" s="103"/>
      <c r="L395" s="53"/>
      <c r="M395" s="53"/>
      <c r="N395" s="53"/>
      <c r="O395" s="58"/>
      <c r="P395" s="53"/>
      <c r="Q395" s="58"/>
      <c r="R395" s="53"/>
      <c r="S395" s="68"/>
      <c r="T395" s="53"/>
      <c r="U395" s="53"/>
      <c r="V395" s="53"/>
      <c r="W395" s="53"/>
      <c r="X395" s="57"/>
      <c r="Y395" s="59"/>
      <c r="Z395" s="53"/>
      <c r="AA395" s="58"/>
      <c r="AB395" s="76"/>
      <c r="AC395" s="58"/>
      <c r="AD395" s="53"/>
      <c r="AE395" s="53"/>
      <c r="AF395" s="148"/>
      <c r="AG395" s="59"/>
      <c r="AH395" s="53"/>
      <c r="AI395" s="58"/>
      <c r="AJ395" s="91"/>
      <c r="AK395" s="255"/>
      <c r="AL395" s="256"/>
      <c r="AM395" s="203"/>
      <c r="AN395" s="95"/>
      <c r="AO395" s="96"/>
      <c r="AP395" s="66"/>
      <c r="AR395" s="38"/>
      <c r="AT395" s="40"/>
      <c r="AU395" s="40"/>
      <c r="AV395" s="54">
        <v>7220201</v>
      </c>
      <c r="AW395" s="53">
        <v>155</v>
      </c>
      <c r="AY395" s="40"/>
      <c r="AZ395" s="40"/>
      <c r="BI395" s="36"/>
      <c r="BJ395" s="36"/>
      <c r="BK395" s="37"/>
      <c r="BN395" s="16"/>
      <c r="BO395" s="16"/>
    </row>
    <row r="396" spans="1:67" s="67" customFormat="1" ht="15.95" customHeight="1" x14ac:dyDescent="0.25">
      <c r="A396" s="16"/>
      <c r="B396" s="68">
        <f>SUBTOTAL(103,$K$396:K396)</f>
        <v>1</v>
      </c>
      <c r="C396" s="59" t="s">
        <v>146</v>
      </c>
      <c r="D396" s="53" t="s">
        <v>158</v>
      </c>
      <c r="E396" s="53" t="s">
        <v>19</v>
      </c>
      <c r="F396" s="53" t="s">
        <v>106</v>
      </c>
      <c r="G396" s="53" t="s">
        <v>4896</v>
      </c>
      <c r="H396" s="53" t="s">
        <v>4831</v>
      </c>
      <c r="I396" s="58" t="s">
        <v>1222</v>
      </c>
      <c r="J396" s="58" t="s">
        <v>1223</v>
      </c>
      <c r="K396" s="103" t="s">
        <v>4010</v>
      </c>
      <c r="L396" s="53" t="s">
        <v>170</v>
      </c>
      <c r="M396" s="68">
        <v>1</v>
      </c>
      <c r="N396" s="53" t="s">
        <v>150</v>
      </c>
      <c r="O396" s="70" t="s">
        <v>5034</v>
      </c>
      <c r="P396" s="59" t="s">
        <v>3894</v>
      </c>
      <c r="Q396" s="58" t="s">
        <v>30</v>
      </c>
      <c r="R396" s="53">
        <v>2025</v>
      </c>
      <c r="S396" s="53" t="s">
        <v>153</v>
      </c>
      <c r="T396" s="53" t="s">
        <v>1224</v>
      </c>
      <c r="U396" s="53"/>
      <c r="V396" s="53" t="s">
        <v>282</v>
      </c>
      <c r="W396" s="53" t="s">
        <v>153</v>
      </c>
      <c r="X396" s="57" t="s">
        <v>4010</v>
      </c>
      <c r="Y396" s="59"/>
      <c r="Z396" s="53"/>
      <c r="AA396" s="58"/>
      <c r="AB396" s="76" t="s">
        <v>156</v>
      </c>
      <c r="AC396" s="58" t="s">
        <v>157</v>
      </c>
      <c r="AD396" s="58" t="s">
        <v>157</v>
      </c>
      <c r="AE396" s="68"/>
      <c r="AF396" s="58"/>
      <c r="AG396" s="58" t="s">
        <v>228</v>
      </c>
      <c r="AH396" s="53" t="s">
        <v>155</v>
      </c>
      <c r="AI396" s="58"/>
      <c r="AJ396" s="91" t="s">
        <v>1225</v>
      </c>
      <c r="AK396" s="255" t="s">
        <v>156</v>
      </c>
      <c r="AL396" s="204" t="s">
        <v>297</v>
      </c>
      <c r="AM396" s="203" t="s">
        <v>1226</v>
      </c>
      <c r="AN396" s="95" t="s">
        <v>1227</v>
      </c>
      <c r="AO396" s="96" t="s">
        <v>164</v>
      </c>
      <c r="AP396" s="66"/>
      <c r="AQ396" s="67" t="s">
        <v>824</v>
      </c>
      <c r="AR396" s="38"/>
      <c r="AT396" s="40"/>
      <c r="AU396" s="40"/>
      <c r="AV396" s="54">
        <v>7220201</v>
      </c>
      <c r="AW396" s="53">
        <v>156</v>
      </c>
      <c r="AY396" s="40"/>
      <c r="AZ396" s="40"/>
      <c r="BI396" s="36"/>
      <c r="BJ396" s="36"/>
      <c r="BK396" s="37"/>
      <c r="BN396" s="16"/>
      <c r="BO396" s="16"/>
    </row>
    <row r="397" spans="1:67" s="67" customFormat="1" ht="15.95" customHeight="1" x14ac:dyDescent="0.25">
      <c r="A397" s="16"/>
      <c r="B397" s="68">
        <f>SUBTOTAL(103,$K$396:K397)</f>
        <v>2</v>
      </c>
      <c r="C397" s="59" t="s">
        <v>167</v>
      </c>
      <c r="D397" s="53" t="s">
        <v>158</v>
      </c>
      <c r="E397" s="68" t="s">
        <v>19</v>
      </c>
      <c r="F397" s="68" t="s">
        <v>106</v>
      </c>
      <c r="G397" s="53" t="s">
        <v>4896</v>
      </c>
      <c r="H397" s="53" t="s">
        <v>4832</v>
      </c>
      <c r="I397" s="58" t="s">
        <v>1228</v>
      </c>
      <c r="J397" s="58" t="s">
        <v>676</v>
      </c>
      <c r="K397" s="234" t="s">
        <v>4266</v>
      </c>
      <c r="L397" s="53" t="s">
        <v>149</v>
      </c>
      <c r="M397" s="53">
        <v>0</v>
      </c>
      <c r="N397" s="59" t="s">
        <v>150</v>
      </c>
      <c r="O397" s="70" t="s">
        <v>5034</v>
      </c>
      <c r="P397" s="59" t="s">
        <v>3894</v>
      </c>
      <c r="Q397" s="82" t="s">
        <v>1111</v>
      </c>
      <c r="R397" s="53">
        <v>2024</v>
      </c>
      <c r="S397" s="59" t="s">
        <v>153</v>
      </c>
      <c r="T397" s="68" t="s">
        <v>378</v>
      </c>
      <c r="U397" s="68"/>
      <c r="V397" s="53" t="s">
        <v>685</v>
      </c>
      <c r="W397" s="59" t="s">
        <v>236</v>
      </c>
      <c r="X397" s="81" t="s">
        <v>4266</v>
      </c>
      <c r="Y397" s="59"/>
      <c r="Z397" s="53"/>
      <c r="AA397" s="58"/>
      <c r="AB397" s="76" t="s">
        <v>156</v>
      </c>
      <c r="AC397" s="53" t="s">
        <v>157</v>
      </c>
      <c r="AD397" s="53" t="s">
        <v>157</v>
      </c>
      <c r="AE397" s="58"/>
      <c r="AF397" s="148"/>
      <c r="AG397" s="59" t="s">
        <v>1229</v>
      </c>
      <c r="AH397" s="59" t="s">
        <v>155</v>
      </c>
      <c r="AI397" s="58"/>
      <c r="AJ397" s="91" t="s">
        <v>1230</v>
      </c>
      <c r="AK397" s="255" t="s">
        <v>156</v>
      </c>
      <c r="AL397" s="256" t="s">
        <v>229</v>
      </c>
      <c r="AM397" s="203" t="s">
        <v>1231</v>
      </c>
      <c r="AN397" s="95" t="s">
        <v>1232</v>
      </c>
      <c r="AO397" s="96" t="s">
        <v>164</v>
      </c>
      <c r="AP397" s="66"/>
      <c r="AQ397" s="67" t="s">
        <v>180</v>
      </c>
      <c r="AR397" s="38"/>
      <c r="AT397" s="40"/>
      <c r="AU397" s="40"/>
      <c r="AV397" s="54">
        <v>7220201</v>
      </c>
      <c r="AW397" s="53">
        <v>157</v>
      </c>
      <c r="AY397" s="40"/>
      <c r="AZ397" s="40"/>
      <c r="BI397" s="36"/>
      <c r="BJ397" s="36"/>
      <c r="BK397" s="37"/>
      <c r="BN397" s="16"/>
      <c r="BO397" s="16"/>
    </row>
    <row r="398" spans="1:67" s="67" customFormat="1" ht="15.95" customHeight="1" x14ac:dyDescent="0.25">
      <c r="A398" s="16"/>
      <c r="B398" s="68">
        <f>SUBTOTAL(103,$K$396:K398)</f>
        <v>3</v>
      </c>
      <c r="C398" s="59" t="s">
        <v>181</v>
      </c>
      <c r="D398" s="53" t="s">
        <v>158</v>
      </c>
      <c r="E398" s="68" t="s">
        <v>19</v>
      </c>
      <c r="F398" s="53" t="s">
        <v>106</v>
      </c>
      <c r="G398" s="53" t="s">
        <v>4896</v>
      </c>
      <c r="H398" s="53" t="s">
        <v>4833</v>
      </c>
      <c r="I398" s="58" t="s">
        <v>1233</v>
      </c>
      <c r="J398" s="58" t="s">
        <v>676</v>
      </c>
      <c r="K398" s="103" t="s">
        <v>4267</v>
      </c>
      <c r="L398" s="68" t="s">
        <v>149</v>
      </c>
      <c r="M398" s="53">
        <v>0</v>
      </c>
      <c r="N398" s="68" t="s">
        <v>150</v>
      </c>
      <c r="O398" s="70" t="s">
        <v>5034</v>
      </c>
      <c r="P398" s="59" t="s">
        <v>3894</v>
      </c>
      <c r="Q398" s="58" t="s">
        <v>1234</v>
      </c>
      <c r="R398" s="53">
        <v>2017</v>
      </c>
      <c r="S398" s="68" t="s">
        <v>248</v>
      </c>
      <c r="T398" s="53"/>
      <c r="U398" s="53" t="s">
        <v>1235</v>
      </c>
      <c r="V398" s="53" t="s">
        <v>384</v>
      </c>
      <c r="W398" s="53" t="s">
        <v>248</v>
      </c>
      <c r="X398" s="57" t="s">
        <v>4267</v>
      </c>
      <c r="Y398" s="53"/>
      <c r="Z398" s="53"/>
      <c r="AA398" s="58"/>
      <c r="AB398" s="76" t="s">
        <v>156</v>
      </c>
      <c r="AC398" s="53" t="s">
        <v>157</v>
      </c>
      <c r="AD398" s="53" t="s">
        <v>157</v>
      </c>
      <c r="AE398" s="58"/>
      <c r="AF398" s="148"/>
      <c r="AG398" s="58" t="s">
        <v>1236</v>
      </c>
      <c r="AH398" s="53" t="s">
        <v>155</v>
      </c>
      <c r="AI398" s="58"/>
      <c r="AJ398" s="257" t="s">
        <v>1237</v>
      </c>
      <c r="AK398" s="258" t="s">
        <v>156</v>
      </c>
      <c r="AL398" s="259" t="s">
        <v>309</v>
      </c>
      <c r="AM398" s="260" t="s">
        <v>1238</v>
      </c>
      <c r="AN398" s="257" t="s">
        <v>1239</v>
      </c>
      <c r="AO398" s="261" t="s">
        <v>632</v>
      </c>
      <c r="AP398" s="66"/>
      <c r="AQ398" s="67" t="s">
        <v>1002</v>
      </c>
      <c r="AR398" s="38"/>
      <c r="AT398" s="40"/>
      <c r="AU398" s="40"/>
      <c r="AV398" s="54">
        <v>7220201</v>
      </c>
      <c r="AW398" s="53">
        <v>158</v>
      </c>
      <c r="AY398" s="40"/>
      <c r="AZ398" s="40"/>
      <c r="BI398" s="36"/>
      <c r="BJ398" s="36"/>
      <c r="BK398" s="37"/>
      <c r="BN398" s="16"/>
      <c r="BO398" s="16"/>
    </row>
    <row r="399" spans="1:67" s="67" customFormat="1" ht="15.95" customHeight="1" x14ac:dyDescent="0.25">
      <c r="A399" s="16"/>
      <c r="B399" s="68">
        <f>SUBTOTAL(103,$K$396:K399)</f>
        <v>4</v>
      </c>
      <c r="C399" s="59" t="s">
        <v>194</v>
      </c>
      <c r="D399" s="53" t="s">
        <v>158</v>
      </c>
      <c r="E399" s="53" t="s">
        <v>19</v>
      </c>
      <c r="F399" s="53" t="s">
        <v>106</v>
      </c>
      <c r="G399" s="53" t="s">
        <v>4896</v>
      </c>
      <c r="H399" s="53" t="s">
        <v>4834</v>
      </c>
      <c r="I399" s="58" t="s">
        <v>1240</v>
      </c>
      <c r="J399" s="58" t="s">
        <v>676</v>
      </c>
      <c r="K399" s="103" t="s">
        <v>4268</v>
      </c>
      <c r="L399" s="53" t="s">
        <v>170</v>
      </c>
      <c r="M399" s="68">
        <v>1</v>
      </c>
      <c r="N399" s="68" t="s">
        <v>150</v>
      </c>
      <c r="O399" s="70" t="s">
        <v>5034</v>
      </c>
      <c r="P399" s="59" t="s">
        <v>3894</v>
      </c>
      <c r="Q399" s="58" t="s">
        <v>54</v>
      </c>
      <c r="R399" s="53">
        <v>2024</v>
      </c>
      <c r="S399" s="68" t="s">
        <v>236</v>
      </c>
      <c r="T399" s="53" t="s">
        <v>1241</v>
      </c>
      <c r="U399" s="53"/>
      <c r="V399" s="53" t="s">
        <v>328</v>
      </c>
      <c r="W399" s="53" t="s">
        <v>236</v>
      </c>
      <c r="X399" s="57" t="s">
        <v>4268</v>
      </c>
      <c r="Y399" s="59"/>
      <c r="Z399" s="53"/>
      <c r="AA399" s="58"/>
      <c r="AB399" s="76" t="s">
        <v>156</v>
      </c>
      <c r="AC399" s="58" t="s">
        <v>157</v>
      </c>
      <c r="AD399" s="53" t="s">
        <v>157</v>
      </c>
      <c r="AE399" s="53"/>
      <c r="AF399" s="148"/>
      <c r="AG399" s="58" t="s">
        <v>1242</v>
      </c>
      <c r="AH399" s="53" t="s">
        <v>155</v>
      </c>
      <c r="AI399" s="58"/>
      <c r="AJ399" s="91" t="s">
        <v>1243</v>
      </c>
      <c r="AK399" s="255" t="s">
        <v>156</v>
      </c>
      <c r="AL399" s="256" t="s">
        <v>229</v>
      </c>
      <c r="AM399" s="262" t="s">
        <v>1244</v>
      </c>
      <c r="AN399" s="95" t="s">
        <v>1245</v>
      </c>
      <c r="AO399" s="96" t="s">
        <v>164</v>
      </c>
      <c r="AP399" s="66"/>
      <c r="AQ399" s="67" t="s">
        <v>334</v>
      </c>
      <c r="AR399" s="38"/>
      <c r="AT399" s="40"/>
      <c r="AU399" s="40"/>
      <c r="AV399" s="54">
        <v>7220201</v>
      </c>
      <c r="AW399" s="53">
        <v>159</v>
      </c>
      <c r="AY399" s="40"/>
      <c r="AZ399" s="40"/>
      <c r="BI399" s="36"/>
      <c r="BJ399" s="36"/>
      <c r="BK399" s="37"/>
      <c r="BN399" s="16"/>
      <c r="BO399" s="16"/>
    </row>
    <row r="400" spans="1:67" s="67" customFormat="1" ht="15.95" customHeight="1" x14ac:dyDescent="0.25">
      <c r="A400" s="16"/>
      <c r="B400" s="68">
        <f>SUBTOTAL(103,$K$396:K400)</f>
        <v>5</v>
      </c>
      <c r="C400" s="59" t="s">
        <v>203</v>
      </c>
      <c r="D400" s="53" t="s">
        <v>158</v>
      </c>
      <c r="E400" s="53" t="s">
        <v>19</v>
      </c>
      <c r="F400" s="53" t="s">
        <v>106</v>
      </c>
      <c r="G400" s="53" t="s">
        <v>4896</v>
      </c>
      <c r="H400" s="53" t="s">
        <v>4835</v>
      </c>
      <c r="I400" s="58" t="s">
        <v>1246</v>
      </c>
      <c r="J400" s="58" t="s">
        <v>676</v>
      </c>
      <c r="K400" s="103" t="s">
        <v>4269</v>
      </c>
      <c r="L400" s="53" t="s">
        <v>170</v>
      </c>
      <c r="M400" s="68">
        <v>1</v>
      </c>
      <c r="N400" s="53" t="s">
        <v>150</v>
      </c>
      <c r="O400" s="70" t="s">
        <v>5034</v>
      </c>
      <c r="P400" s="59" t="s">
        <v>3894</v>
      </c>
      <c r="Q400" s="58" t="s">
        <v>1247</v>
      </c>
      <c r="R400" s="53">
        <v>2024</v>
      </c>
      <c r="S400" s="53" t="s">
        <v>153</v>
      </c>
      <c r="T400" s="53" t="s">
        <v>1248</v>
      </c>
      <c r="U400" s="53"/>
      <c r="V400" s="53" t="s">
        <v>779</v>
      </c>
      <c r="W400" s="59" t="s">
        <v>236</v>
      </c>
      <c r="X400" s="57" t="s">
        <v>4269</v>
      </c>
      <c r="Y400" s="59"/>
      <c r="Z400" s="53"/>
      <c r="AA400" s="58"/>
      <c r="AB400" s="76" t="s">
        <v>156</v>
      </c>
      <c r="AC400" s="58" t="s">
        <v>157</v>
      </c>
      <c r="AD400" s="53" t="s">
        <v>157</v>
      </c>
      <c r="AE400" s="58"/>
      <c r="AF400" s="148"/>
      <c r="AG400" s="59" t="s">
        <v>1249</v>
      </c>
      <c r="AH400" s="53" t="s">
        <v>155</v>
      </c>
      <c r="AI400" s="58"/>
      <c r="AJ400" s="91" t="s">
        <v>1250</v>
      </c>
      <c r="AK400" s="255" t="s">
        <v>156</v>
      </c>
      <c r="AL400" s="204" t="s">
        <v>229</v>
      </c>
      <c r="AM400" s="203" t="s">
        <v>1251</v>
      </c>
      <c r="AN400" s="95" t="s">
        <v>1252</v>
      </c>
      <c r="AO400" s="96" t="s">
        <v>164</v>
      </c>
      <c r="AP400" s="66"/>
      <c r="AQ400" s="67" t="s">
        <v>224</v>
      </c>
      <c r="AR400" s="38"/>
      <c r="AT400" s="40"/>
      <c r="AU400" s="40"/>
      <c r="AV400" s="54">
        <v>7220201</v>
      </c>
      <c r="AW400" s="53">
        <v>160</v>
      </c>
      <c r="AY400" s="40"/>
      <c r="AZ400" s="40"/>
      <c r="BI400" s="36"/>
      <c r="BJ400" s="36"/>
      <c r="BK400" s="37"/>
      <c r="BN400" s="16"/>
      <c r="BO400" s="16"/>
    </row>
    <row r="401" spans="1:67" s="67" customFormat="1" ht="15.95" customHeight="1" x14ac:dyDescent="0.25">
      <c r="A401" s="16"/>
      <c r="B401" s="68">
        <f>SUBTOTAL(103,$K$396:K401)</f>
        <v>6</v>
      </c>
      <c r="C401" s="59" t="s">
        <v>212</v>
      </c>
      <c r="D401" s="53" t="s">
        <v>158</v>
      </c>
      <c r="E401" s="53" t="s">
        <v>19</v>
      </c>
      <c r="F401" s="53" t="s">
        <v>106</v>
      </c>
      <c r="G401" s="53" t="s">
        <v>4896</v>
      </c>
      <c r="H401" s="53" t="s">
        <v>4836</v>
      </c>
      <c r="I401" s="58" t="s">
        <v>1253</v>
      </c>
      <c r="J401" s="58" t="s">
        <v>676</v>
      </c>
      <c r="K401" s="103" t="s">
        <v>4270</v>
      </c>
      <c r="L401" s="53" t="s">
        <v>170</v>
      </c>
      <c r="M401" s="68">
        <v>1</v>
      </c>
      <c r="N401" s="53" t="s">
        <v>150</v>
      </c>
      <c r="O401" s="70" t="s">
        <v>5034</v>
      </c>
      <c r="P401" s="59" t="s">
        <v>3894</v>
      </c>
      <c r="Q401" s="58" t="s">
        <v>1254</v>
      </c>
      <c r="R401" s="53">
        <v>2024</v>
      </c>
      <c r="S401" s="53" t="s">
        <v>1255</v>
      </c>
      <c r="T401" s="53" t="s">
        <v>1256</v>
      </c>
      <c r="U401" s="53"/>
      <c r="V401" s="53" t="s">
        <v>642</v>
      </c>
      <c r="W401" s="53" t="s">
        <v>236</v>
      </c>
      <c r="X401" s="57" t="s">
        <v>4270</v>
      </c>
      <c r="Y401" s="59"/>
      <c r="Z401" s="53"/>
      <c r="AA401" s="58"/>
      <c r="AB401" s="76" t="s">
        <v>156</v>
      </c>
      <c r="AC401" s="58" t="s">
        <v>157</v>
      </c>
      <c r="AD401" s="58" t="s">
        <v>157</v>
      </c>
      <c r="AE401" s="58"/>
      <c r="AF401" s="148"/>
      <c r="AG401" s="58" t="s">
        <v>1257</v>
      </c>
      <c r="AH401" s="53" t="s">
        <v>155</v>
      </c>
      <c r="AI401" s="58"/>
      <c r="AJ401" s="161" t="s">
        <v>1258</v>
      </c>
      <c r="AK401" s="150" t="s">
        <v>156</v>
      </c>
      <c r="AL401" s="67" t="s">
        <v>264</v>
      </c>
      <c r="AM401" s="67" t="s">
        <v>1259</v>
      </c>
      <c r="AN401" s="161" t="s">
        <v>1260</v>
      </c>
      <c r="AO401" s="40" t="s">
        <v>164</v>
      </c>
      <c r="AP401" s="66"/>
      <c r="AQ401" s="84" t="s">
        <v>1132</v>
      </c>
      <c r="AR401" s="38"/>
      <c r="AT401" s="40"/>
      <c r="AU401" s="40"/>
      <c r="AV401" s="54">
        <v>7220201</v>
      </c>
      <c r="AW401" s="53">
        <v>161</v>
      </c>
      <c r="AY401" s="40"/>
      <c r="AZ401" s="40"/>
      <c r="BI401" s="36"/>
      <c r="BJ401" s="36"/>
      <c r="BK401" s="37"/>
      <c r="BN401" s="16"/>
      <c r="BO401" s="16"/>
    </row>
    <row r="402" spans="1:67" s="67" customFormat="1" ht="15.95" customHeight="1" x14ac:dyDescent="0.25">
      <c r="A402" s="16"/>
      <c r="B402" s="68">
        <f>SUBTOTAL(103,$K$396:K402)</f>
        <v>7</v>
      </c>
      <c r="C402" s="59" t="s">
        <v>225</v>
      </c>
      <c r="D402" s="53" t="s">
        <v>158</v>
      </c>
      <c r="E402" s="53" t="s">
        <v>19</v>
      </c>
      <c r="F402" s="53" t="s">
        <v>106</v>
      </c>
      <c r="G402" s="53" t="s">
        <v>4896</v>
      </c>
      <c r="H402" s="53" t="s">
        <v>4837</v>
      </c>
      <c r="I402" s="58" t="s">
        <v>1261</v>
      </c>
      <c r="J402" s="74" t="s">
        <v>676</v>
      </c>
      <c r="K402" s="103" t="s">
        <v>4009</v>
      </c>
      <c r="L402" s="53" t="s">
        <v>170</v>
      </c>
      <c r="M402" s="68">
        <v>1</v>
      </c>
      <c r="N402" s="53" t="s">
        <v>150</v>
      </c>
      <c r="O402" s="70" t="s">
        <v>5034</v>
      </c>
      <c r="P402" s="59" t="s">
        <v>3894</v>
      </c>
      <c r="Q402" s="58" t="s">
        <v>1262</v>
      </c>
      <c r="R402" s="53">
        <v>2024</v>
      </c>
      <c r="S402" s="53" t="s">
        <v>236</v>
      </c>
      <c r="T402" s="53" t="s">
        <v>718</v>
      </c>
      <c r="U402" s="53"/>
      <c r="V402" s="53" t="s">
        <v>647</v>
      </c>
      <c r="W402" s="53" t="s">
        <v>236</v>
      </c>
      <c r="X402" s="57" t="s">
        <v>4009</v>
      </c>
      <c r="Y402" s="59"/>
      <c r="Z402" s="53"/>
      <c r="AA402" s="58"/>
      <c r="AB402" s="76" t="s">
        <v>156</v>
      </c>
      <c r="AC402" s="58" t="s">
        <v>157</v>
      </c>
      <c r="AD402" s="58" t="s">
        <v>157</v>
      </c>
      <c r="AE402" s="68"/>
      <c r="AF402" s="58"/>
      <c r="AG402" s="58" t="s">
        <v>1263</v>
      </c>
      <c r="AH402" s="53" t="s">
        <v>155</v>
      </c>
      <c r="AI402" s="58"/>
      <c r="AJ402" s="91" t="s">
        <v>1264</v>
      </c>
      <c r="AK402" s="92" t="s">
        <v>156</v>
      </c>
      <c r="AL402" s="93" t="s">
        <v>347</v>
      </c>
      <c r="AM402" s="94" t="s">
        <v>1265</v>
      </c>
      <c r="AN402" s="95" t="s">
        <v>1266</v>
      </c>
      <c r="AO402" s="96" t="s">
        <v>632</v>
      </c>
      <c r="AP402" s="66"/>
      <c r="AQ402" s="67" t="s">
        <v>824</v>
      </c>
      <c r="AR402" s="38"/>
      <c r="AT402" s="40"/>
      <c r="AU402" s="40"/>
      <c r="AV402" s="54">
        <v>7220201</v>
      </c>
      <c r="AW402" s="53">
        <v>162</v>
      </c>
      <c r="AY402" s="40"/>
      <c r="AZ402" s="40"/>
      <c r="BI402" s="36"/>
      <c r="BJ402" s="36"/>
      <c r="BK402" s="37"/>
      <c r="BN402" s="16"/>
      <c r="BO402" s="16"/>
    </row>
    <row r="403" spans="1:67" s="67" customFormat="1" ht="15.95" customHeight="1" x14ac:dyDescent="0.25">
      <c r="A403" s="16"/>
      <c r="B403" s="68">
        <f>SUBTOTAL(103,$K$396:K403)</f>
        <v>8</v>
      </c>
      <c r="C403" s="59" t="s">
        <v>233</v>
      </c>
      <c r="D403" s="53" t="s">
        <v>158</v>
      </c>
      <c r="E403" s="53" t="s">
        <v>19</v>
      </c>
      <c r="F403" s="53" t="s">
        <v>106</v>
      </c>
      <c r="G403" s="53" t="s">
        <v>4896</v>
      </c>
      <c r="H403" s="53" t="s">
        <v>4838</v>
      </c>
      <c r="I403" s="58" t="s">
        <v>1267</v>
      </c>
      <c r="J403" s="58" t="s">
        <v>652</v>
      </c>
      <c r="K403" s="103" t="s">
        <v>4271</v>
      </c>
      <c r="L403" s="53" t="s">
        <v>149</v>
      </c>
      <c r="M403" s="53">
        <v>0</v>
      </c>
      <c r="N403" s="68" t="s">
        <v>150</v>
      </c>
      <c r="O403" s="70" t="s">
        <v>5034</v>
      </c>
      <c r="P403" s="59" t="s">
        <v>3894</v>
      </c>
      <c r="Q403" s="58" t="s">
        <v>1268</v>
      </c>
      <c r="R403" s="53">
        <v>2017</v>
      </c>
      <c r="S403" s="53" t="s">
        <v>153</v>
      </c>
      <c r="T403" s="53" t="s">
        <v>271</v>
      </c>
      <c r="U403" s="53"/>
      <c r="V403" s="53" t="s">
        <v>282</v>
      </c>
      <c r="W403" s="53" t="s">
        <v>153</v>
      </c>
      <c r="X403" s="57" t="s">
        <v>4271</v>
      </c>
      <c r="Y403" s="59"/>
      <c r="Z403" s="53"/>
      <c r="AA403" s="58"/>
      <c r="AB403" s="76" t="s">
        <v>156</v>
      </c>
      <c r="AC403" s="58" t="s">
        <v>157</v>
      </c>
      <c r="AD403" s="53" t="s">
        <v>157</v>
      </c>
      <c r="AE403" s="53"/>
      <c r="AF403" s="148"/>
      <c r="AG403" s="58" t="s">
        <v>1269</v>
      </c>
      <c r="AH403" s="53" t="s">
        <v>155</v>
      </c>
      <c r="AI403" s="58"/>
      <c r="AJ403" s="91" t="s">
        <v>1270</v>
      </c>
      <c r="AK403" s="92" t="s">
        <v>156</v>
      </c>
      <c r="AL403" s="263" t="s">
        <v>725</v>
      </c>
      <c r="AM403" s="94" t="s">
        <v>1271</v>
      </c>
      <c r="AN403" s="95" t="s">
        <v>1272</v>
      </c>
      <c r="AO403" s="264" t="s">
        <v>164</v>
      </c>
      <c r="AP403" s="66"/>
      <c r="AQ403" s="67" t="s">
        <v>799</v>
      </c>
      <c r="AR403" s="38"/>
      <c r="AT403" s="40"/>
      <c r="AU403" s="40"/>
      <c r="AV403" s="54">
        <v>7220201</v>
      </c>
      <c r="AW403" s="53">
        <v>163</v>
      </c>
      <c r="AY403" s="40"/>
      <c r="AZ403" s="40"/>
      <c r="BI403" s="36"/>
      <c r="BJ403" s="36"/>
      <c r="BK403" s="37"/>
      <c r="BN403" s="16"/>
      <c r="BO403" s="16"/>
    </row>
    <row r="404" spans="1:67" s="67" customFormat="1" ht="15.95" customHeight="1" x14ac:dyDescent="0.25">
      <c r="A404" s="16"/>
      <c r="B404" s="68">
        <f>SUBTOTAL(103,$K$396:K404)</f>
        <v>9</v>
      </c>
      <c r="C404" s="59" t="s">
        <v>244</v>
      </c>
      <c r="D404" s="53" t="s">
        <v>158</v>
      </c>
      <c r="E404" s="53" t="s">
        <v>19</v>
      </c>
      <c r="F404" s="53" t="s">
        <v>106</v>
      </c>
      <c r="G404" s="53" t="s">
        <v>4896</v>
      </c>
      <c r="H404" s="53" t="s">
        <v>4839</v>
      </c>
      <c r="I404" s="58" t="s">
        <v>1273</v>
      </c>
      <c r="J404" s="58" t="s">
        <v>1274</v>
      </c>
      <c r="K404" s="103" t="s">
        <v>4272</v>
      </c>
      <c r="L404" s="53" t="s">
        <v>149</v>
      </c>
      <c r="M404" s="53">
        <v>0</v>
      </c>
      <c r="N404" s="53" t="s">
        <v>509</v>
      </c>
      <c r="O404" s="70" t="s">
        <v>5034</v>
      </c>
      <c r="P404" s="59" t="s">
        <v>3894</v>
      </c>
      <c r="Q404" s="58" t="s">
        <v>36</v>
      </c>
      <c r="R404" s="53">
        <v>2025</v>
      </c>
      <c r="S404" s="53" t="s">
        <v>236</v>
      </c>
      <c r="T404" s="53" t="s">
        <v>693</v>
      </c>
      <c r="U404" s="53" t="s">
        <v>1275</v>
      </c>
      <c r="V404" s="53" t="s">
        <v>518</v>
      </c>
      <c r="W404" s="53" t="s">
        <v>153</v>
      </c>
      <c r="X404" s="57" t="s">
        <v>4272</v>
      </c>
      <c r="Y404" s="53"/>
      <c r="Z404" s="53"/>
      <c r="AA404" s="58"/>
      <c r="AB404" s="76" t="s">
        <v>156</v>
      </c>
      <c r="AC404" s="58" t="s">
        <v>157</v>
      </c>
      <c r="AD404" s="58" t="s">
        <v>157</v>
      </c>
      <c r="AE404" s="58"/>
      <c r="AF404" s="58"/>
      <c r="AG404" s="64" t="s">
        <v>228</v>
      </c>
      <c r="AH404" s="53" t="s">
        <v>155</v>
      </c>
      <c r="AI404" s="58"/>
      <c r="AJ404" s="91" t="s">
        <v>1276</v>
      </c>
      <c r="AK404" s="92" t="s">
        <v>156</v>
      </c>
      <c r="AL404" s="93" t="s">
        <v>189</v>
      </c>
      <c r="AM404" s="94" t="s">
        <v>1277</v>
      </c>
      <c r="AN404" s="265" t="s">
        <v>1278</v>
      </c>
      <c r="AO404" s="53" t="s">
        <v>164</v>
      </c>
      <c r="AP404" s="66"/>
      <c r="AQ404" s="66" t="s">
        <v>1279</v>
      </c>
      <c r="AU404" s="40"/>
      <c r="AV404" s="54">
        <v>7220201</v>
      </c>
      <c r="AW404" s="53">
        <v>164</v>
      </c>
      <c r="BJ404" s="40"/>
      <c r="BK404" s="40"/>
      <c r="BN404" s="16"/>
      <c r="BO404" s="16"/>
    </row>
    <row r="405" spans="1:67" s="67" customFormat="1" ht="15.95" customHeight="1" x14ac:dyDescent="0.25">
      <c r="A405" s="16"/>
      <c r="B405" s="68">
        <f>SUBTOTAL(103,$K$396:K405)</f>
        <v>10</v>
      </c>
      <c r="C405" s="59" t="s">
        <v>257</v>
      </c>
      <c r="D405" s="53" t="s">
        <v>158</v>
      </c>
      <c r="E405" s="53" t="s">
        <v>19</v>
      </c>
      <c r="F405" s="53" t="s">
        <v>106</v>
      </c>
      <c r="G405" s="53" t="s">
        <v>4896</v>
      </c>
      <c r="H405" s="53" t="s">
        <v>4840</v>
      </c>
      <c r="I405" s="58" t="s">
        <v>1280</v>
      </c>
      <c r="J405" s="58" t="s">
        <v>1281</v>
      </c>
      <c r="K405" s="103" t="s">
        <v>4273</v>
      </c>
      <c r="L405" s="53" t="s">
        <v>149</v>
      </c>
      <c r="M405" s="53">
        <v>0</v>
      </c>
      <c r="N405" s="53" t="s">
        <v>150</v>
      </c>
      <c r="O405" s="70" t="s">
        <v>5034</v>
      </c>
      <c r="P405" s="59" t="s">
        <v>3894</v>
      </c>
      <c r="Q405" s="58" t="s">
        <v>1282</v>
      </c>
      <c r="R405" s="53">
        <v>2009</v>
      </c>
      <c r="S405" s="53" t="s">
        <v>197</v>
      </c>
      <c r="T405" s="53" t="s">
        <v>1283</v>
      </c>
      <c r="U405" s="53"/>
      <c r="V405" s="53" t="s">
        <v>453</v>
      </c>
      <c r="W405" s="53" t="s">
        <v>153</v>
      </c>
      <c r="X405" s="57" t="s">
        <v>4273</v>
      </c>
      <c r="Y405" s="59"/>
      <c r="Z405" s="53"/>
      <c r="AA405" s="58"/>
      <c r="AB405" s="76" t="s">
        <v>156</v>
      </c>
      <c r="AC405" s="58" t="s">
        <v>157</v>
      </c>
      <c r="AD405" s="58" t="s">
        <v>157</v>
      </c>
      <c r="AE405" s="58"/>
      <c r="AF405" s="58"/>
      <c r="AG405" s="58" t="s">
        <v>1284</v>
      </c>
      <c r="AH405" s="53" t="s">
        <v>155</v>
      </c>
      <c r="AI405" s="58"/>
      <c r="AJ405" s="91" t="s">
        <v>1285</v>
      </c>
      <c r="AK405" s="92" t="s">
        <v>156</v>
      </c>
      <c r="AL405" s="93" t="s">
        <v>347</v>
      </c>
      <c r="AM405" s="94" t="s">
        <v>822</v>
      </c>
      <c r="AN405" s="265" t="s">
        <v>1286</v>
      </c>
      <c r="AO405" s="53" t="s">
        <v>164</v>
      </c>
      <c r="AP405" s="66"/>
      <c r="AQ405" s="67" t="s">
        <v>824</v>
      </c>
      <c r="AR405" s="38"/>
      <c r="AT405" s="40"/>
      <c r="AU405" s="40"/>
      <c r="AV405" s="54">
        <v>7220201</v>
      </c>
      <c r="AW405" s="53">
        <v>165</v>
      </c>
      <c r="AY405" s="40"/>
      <c r="AZ405" s="40"/>
      <c r="BI405" s="36"/>
      <c r="BJ405" s="36"/>
      <c r="BK405" s="37"/>
      <c r="BN405" s="16"/>
      <c r="BO405" s="16"/>
    </row>
    <row r="406" spans="1:67" s="67" customFormat="1" ht="15.95" customHeight="1" x14ac:dyDescent="0.25">
      <c r="A406" s="16"/>
      <c r="B406" s="68">
        <f>SUBTOTAL(103,$K$396:K406)</f>
        <v>11</v>
      </c>
      <c r="C406" s="59" t="s">
        <v>268</v>
      </c>
      <c r="D406" s="53" t="s">
        <v>158</v>
      </c>
      <c r="E406" s="53" t="s">
        <v>19</v>
      </c>
      <c r="F406" s="53" t="s">
        <v>106</v>
      </c>
      <c r="G406" s="53" t="s">
        <v>4896</v>
      </c>
      <c r="H406" s="53" t="s">
        <v>4841</v>
      </c>
      <c r="I406" s="58" t="s">
        <v>524</v>
      </c>
      <c r="J406" s="58" t="s">
        <v>430</v>
      </c>
      <c r="K406" s="103" t="s">
        <v>4274</v>
      </c>
      <c r="L406" s="53" t="s">
        <v>170</v>
      </c>
      <c r="M406" s="68">
        <v>1</v>
      </c>
      <c r="N406" s="53" t="s">
        <v>150</v>
      </c>
      <c r="O406" s="70" t="s">
        <v>5034</v>
      </c>
      <c r="P406" s="59" t="s">
        <v>3894</v>
      </c>
      <c r="Q406" s="58" t="s">
        <v>26</v>
      </c>
      <c r="R406" s="53">
        <v>2016</v>
      </c>
      <c r="S406" s="68" t="s">
        <v>236</v>
      </c>
      <c r="T406" s="53" t="s">
        <v>1287</v>
      </c>
      <c r="U406" s="53" t="s">
        <v>461</v>
      </c>
      <c r="V406" s="53" t="s">
        <v>518</v>
      </c>
      <c r="W406" s="59" t="s">
        <v>153</v>
      </c>
      <c r="X406" s="57" t="s">
        <v>4274</v>
      </c>
      <c r="Y406" s="59"/>
      <c r="Z406" s="53"/>
      <c r="AA406" s="58"/>
      <c r="AB406" s="76" t="s">
        <v>294</v>
      </c>
      <c r="AC406" s="58" t="s">
        <v>157</v>
      </c>
      <c r="AD406" s="53" t="s">
        <v>157</v>
      </c>
      <c r="AE406" s="53"/>
      <c r="AF406" s="148"/>
      <c r="AG406" s="59" t="s">
        <v>228</v>
      </c>
      <c r="AH406" s="53" t="s">
        <v>155</v>
      </c>
      <c r="AI406" s="58"/>
      <c r="AJ406" s="91" t="s">
        <v>1288</v>
      </c>
      <c r="AK406" s="92" t="s">
        <v>156</v>
      </c>
      <c r="AL406" s="93" t="s">
        <v>229</v>
      </c>
      <c r="AM406" s="94" t="s">
        <v>1289</v>
      </c>
      <c r="AN406" s="265" t="s">
        <v>1290</v>
      </c>
      <c r="AO406" s="53" t="s">
        <v>164</v>
      </c>
      <c r="AP406" s="66"/>
      <c r="AQ406" s="67" t="s">
        <v>449</v>
      </c>
      <c r="AR406" s="38"/>
      <c r="AT406" s="40"/>
      <c r="AU406" s="40"/>
      <c r="AV406" s="54">
        <v>7220201</v>
      </c>
      <c r="AW406" s="53">
        <v>166</v>
      </c>
      <c r="AY406" s="40"/>
      <c r="AZ406" s="40"/>
      <c r="BI406" s="36"/>
      <c r="BJ406" s="36"/>
      <c r="BK406" s="37"/>
      <c r="BN406" s="16"/>
      <c r="BO406" s="16"/>
    </row>
    <row r="407" spans="1:67" s="67" customFormat="1" ht="15.95" customHeight="1" x14ac:dyDescent="0.25">
      <c r="A407" s="16"/>
      <c r="B407" s="68">
        <f>SUBTOTAL(103,$K$396:K407)</f>
        <v>12</v>
      </c>
      <c r="C407" s="59" t="s">
        <v>278</v>
      </c>
      <c r="D407" s="53" t="s">
        <v>158</v>
      </c>
      <c r="E407" s="68" t="s">
        <v>19</v>
      </c>
      <c r="F407" s="53" t="s">
        <v>106</v>
      </c>
      <c r="G407" s="53" t="s">
        <v>4896</v>
      </c>
      <c r="H407" s="53" t="s">
        <v>4842</v>
      </c>
      <c r="I407" s="58" t="s">
        <v>745</v>
      </c>
      <c r="J407" s="58" t="s">
        <v>430</v>
      </c>
      <c r="K407" s="103" t="s">
        <v>4275</v>
      </c>
      <c r="L407" s="68" t="s">
        <v>170</v>
      </c>
      <c r="M407" s="68">
        <v>1</v>
      </c>
      <c r="N407" s="53" t="s">
        <v>150</v>
      </c>
      <c r="O407" s="70" t="s">
        <v>5034</v>
      </c>
      <c r="P407" s="59" t="s">
        <v>3894</v>
      </c>
      <c r="Q407" s="58" t="s">
        <v>1291</v>
      </c>
      <c r="R407" s="53">
        <v>2022</v>
      </c>
      <c r="S407" s="53" t="s">
        <v>153</v>
      </c>
      <c r="T407" s="53" t="s">
        <v>501</v>
      </c>
      <c r="U407" s="53" t="s">
        <v>433</v>
      </c>
      <c r="V407" s="53" t="s">
        <v>548</v>
      </c>
      <c r="W407" s="59" t="s">
        <v>153</v>
      </c>
      <c r="X407" s="57" t="s">
        <v>4275</v>
      </c>
      <c r="Y407" s="59"/>
      <c r="Z407" s="68"/>
      <c r="AA407" s="58"/>
      <c r="AB407" s="76" t="s">
        <v>156</v>
      </c>
      <c r="AC407" s="53" t="s">
        <v>157</v>
      </c>
      <c r="AD407" s="53" t="s">
        <v>157</v>
      </c>
      <c r="AE407" s="58"/>
      <c r="AF407" s="58"/>
      <c r="AG407" s="58" t="s">
        <v>1292</v>
      </c>
      <c r="AH407" s="53" t="s">
        <v>155</v>
      </c>
      <c r="AI407" s="68"/>
      <c r="AJ407" s="91" t="s">
        <v>1293</v>
      </c>
      <c r="AK407" s="93" t="s">
        <v>156</v>
      </c>
      <c r="AL407" s="93" t="s">
        <v>366</v>
      </c>
      <c r="AM407" s="266" t="s">
        <v>1294</v>
      </c>
      <c r="AN407" s="95" t="s">
        <v>1295</v>
      </c>
      <c r="AO407" s="96" t="s">
        <v>164</v>
      </c>
      <c r="AP407" s="66"/>
      <c r="AQ407" s="67" t="s">
        <v>429</v>
      </c>
      <c r="AR407" s="38"/>
      <c r="AT407" s="40"/>
      <c r="AU407" s="40"/>
      <c r="AV407" s="54">
        <v>7220201</v>
      </c>
      <c r="AW407" s="53">
        <v>167</v>
      </c>
      <c r="AY407" s="40"/>
      <c r="AZ407" s="40"/>
      <c r="BI407" s="36"/>
      <c r="BJ407" s="36"/>
      <c r="BK407" s="37"/>
      <c r="BN407" s="16"/>
      <c r="BO407" s="16"/>
    </row>
    <row r="408" spans="1:67" s="67" customFormat="1" ht="15.95" customHeight="1" x14ac:dyDescent="0.25">
      <c r="A408" s="16"/>
      <c r="B408" s="68">
        <f>SUBTOTAL(103,$K$396:K408)</f>
        <v>13</v>
      </c>
      <c r="C408" s="59" t="s">
        <v>390</v>
      </c>
      <c r="D408" s="53" t="s">
        <v>158</v>
      </c>
      <c r="E408" s="53" t="s">
        <v>19</v>
      </c>
      <c r="F408" s="53" t="s">
        <v>106</v>
      </c>
      <c r="G408" s="53" t="s">
        <v>4896</v>
      </c>
      <c r="H408" s="53" t="s">
        <v>4843</v>
      </c>
      <c r="I408" s="58" t="s">
        <v>1296</v>
      </c>
      <c r="J408" s="58" t="s">
        <v>997</v>
      </c>
      <c r="K408" s="103" t="s">
        <v>4276</v>
      </c>
      <c r="L408" s="53" t="s">
        <v>149</v>
      </c>
      <c r="M408" s="53">
        <v>0</v>
      </c>
      <c r="N408" s="53" t="s">
        <v>150</v>
      </c>
      <c r="O408" s="70" t="s">
        <v>5034</v>
      </c>
      <c r="P408" s="59" t="s">
        <v>3894</v>
      </c>
      <c r="Q408" s="58" t="s">
        <v>29</v>
      </c>
      <c r="R408" s="53">
        <v>2011</v>
      </c>
      <c r="S408" s="53" t="s">
        <v>153</v>
      </c>
      <c r="T408" s="53" t="s">
        <v>583</v>
      </c>
      <c r="U408" s="53"/>
      <c r="V408" s="53"/>
      <c r="W408" s="53"/>
      <c r="X408" s="197" t="s">
        <v>4276</v>
      </c>
      <c r="Y408" s="59"/>
      <c r="Z408" s="53"/>
      <c r="AA408" s="58"/>
      <c r="AB408" s="76" t="s">
        <v>156</v>
      </c>
      <c r="AC408" s="58" t="s">
        <v>157</v>
      </c>
      <c r="AD408" s="58"/>
      <c r="AE408" s="58"/>
      <c r="AF408" s="148"/>
      <c r="AG408" s="58" t="s">
        <v>228</v>
      </c>
      <c r="AH408" s="53" t="s">
        <v>155</v>
      </c>
      <c r="AI408" s="58"/>
      <c r="AJ408" s="91" t="s">
        <v>1297</v>
      </c>
      <c r="AK408" s="92" t="s">
        <v>156</v>
      </c>
      <c r="AL408" s="93" t="s">
        <v>1298</v>
      </c>
      <c r="AM408" s="94" t="s">
        <v>1299</v>
      </c>
      <c r="AN408" s="95" t="s">
        <v>1300</v>
      </c>
      <c r="AO408" s="96" t="s">
        <v>1301</v>
      </c>
      <c r="AP408" s="66" t="s">
        <v>1302</v>
      </c>
      <c r="AQ408" s="84" t="s">
        <v>1132</v>
      </c>
      <c r="AR408" s="38"/>
      <c r="AT408" s="40"/>
      <c r="AU408" s="40"/>
      <c r="AV408" s="54">
        <v>7220201</v>
      </c>
      <c r="AW408" s="53">
        <v>168</v>
      </c>
      <c r="AY408" s="40"/>
      <c r="AZ408" s="40"/>
      <c r="BI408" s="36"/>
      <c r="BJ408" s="36"/>
      <c r="BK408" s="37"/>
      <c r="BN408" s="16"/>
      <c r="BO408" s="16"/>
    </row>
    <row r="409" spans="1:67" s="67" customFormat="1" ht="15.95" customHeight="1" x14ac:dyDescent="0.25">
      <c r="A409" s="16"/>
      <c r="B409" s="68">
        <f>SUBTOTAL(103,$K$396:K409)</f>
        <v>14</v>
      </c>
      <c r="C409" s="59" t="s">
        <v>398</v>
      </c>
      <c r="D409" s="53" t="s">
        <v>158</v>
      </c>
      <c r="E409" s="68" t="s">
        <v>19</v>
      </c>
      <c r="F409" s="53" t="s">
        <v>106</v>
      </c>
      <c r="G409" s="53" t="s">
        <v>4896</v>
      </c>
      <c r="H409" s="53" t="s">
        <v>4844</v>
      </c>
      <c r="I409" s="58" t="s">
        <v>1303</v>
      </c>
      <c r="J409" s="58" t="s">
        <v>1304</v>
      </c>
      <c r="K409" s="103" t="s">
        <v>4277</v>
      </c>
      <c r="L409" s="68" t="s">
        <v>170</v>
      </c>
      <c r="M409" s="68">
        <v>1</v>
      </c>
      <c r="N409" s="68" t="s">
        <v>150</v>
      </c>
      <c r="O409" s="70" t="s">
        <v>5034</v>
      </c>
      <c r="P409" s="59" t="s">
        <v>3894</v>
      </c>
      <c r="Q409" s="58" t="s">
        <v>54</v>
      </c>
      <c r="R409" s="53">
        <v>2024</v>
      </c>
      <c r="S409" s="53" t="s">
        <v>153</v>
      </c>
      <c r="T409" s="53"/>
      <c r="U409" s="53" t="s">
        <v>1305</v>
      </c>
      <c r="V409" s="53" t="s">
        <v>186</v>
      </c>
      <c r="W409" s="59" t="s">
        <v>153</v>
      </c>
      <c r="X409" s="57" t="s">
        <v>4277</v>
      </c>
      <c r="Y409" s="59"/>
      <c r="Z409" s="53"/>
      <c r="AA409" s="58"/>
      <c r="AB409" s="76" t="s">
        <v>156</v>
      </c>
      <c r="AC409" s="53" t="s">
        <v>157</v>
      </c>
      <c r="AD409" s="53" t="s">
        <v>157</v>
      </c>
      <c r="AE409" s="58"/>
      <c r="AF409" s="148"/>
      <c r="AG409" s="64" t="s">
        <v>295</v>
      </c>
      <c r="AH409" s="53" t="s">
        <v>155</v>
      </c>
      <c r="AI409" s="58"/>
      <c r="AJ409" s="91" t="s">
        <v>1306</v>
      </c>
      <c r="AK409" s="92" t="s">
        <v>156</v>
      </c>
      <c r="AL409" s="263" t="s">
        <v>229</v>
      </c>
      <c r="AM409" s="94" t="s">
        <v>644</v>
      </c>
      <c r="AN409" s="95" t="s">
        <v>1307</v>
      </c>
      <c r="AO409" s="96" t="s">
        <v>164</v>
      </c>
      <c r="AP409" s="66"/>
      <c r="AQ409" s="67" t="s">
        <v>471</v>
      </c>
      <c r="AR409" s="38"/>
      <c r="AT409" s="40"/>
      <c r="AU409" s="40"/>
      <c r="AV409" s="54">
        <v>7220201</v>
      </c>
      <c r="AW409" s="53">
        <v>169</v>
      </c>
      <c r="AY409" s="40"/>
      <c r="AZ409" s="40"/>
      <c r="BI409" s="36"/>
      <c r="BJ409" s="36"/>
      <c r="BK409" s="37"/>
      <c r="BN409" s="16"/>
      <c r="BO409" s="16"/>
    </row>
    <row r="410" spans="1:67" s="67" customFormat="1" ht="15.95" customHeight="1" x14ac:dyDescent="0.25">
      <c r="A410" s="16"/>
      <c r="B410" s="68">
        <f>SUBTOTAL(103,$K$396:K410)</f>
        <v>15</v>
      </c>
      <c r="C410" s="59" t="s">
        <v>407</v>
      </c>
      <c r="D410" s="53" t="s">
        <v>158</v>
      </c>
      <c r="E410" s="53" t="s">
        <v>19</v>
      </c>
      <c r="F410" s="53" t="s">
        <v>106</v>
      </c>
      <c r="G410" s="53" t="s">
        <v>4896</v>
      </c>
      <c r="H410" s="53" t="s">
        <v>4845</v>
      </c>
      <c r="I410" s="58" t="s">
        <v>1308</v>
      </c>
      <c r="J410" s="58" t="s">
        <v>565</v>
      </c>
      <c r="K410" s="103" t="s">
        <v>4278</v>
      </c>
      <c r="L410" s="53" t="s">
        <v>170</v>
      </c>
      <c r="M410" s="68">
        <v>1</v>
      </c>
      <c r="N410" s="53" t="s">
        <v>150</v>
      </c>
      <c r="O410" s="70" t="s">
        <v>5034</v>
      </c>
      <c r="P410" s="59" t="s">
        <v>3894</v>
      </c>
      <c r="Q410" s="58" t="s">
        <v>26</v>
      </c>
      <c r="R410" s="53">
        <v>2023</v>
      </c>
      <c r="S410" s="53" t="s">
        <v>153</v>
      </c>
      <c r="T410" s="53" t="s">
        <v>1309</v>
      </c>
      <c r="U410" s="53"/>
      <c r="V410" s="53"/>
      <c r="W410" s="53"/>
      <c r="X410" s="57" t="s">
        <v>4278</v>
      </c>
      <c r="Y410" s="59"/>
      <c r="Z410" s="53"/>
      <c r="AA410" s="58"/>
      <c r="AB410" s="76" t="s">
        <v>156</v>
      </c>
      <c r="AC410" s="58" t="s">
        <v>157</v>
      </c>
      <c r="AD410" s="53"/>
      <c r="AE410" s="53"/>
      <c r="AF410" s="148"/>
      <c r="AG410" s="74" t="s">
        <v>228</v>
      </c>
      <c r="AH410" s="53" t="s">
        <v>19</v>
      </c>
      <c r="AI410" s="58"/>
      <c r="AJ410" s="91" t="s">
        <v>1310</v>
      </c>
      <c r="AK410" s="92" t="s">
        <v>156</v>
      </c>
      <c r="AL410" s="93" t="s">
        <v>1311</v>
      </c>
      <c r="AM410" s="94" t="s">
        <v>1312</v>
      </c>
      <c r="AN410" s="95" t="s">
        <v>1313</v>
      </c>
      <c r="AO410" s="96" t="s">
        <v>164</v>
      </c>
      <c r="AP410" s="66" t="s">
        <v>1314</v>
      </c>
      <c r="AQ410" s="67" t="s">
        <v>449</v>
      </c>
      <c r="AR410" s="38"/>
      <c r="AT410" s="40"/>
      <c r="AU410" s="40"/>
      <c r="AV410" s="54">
        <v>7220201</v>
      </c>
      <c r="AW410" s="53">
        <v>170</v>
      </c>
      <c r="AY410" s="40"/>
      <c r="AZ410" s="40"/>
      <c r="BI410" s="36"/>
      <c r="BJ410" s="36"/>
      <c r="BK410" s="37"/>
      <c r="BN410" s="16"/>
      <c r="BO410" s="16"/>
    </row>
    <row r="411" spans="1:67" s="67" customFormat="1" ht="15.95" customHeight="1" x14ac:dyDescent="0.25">
      <c r="A411" s="16"/>
      <c r="B411" s="68">
        <f>SUBTOTAL(103,$K$396:K411)</f>
        <v>16</v>
      </c>
      <c r="C411" s="59" t="s">
        <v>415</v>
      </c>
      <c r="D411" s="53" t="s">
        <v>158</v>
      </c>
      <c r="E411" s="68" t="s">
        <v>19</v>
      </c>
      <c r="F411" s="53" t="s">
        <v>106</v>
      </c>
      <c r="G411" s="53" t="s">
        <v>4896</v>
      </c>
      <c r="H411" s="53" t="s">
        <v>4846</v>
      </c>
      <c r="I411" s="58" t="s">
        <v>1315</v>
      </c>
      <c r="J411" s="58" t="s">
        <v>1316</v>
      </c>
      <c r="K411" s="103" t="s">
        <v>4279</v>
      </c>
      <c r="L411" s="53" t="s">
        <v>149</v>
      </c>
      <c r="M411" s="53">
        <v>0</v>
      </c>
      <c r="N411" s="68" t="s">
        <v>441</v>
      </c>
      <c r="O411" s="70" t="s">
        <v>5034</v>
      </c>
      <c r="P411" s="59" t="s">
        <v>3894</v>
      </c>
      <c r="Q411" s="58" t="s">
        <v>56</v>
      </c>
      <c r="R411" s="53">
        <v>2015</v>
      </c>
      <c r="S411" s="53" t="s">
        <v>153</v>
      </c>
      <c r="T411" s="53" t="s">
        <v>1317</v>
      </c>
      <c r="U411" s="53" t="s">
        <v>1318</v>
      </c>
      <c r="V411" s="53" t="s">
        <v>411</v>
      </c>
      <c r="W411" s="53" t="s">
        <v>153</v>
      </c>
      <c r="X411" s="57" t="s">
        <v>4279</v>
      </c>
      <c r="Y411" s="59"/>
      <c r="Z411" s="53"/>
      <c r="AA411" s="58"/>
      <c r="AB411" s="76" t="s">
        <v>156</v>
      </c>
      <c r="AC411" s="58" t="s">
        <v>157</v>
      </c>
      <c r="AD411" s="53" t="s">
        <v>157</v>
      </c>
      <c r="AE411" s="58"/>
      <c r="AF411" s="148"/>
      <c r="AG411" s="59" t="s">
        <v>1319</v>
      </c>
      <c r="AH411" s="53" t="s">
        <v>155</v>
      </c>
      <c r="AI411" s="58"/>
      <c r="AJ411" s="91" t="s">
        <v>1320</v>
      </c>
      <c r="AK411" s="92" t="s">
        <v>156</v>
      </c>
      <c r="AL411" s="93" t="s">
        <v>1321</v>
      </c>
      <c r="AM411" s="94" t="s">
        <v>1322</v>
      </c>
      <c r="AN411" s="95" t="s">
        <v>1323</v>
      </c>
      <c r="AO411" s="96" t="s">
        <v>164</v>
      </c>
      <c r="AP411" s="66"/>
      <c r="AQ411" s="67" t="s">
        <v>1324</v>
      </c>
      <c r="AR411" s="38"/>
      <c r="AT411" s="40"/>
      <c r="AU411" s="40"/>
      <c r="AV411" s="54">
        <v>7220201</v>
      </c>
      <c r="AW411" s="53">
        <v>171</v>
      </c>
      <c r="AY411" s="40"/>
      <c r="AZ411" s="40"/>
      <c r="BI411" s="36"/>
      <c r="BJ411" s="36"/>
      <c r="BK411" s="37"/>
      <c r="BN411" s="16"/>
      <c r="BO411" s="16"/>
    </row>
    <row r="412" spans="1:67" s="67" customFormat="1" ht="15.95" customHeight="1" x14ac:dyDescent="0.25">
      <c r="A412" s="16"/>
      <c r="B412" s="68">
        <f>SUBTOTAL(103,$K$396:K412)</f>
        <v>17</v>
      </c>
      <c r="C412" s="59" t="s">
        <v>543</v>
      </c>
      <c r="D412" s="53" t="s">
        <v>158</v>
      </c>
      <c r="E412" s="53" t="s">
        <v>19</v>
      </c>
      <c r="F412" s="53" t="s">
        <v>106</v>
      </c>
      <c r="G412" s="53" t="s">
        <v>4896</v>
      </c>
      <c r="H412" s="53" t="s">
        <v>4847</v>
      </c>
      <c r="I412" s="58" t="s">
        <v>213</v>
      </c>
      <c r="J412" s="58" t="s">
        <v>1325</v>
      </c>
      <c r="K412" s="103" t="s">
        <v>4280</v>
      </c>
      <c r="L412" s="53" t="s">
        <v>149</v>
      </c>
      <c r="M412" s="53">
        <v>0</v>
      </c>
      <c r="N412" s="53" t="s">
        <v>150</v>
      </c>
      <c r="O412" s="70" t="s">
        <v>5034</v>
      </c>
      <c r="P412" s="59" t="s">
        <v>3894</v>
      </c>
      <c r="Q412" s="58" t="s">
        <v>1326</v>
      </c>
      <c r="R412" s="53">
        <v>2010</v>
      </c>
      <c r="S412" s="53" t="s">
        <v>236</v>
      </c>
      <c r="T412" s="53" t="s">
        <v>1084</v>
      </c>
      <c r="U412" s="53"/>
      <c r="V412" s="53" t="s">
        <v>411</v>
      </c>
      <c r="W412" s="53" t="s">
        <v>153</v>
      </c>
      <c r="X412" s="57" t="s">
        <v>4280</v>
      </c>
      <c r="Y412" s="53"/>
      <c r="Z412" s="53"/>
      <c r="AA412" s="58"/>
      <c r="AB412" s="76" t="s">
        <v>156</v>
      </c>
      <c r="AC412" s="58" t="s">
        <v>157</v>
      </c>
      <c r="AD412" s="58" t="s">
        <v>157</v>
      </c>
      <c r="AE412" s="58"/>
      <c r="AF412" s="58"/>
      <c r="AG412" s="64" t="s">
        <v>228</v>
      </c>
      <c r="AH412" s="53" t="s">
        <v>155</v>
      </c>
      <c r="AI412" s="58"/>
      <c r="AJ412" s="91" t="s">
        <v>1327</v>
      </c>
      <c r="AK412" s="92" t="s">
        <v>156</v>
      </c>
      <c r="AL412" s="93" t="s">
        <v>220</v>
      </c>
      <c r="AM412" s="94" t="s">
        <v>1328</v>
      </c>
      <c r="AN412" s="95" t="s">
        <v>1329</v>
      </c>
      <c r="AO412" s="96" t="s">
        <v>164</v>
      </c>
      <c r="AP412" s="66"/>
      <c r="AQ412" s="88" t="s">
        <v>406</v>
      </c>
      <c r="AU412" s="40"/>
      <c r="AV412" s="54">
        <v>7220201</v>
      </c>
      <c r="AW412" s="53">
        <v>172</v>
      </c>
      <c r="BJ412" s="40"/>
      <c r="BK412" s="40"/>
      <c r="BN412" s="16"/>
      <c r="BO412" s="16"/>
    </row>
    <row r="413" spans="1:67" s="67" customFormat="1" ht="15.95" customHeight="1" x14ac:dyDescent="0.25">
      <c r="A413" s="16"/>
      <c r="B413" s="68">
        <f>SUBTOTAL(103,$K$396:K413)</f>
        <v>18</v>
      </c>
      <c r="C413" s="59" t="s">
        <v>555</v>
      </c>
      <c r="D413" s="53" t="s">
        <v>158</v>
      </c>
      <c r="E413" s="53" t="s">
        <v>19</v>
      </c>
      <c r="F413" s="53" t="s">
        <v>106</v>
      </c>
      <c r="G413" s="53" t="s">
        <v>4896</v>
      </c>
      <c r="H413" s="53" t="s">
        <v>4848</v>
      </c>
      <c r="I413" s="58" t="s">
        <v>182</v>
      </c>
      <c r="J413" s="58" t="s">
        <v>440</v>
      </c>
      <c r="K413" s="103" t="s">
        <v>4281</v>
      </c>
      <c r="L413" s="53" t="s">
        <v>170</v>
      </c>
      <c r="M413" s="68">
        <v>1</v>
      </c>
      <c r="N413" s="53" t="s">
        <v>150</v>
      </c>
      <c r="O413" s="70" t="s">
        <v>5034</v>
      </c>
      <c r="P413" s="59" t="s">
        <v>3894</v>
      </c>
      <c r="Q413" s="58" t="s">
        <v>29</v>
      </c>
      <c r="R413" s="53">
        <v>2007</v>
      </c>
      <c r="S413" s="53" t="s">
        <v>153</v>
      </c>
      <c r="T413" s="53" t="s">
        <v>1330</v>
      </c>
      <c r="U413" s="53"/>
      <c r="V413" s="53"/>
      <c r="W413" s="53"/>
      <c r="X413" s="57" t="s">
        <v>4281</v>
      </c>
      <c r="Y413" s="59"/>
      <c r="Z413" s="53"/>
      <c r="AA413" s="58"/>
      <c r="AB413" s="76" t="s">
        <v>156</v>
      </c>
      <c r="AC413" s="58" t="s">
        <v>157</v>
      </c>
      <c r="AD413" s="58"/>
      <c r="AE413" s="58"/>
      <c r="AF413" s="148"/>
      <c r="AG413" s="58" t="s">
        <v>228</v>
      </c>
      <c r="AH413" s="53" t="s">
        <v>155</v>
      </c>
      <c r="AI413" s="58"/>
      <c r="AJ413" s="91" t="s">
        <v>1331</v>
      </c>
      <c r="AK413" s="92" t="s">
        <v>156</v>
      </c>
      <c r="AL413" s="93" t="s">
        <v>189</v>
      </c>
      <c r="AM413" s="94" t="s">
        <v>1332</v>
      </c>
      <c r="AN413" s="95" t="s">
        <v>1333</v>
      </c>
      <c r="AO413" s="96" t="s">
        <v>1301</v>
      </c>
      <c r="AP413" s="66" t="s">
        <v>1334</v>
      </c>
      <c r="AQ413" s="84" t="s">
        <v>368</v>
      </c>
      <c r="AR413" s="38"/>
      <c r="AT413" s="40"/>
      <c r="AU413" s="40"/>
      <c r="AV413" s="54">
        <v>7220201</v>
      </c>
      <c r="AW413" s="53">
        <v>173</v>
      </c>
      <c r="AY413" s="40"/>
      <c r="AZ413" s="40"/>
      <c r="BI413" s="36"/>
      <c r="BJ413" s="36"/>
      <c r="BK413" s="37"/>
      <c r="BN413" s="16"/>
      <c r="BO413" s="16"/>
    </row>
    <row r="414" spans="1:67" s="67" customFormat="1" ht="15.95" customHeight="1" x14ac:dyDescent="0.25">
      <c r="A414" s="16"/>
      <c r="B414" s="68">
        <f>SUBTOTAL(103,$K$396:K414)</f>
        <v>19</v>
      </c>
      <c r="C414" s="59" t="s">
        <v>563</v>
      </c>
      <c r="D414" s="53" t="s">
        <v>158</v>
      </c>
      <c r="E414" s="53" t="s">
        <v>19</v>
      </c>
      <c r="F414" s="53" t="s">
        <v>106</v>
      </c>
      <c r="G414" s="53" t="s">
        <v>4896</v>
      </c>
      <c r="H414" s="53" t="s">
        <v>4849</v>
      </c>
      <c r="I414" s="58" t="s">
        <v>1335</v>
      </c>
      <c r="J414" s="58" t="s">
        <v>440</v>
      </c>
      <c r="K414" s="103" t="s">
        <v>4282</v>
      </c>
      <c r="L414" s="53" t="s">
        <v>170</v>
      </c>
      <c r="M414" s="68">
        <v>1</v>
      </c>
      <c r="N414" s="53" t="s">
        <v>150</v>
      </c>
      <c r="O414" s="70" t="s">
        <v>5034</v>
      </c>
      <c r="P414" s="59" t="s">
        <v>3894</v>
      </c>
      <c r="Q414" s="58" t="s">
        <v>64</v>
      </c>
      <c r="R414" s="53">
        <v>2004</v>
      </c>
      <c r="S414" s="53" t="s">
        <v>248</v>
      </c>
      <c r="T414" s="53" t="s">
        <v>1336</v>
      </c>
      <c r="U414" s="53"/>
      <c r="V414" s="53" t="s">
        <v>518</v>
      </c>
      <c r="W414" s="53" t="s">
        <v>153</v>
      </c>
      <c r="X414" s="57" t="s">
        <v>4282</v>
      </c>
      <c r="Y414" s="59"/>
      <c r="Z414" s="53"/>
      <c r="AA414" s="58"/>
      <c r="AB414" s="76" t="s">
        <v>1136</v>
      </c>
      <c r="AC414" s="58" t="s">
        <v>157</v>
      </c>
      <c r="AD414" s="58" t="s">
        <v>157</v>
      </c>
      <c r="AE414" s="58"/>
      <c r="AF414" s="58"/>
      <c r="AG414" s="64" t="s">
        <v>206</v>
      </c>
      <c r="AH414" s="53" t="s">
        <v>1337</v>
      </c>
      <c r="AI414" s="58"/>
      <c r="AJ414" s="91" t="s">
        <v>1338</v>
      </c>
      <c r="AK414" s="92" t="s">
        <v>1136</v>
      </c>
      <c r="AL414" s="93" t="s">
        <v>1139</v>
      </c>
      <c r="AM414" s="94" t="s">
        <v>1339</v>
      </c>
      <c r="AN414" s="207" t="s">
        <v>1340</v>
      </c>
      <c r="AO414" s="96" t="s">
        <v>164</v>
      </c>
      <c r="AP414" s="66"/>
      <c r="AQ414" s="88" t="s">
        <v>406</v>
      </c>
      <c r="AU414" s="40"/>
      <c r="AV414" s="54">
        <v>7220201</v>
      </c>
      <c r="AW414" s="53">
        <v>174</v>
      </c>
      <c r="BJ414" s="40"/>
      <c r="BK414" s="40"/>
      <c r="BN414" s="16"/>
      <c r="BO414" s="16"/>
    </row>
    <row r="415" spans="1:67" s="67" customFormat="1" ht="15.95" customHeight="1" x14ac:dyDescent="0.25">
      <c r="A415" s="16"/>
      <c r="B415" s="68">
        <f>SUBTOTAL(103,$K$396:K415)</f>
        <v>20</v>
      </c>
      <c r="C415" s="59" t="s">
        <v>572</v>
      </c>
      <c r="D415" s="53" t="s">
        <v>158</v>
      </c>
      <c r="E415" s="53" t="s">
        <v>19</v>
      </c>
      <c r="F415" s="59" t="s">
        <v>106</v>
      </c>
      <c r="G415" s="53" t="s">
        <v>4896</v>
      </c>
      <c r="H415" s="53" t="s">
        <v>4850</v>
      </c>
      <c r="I415" s="73" t="s">
        <v>1341</v>
      </c>
      <c r="J415" s="74" t="s">
        <v>148</v>
      </c>
      <c r="K415" s="75" t="s">
        <v>4283</v>
      </c>
      <c r="L415" s="59" t="s">
        <v>149</v>
      </c>
      <c r="M415" s="53">
        <v>0</v>
      </c>
      <c r="N415" s="59" t="s">
        <v>150</v>
      </c>
      <c r="O415" s="70" t="s">
        <v>5034</v>
      </c>
      <c r="P415" s="59" t="s">
        <v>3894</v>
      </c>
      <c r="Q415" s="73" t="s">
        <v>1342</v>
      </c>
      <c r="R415" s="59" t="s">
        <v>152</v>
      </c>
      <c r="S415" s="59" t="s">
        <v>248</v>
      </c>
      <c r="T415" s="59" t="s">
        <v>1343</v>
      </c>
      <c r="U415" s="59"/>
      <c r="V415" s="59" t="s">
        <v>548</v>
      </c>
      <c r="W415" s="59" t="s">
        <v>153</v>
      </c>
      <c r="X415" s="75" t="s">
        <v>4283</v>
      </c>
      <c r="Y415" s="59"/>
      <c r="Z415" s="59"/>
      <c r="AA415" s="58"/>
      <c r="AB415" s="76" t="s">
        <v>156</v>
      </c>
      <c r="AC415" s="58" t="s">
        <v>157</v>
      </c>
      <c r="AD415" s="59" t="s">
        <v>157</v>
      </c>
      <c r="AE415" s="59"/>
      <c r="AF415" s="59"/>
      <c r="AG415" s="59" t="s">
        <v>1344</v>
      </c>
      <c r="AH415" s="59" t="s">
        <v>155</v>
      </c>
      <c r="AI415" s="59"/>
      <c r="AJ415" s="267" t="s">
        <v>1345</v>
      </c>
      <c r="AK415" s="92" t="s">
        <v>156</v>
      </c>
      <c r="AL415" s="93" t="s">
        <v>229</v>
      </c>
      <c r="AM415" s="94" t="s">
        <v>1346</v>
      </c>
      <c r="AN415" s="268" t="s">
        <v>1347</v>
      </c>
      <c r="AO415" s="96" t="s">
        <v>164</v>
      </c>
      <c r="AP415" s="66"/>
      <c r="AQ415" s="84" t="s">
        <v>368</v>
      </c>
      <c r="AR415" s="38"/>
      <c r="AT415" s="40"/>
      <c r="AU415" s="40"/>
      <c r="AV415" s="54">
        <v>7220201</v>
      </c>
      <c r="AW415" s="53">
        <v>175</v>
      </c>
      <c r="AY415" s="40"/>
      <c r="AZ415" s="40"/>
      <c r="BI415" s="36"/>
      <c r="BJ415" s="36"/>
      <c r="BK415" s="37"/>
      <c r="BN415" s="16"/>
      <c r="BO415" s="16"/>
    </row>
    <row r="416" spans="1:67" s="67" customFormat="1" ht="15.95" customHeight="1" x14ac:dyDescent="0.25">
      <c r="A416" s="16"/>
      <c r="B416" s="68">
        <f>SUBTOTAL(103,$K$396:K416)</f>
        <v>21</v>
      </c>
      <c r="C416" s="59" t="s">
        <v>581</v>
      </c>
      <c r="D416" s="53" t="s">
        <v>158</v>
      </c>
      <c r="E416" s="53" t="s">
        <v>19</v>
      </c>
      <c r="F416" s="53" t="s">
        <v>106</v>
      </c>
      <c r="G416" s="53" t="s">
        <v>4896</v>
      </c>
      <c r="H416" s="53" t="s">
        <v>4851</v>
      </c>
      <c r="I416" s="58" t="s">
        <v>314</v>
      </c>
      <c r="J416" s="58" t="s">
        <v>826</v>
      </c>
      <c r="K416" s="103" t="s">
        <v>4284</v>
      </c>
      <c r="L416" s="53" t="s">
        <v>170</v>
      </c>
      <c r="M416" s="68">
        <v>1</v>
      </c>
      <c r="N416" s="68" t="s">
        <v>150</v>
      </c>
      <c r="O416" s="70" t="s">
        <v>5034</v>
      </c>
      <c r="P416" s="59" t="s">
        <v>3894</v>
      </c>
      <c r="Q416" s="58" t="s">
        <v>56</v>
      </c>
      <c r="R416" s="53">
        <v>2015</v>
      </c>
      <c r="S416" s="53" t="s">
        <v>337</v>
      </c>
      <c r="T416" s="53" t="s">
        <v>1348</v>
      </c>
      <c r="U416" s="53"/>
      <c r="V416" s="53" t="s">
        <v>654</v>
      </c>
      <c r="W416" s="59" t="s">
        <v>248</v>
      </c>
      <c r="X416" s="57" t="s">
        <v>4284</v>
      </c>
      <c r="Y416" s="59"/>
      <c r="Z416" s="53"/>
      <c r="AA416" s="58"/>
      <c r="AB416" s="76" t="s">
        <v>156</v>
      </c>
      <c r="AC416" s="58" t="s">
        <v>157</v>
      </c>
      <c r="AD416" s="53" t="s">
        <v>157</v>
      </c>
      <c r="AE416" s="53"/>
      <c r="AF416" s="148"/>
      <c r="AG416" s="59" t="s">
        <v>228</v>
      </c>
      <c r="AH416" s="53" t="s">
        <v>155</v>
      </c>
      <c r="AI416" s="58"/>
      <c r="AJ416" s="91" t="s">
        <v>1349</v>
      </c>
      <c r="AK416" s="150" t="s">
        <v>156</v>
      </c>
      <c r="AL416" s="263" t="s">
        <v>229</v>
      </c>
      <c r="AM416" s="266" t="s">
        <v>1251</v>
      </c>
      <c r="AN416" s="95" t="s">
        <v>1350</v>
      </c>
      <c r="AO416" s="96" t="s">
        <v>164</v>
      </c>
      <c r="AP416" s="66"/>
      <c r="AQ416" s="67" t="s">
        <v>799</v>
      </c>
      <c r="AR416" s="38"/>
      <c r="AT416" s="40"/>
      <c r="AU416" s="40"/>
      <c r="AV416" s="54">
        <v>7220201</v>
      </c>
      <c r="AW416" s="53">
        <v>176</v>
      </c>
      <c r="AY416" s="40"/>
      <c r="AZ416" s="40"/>
      <c r="BI416" s="36"/>
      <c r="BJ416" s="36"/>
      <c r="BK416" s="37"/>
      <c r="BN416" s="16"/>
      <c r="BO416" s="16"/>
    </row>
    <row r="417" spans="1:67" s="67" customFormat="1" ht="15.95" customHeight="1" x14ac:dyDescent="0.25">
      <c r="A417" s="16"/>
      <c r="B417" s="68">
        <f>SUBTOTAL(103,$K$396:K417)</f>
        <v>22</v>
      </c>
      <c r="C417" s="59" t="s">
        <v>588</v>
      </c>
      <c r="D417" s="53" t="s">
        <v>158</v>
      </c>
      <c r="E417" s="53" t="s">
        <v>19</v>
      </c>
      <c r="F417" s="53" t="s">
        <v>106</v>
      </c>
      <c r="G417" s="53" t="s">
        <v>4896</v>
      </c>
      <c r="H417" s="53" t="s">
        <v>4852</v>
      </c>
      <c r="I417" s="58" t="s">
        <v>168</v>
      </c>
      <c r="J417" s="58" t="s">
        <v>1351</v>
      </c>
      <c r="K417" s="103" t="s">
        <v>4285</v>
      </c>
      <c r="L417" s="53" t="s">
        <v>170</v>
      </c>
      <c r="M417" s="68">
        <v>1</v>
      </c>
      <c r="N417" s="53" t="s">
        <v>150</v>
      </c>
      <c r="O417" s="70" t="s">
        <v>5034</v>
      </c>
      <c r="P417" s="59" t="s">
        <v>3894</v>
      </c>
      <c r="Q417" s="58" t="s">
        <v>56</v>
      </c>
      <c r="R417" s="53">
        <v>2015</v>
      </c>
      <c r="S417" s="53" t="s">
        <v>337</v>
      </c>
      <c r="T417" s="53" t="s">
        <v>338</v>
      </c>
      <c r="U417" s="53"/>
      <c r="V417" s="53"/>
      <c r="W417" s="53"/>
      <c r="X417" s="57" t="s">
        <v>4285</v>
      </c>
      <c r="Y417" s="110"/>
      <c r="Z417" s="53"/>
      <c r="AA417" s="58"/>
      <c r="AB417" s="76" t="s">
        <v>156</v>
      </c>
      <c r="AC417" s="58"/>
      <c r="AD417" s="58"/>
      <c r="AE417" s="58"/>
      <c r="AF417" s="58"/>
      <c r="AG417" s="64" t="s">
        <v>228</v>
      </c>
      <c r="AH417" s="53" t="s">
        <v>155</v>
      </c>
      <c r="AI417" s="58"/>
      <c r="AJ417" s="91" t="s">
        <v>1352</v>
      </c>
      <c r="AK417" s="92" t="s">
        <v>156</v>
      </c>
      <c r="AL417" s="93" t="s">
        <v>229</v>
      </c>
      <c r="AM417" s="94" t="s">
        <v>1353</v>
      </c>
      <c r="AN417" s="269" t="s">
        <v>1354</v>
      </c>
      <c r="AO417" s="96" t="s">
        <v>164</v>
      </c>
      <c r="AP417" s="66" t="s">
        <v>1355</v>
      </c>
      <c r="AQ417" s="88" t="s">
        <v>406</v>
      </c>
      <c r="AR417" s="67" t="s">
        <v>3880</v>
      </c>
      <c r="AU417" s="40"/>
      <c r="AV417" s="54">
        <v>7220201</v>
      </c>
      <c r="AW417" s="53">
        <v>177</v>
      </c>
      <c r="BJ417" s="40"/>
      <c r="BK417" s="40"/>
      <c r="BN417" s="16"/>
      <c r="BO417" s="16"/>
    </row>
    <row r="418" spans="1:67" s="67" customFormat="1" ht="15.95" customHeight="1" x14ac:dyDescent="0.25">
      <c r="A418" s="16"/>
      <c r="B418" s="68">
        <f>SUBTOTAL(103,$K$396:K418)</f>
        <v>23</v>
      </c>
      <c r="C418" s="59" t="s">
        <v>594</v>
      </c>
      <c r="D418" s="53" t="s">
        <v>158</v>
      </c>
      <c r="E418" s="68" t="s">
        <v>19</v>
      </c>
      <c r="F418" s="53" t="s">
        <v>106</v>
      </c>
      <c r="G418" s="53" t="s">
        <v>4896</v>
      </c>
      <c r="H418" s="53" t="s">
        <v>4853</v>
      </c>
      <c r="I418" s="58" t="s">
        <v>1356</v>
      </c>
      <c r="J418" s="58" t="s">
        <v>1357</v>
      </c>
      <c r="K418" s="103" t="s">
        <v>4286</v>
      </c>
      <c r="L418" s="68" t="s">
        <v>170</v>
      </c>
      <c r="M418" s="68">
        <v>1</v>
      </c>
      <c r="N418" s="68" t="s">
        <v>150</v>
      </c>
      <c r="O418" s="70" t="s">
        <v>5034</v>
      </c>
      <c r="P418" s="59" t="s">
        <v>3894</v>
      </c>
      <c r="Q418" s="58" t="s">
        <v>1358</v>
      </c>
      <c r="R418" s="53">
        <v>2015</v>
      </c>
      <c r="S418" s="68" t="s">
        <v>337</v>
      </c>
      <c r="T418" s="53" t="s">
        <v>683</v>
      </c>
      <c r="U418" s="53"/>
      <c r="V418" s="53" t="s">
        <v>239</v>
      </c>
      <c r="W418" s="59" t="s">
        <v>153</v>
      </c>
      <c r="X418" s="57" t="s">
        <v>4286</v>
      </c>
      <c r="Y418" s="59"/>
      <c r="Z418" s="53"/>
      <c r="AA418" s="58"/>
      <c r="AB418" s="76" t="s">
        <v>156</v>
      </c>
      <c r="AC418" s="53" t="s">
        <v>157</v>
      </c>
      <c r="AD418" s="53" t="s">
        <v>157</v>
      </c>
      <c r="AE418" s="58"/>
      <c r="AF418" s="148"/>
      <c r="AG418" s="58" t="s">
        <v>1359</v>
      </c>
      <c r="AH418" s="53" t="s">
        <v>155</v>
      </c>
      <c r="AI418" s="58"/>
      <c r="AJ418" s="91" t="s">
        <v>1360</v>
      </c>
      <c r="AK418" s="92" t="s">
        <v>156</v>
      </c>
      <c r="AL418" s="263" t="s">
        <v>483</v>
      </c>
      <c r="AM418" s="266" t="s">
        <v>540</v>
      </c>
      <c r="AN418" s="95" t="s">
        <v>1361</v>
      </c>
      <c r="AO418" s="96" t="s">
        <v>164</v>
      </c>
      <c r="AP418" s="66"/>
      <c r="AQ418" s="67" t="s">
        <v>1362</v>
      </c>
      <c r="AR418" s="38"/>
      <c r="AT418" s="40"/>
      <c r="AU418" s="40"/>
      <c r="AV418" s="54">
        <v>7220201</v>
      </c>
      <c r="AW418" s="53">
        <v>178</v>
      </c>
      <c r="AY418" s="40"/>
      <c r="AZ418" s="40"/>
      <c r="BI418" s="36"/>
      <c r="BJ418" s="36"/>
      <c r="BK418" s="37"/>
      <c r="BN418" s="16"/>
      <c r="BO418" s="16"/>
    </row>
    <row r="419" spans="1:67" s="67" customFormat="1" ht="15.95" customHeight="1" x14ac:dyDescent="0.25">
      <c r="A419" s="16"/>
      <c r="B419" s="68">
        <f>SUBTOTAL(103,$K$396:K419)</f>
        <v>24</v>
      </c>
      <c r="C419" s="59" t="s">
        <v>599</v>
      </c>
      <c r="D419" s="53" t="s">
        <v>158</v>
      </c>
      <c r="E419" s="53" t="s">
        <v>19</v>
      </c>
      <c r="F419" s="53" t="s">
        <v>106</v>
      </c>
      <c r="G419" s="53" t="s">
        <v>4896</v>
      </c>
      <c r="H419" s="53" t="s">
        <v>4854</v>
      </c>
      <c r="I419" s="58" t="s">
        <v>1363</v>
      </c>
      <c r="J419" s="58" t="s">
        <v>1364</v>
      </c>
      <c r="K419" s="103" t="s">
        <v>4287</v>
      </c>
      <c r="L419" s="53" t="s">
        <v>149</v>
      </c>
      <c r="M419" s="53">
        <v>0</v>
      </c>
      <c r="N419" s="53" t="s">
        <v>150</v>
      </c>
      <c r="O419" s="70" t="s">
        <v>5034</v>
      </c>
      <c r="P419" s="59" t="s">
        <v>3894</v>
      </c>
      <c r="Q419" s="58" t="s">
        <v>1365</v>
      </c>
      <c r="R419" s="53">
        <v>2006</v>
      </c>
      <c r="S419" s="68" t="s">
        <v>337</v>
      </c>
      <c r="T419" s="53" t="s">
        <v>1366</v>
      </c>
      <c r="U419" s="53"/>
      <c r="V419" s="53"/>
      <c r="W419" s="59"/>
      <c r="X419" s="57" t="s">
        <v>4287</v>
      </c>
      <c r="Y419" s="59"/>
      <c r="Z419" s="53"/>
      <c r="AA419" s="58"/>
      <c r="AB419" s="76" t="s">
        <v>156</v>
      </c>
      <c r="AC419" s="58" t="s">
        <v>157</v>
      </c>
      <c r="AD419" s="58"/>
      <c r="AE419" s="58"/>
      <c r="AF419" s="148"/>
      <c r="AG419" s="58" t="s">
        <v>1236</v>
      </c>
      <c r="AH419" s="53" t="s">
        <v>155</v>
      </c>
      <c r="AI419" s="58"/>
      <c r="AJ419" s="91" t="s">
        <v>1367</v>
      </c>
      <c r="AK419" s="92" t="s">
        <v>156</v>
      </c>
      <c r="AL419" s="93" t="s">
        <v>229</v>
      </c>
      <c r="AM419" s="94" t="s">
        <v>1251</v>
      </c>
      <c r="AN419" s="95" t="s">
        <v>1368</v>
      </c>
      <c r="AO419" s="96" t="s">
        <v>164</v>
      </c>
      <c r="AP419" s="66" t="s">
        <v>132</v>
      </c>
      <c r="AQ419" s="67" t="s">
        <v>224</v>
      </c>
      <c r="AR419" s="38"/>
      <c r="AT419" s="40"/>
      <c r="AU419" s="40"/>
      <c r="AV419" s="54">
        <v>7220201</v>
      </c>
      <c r="AW419" s="53">
        <v>179</v>
      </c>
      <c r="AY419" s="40"/>
      <c r="AZ419" s="40"/>
      <c r="BI419" s="36"/>
      <c r="BJ419" s="36"/>
      <c r="BK419" s="37"/>
      <c r="BN419" s="16"/>
      <c r="BO419" s="16"/>
    </row>
    <row r="420" spans="1:67" s="67" customFormat="1" ht="15.95" customHeight="1" x14ac:dyDescent="0.25">
      <c r="A420" s="16"/>
      <c r="B420" s="68">
        <f>SUBTOTAL(103,$K$396:K420)</f>
        <v>25</v>
      </c>
      <c r="C420" s="59" t="s">
        <v>605</v>
      </c>
      <c r="D420" s="53" t="s">
        <v>158</v>
      </c>
      <c r="E420" s="68" t="s">
        <v>19</v>
      </c>
      <c r="F420" s="68" t="s">
        <v>106</v>
      </c>
      <c r="G420" s="53" t="s">
        <v>4896</v>
      </c>
      <c r="H420" s="53" t="s">
        <v>4855</v>
      </c>
      <c r="I420" s="58" t="s">
        <v>234</v>
      </c>
      <c r="J420" s="58" t="s">
        <v>473</v>
      </c>
      <c r="K420" s="234" t="s">
        <v>4288</v>
      </c>
      <c r="L420" s="53" t="s">
        <v>170</v>
      </c>
      <c r="M420" s="68">
        <v>1</v>
      </c>
      <c r="N420" s="59" t="s">
        <v>150</v>
      </c>
      <c r="O420" s="70" t="s">
        <v>5034</v>
      </c>
      <c r="P420" s="59" t="s">
        <v>3894</v>
      </c>
      <c r="Q420" s="82" t="s">
        <v>46</v>
      </c>
      <c r="R420" s="53">
        <v>2022</v>
      </c>
      <c r="S420" s="53" t="s">
        <v>1255</v>
      </c>
      <c r="T420" s="68" t="s">
        <v>1369</v>
      </c>
      <c r="U420" s="68" t="s">
        <v>1370</v>
      </c>
      <c r="V420" s="53" t="s">
        <v>647</v>
      </c>
      <c r="W420" s="59" t="s">
        <v>236</v>
      </c>
      <c r="X420" s="81" t="s">
        <v>4288</v>
      </c>
      <c r="Y420" s="59"/>
      <c r="Z420" s="53"/>
      <c r="AA420" s="58"/>
      <c r="AB420" s="76" t="s">
        <v>156</v>
      </c>
      <c r="AC420" s="53" t="s">
        <v>157</v>
      </c>
      <c r="AD420" s="53" t="s">
        <v>157</v>
      </c>
      <c r="AE420" s="58"/>
      <c r="AF420" s="148"/>
      <c r="AG420" s="59" t="s">
        <v>284</v>
      </c>
      <c r="AH420" s="59" t="s">
        <v>155</v>
      </c>
      <c r="AI420" s="58"/>
      <c r="AJ420" s="91" t="s">
        <v>1371</v>
      </c>
      <c r="AK420" s="92" t="s">
        <v>156</v>
      </c>
      <c r="AL420" s="263" t="s">
        <v>387</v>
      </c>
      <c r="AM420" s="270" t="s">
        <v>1372</v>
      </c>
      <c r="AN420" s="95" t="s">
        <v>1373</v>
      </c>
      <c r="AO420" s="96" t="s">
        <v>164</v>
      </c>
      <c r="AP420" s="66"/>
      <c r="AQ420" s="67" t="s">
        <v>180</v>
      </c>
      <c r="AR420" s="38"/>
      <c r="AT420" s="40"/>
      <c r="AU420" s="40"/>
      <c r="AV420" s="54">
        <v>7220201</v>
      </c>
      <c r="AW420" s="53">
        <v>180</v>
      </c>
      <c r="AY420" s="40"/>
      <c r="AZ420" s="40"/>
      <c r="BI420" s="36"/>
      <c r="BJ420" s="36"/>
      <c r="BK420" s="37"/>
      <c r="BN420" s="16"/>
      <c r="BO420" s="16"/>
    </row>
    <row r="421" spans="1:67" s="67" customFormat="1" ht="15.95" customHeight="1" x14ac:dyDescent="0.25">
      <c r="A421" s="16"/>
      <c r="B421" s="68">
        <f>SUBTOTAL(103,$K$396:K421)</f>
        <v>26</v>
      </c>
      <c r="C421" s="59" t="s">
        <v>614</v>
      </c>
      <c r="D421" s="53" t="s">
        <v>158</v>
      </c>
      <c r="E421" s="53" t="s">
        <v>19</v>
      </c>
      <c r="F421" s="53" t="s">
        <v>106</v>
      </c>
      <c r="G421" s="53" t="s">
        <v>4896</v>
      </c>
      <c r="H421" s="53" t="s">
        <v>4856</v>
      </c>
      <c r="I421" s="58" t="s">
        <v>182</v>
      </c>
      <c r="J421" s="58" t="s">
        <v>473</v>
      </c>
      <c r="K421" s="103" t="s">
        <v>4289</v>
      </c>
      <c r="L421" s="53" t="s">
        <v>170</v>
      </c>
      <c r="M421" s="68">
        <v>1</v>
      </c>
      <c r="N421" s="68" t="s">
        <v>150</v>
      </c>
      <c r="O421" s="70" t="s">
        <v>5034</v>
      </c>
      <c r="P421" s="59" t="s">
        <v>3894</v>
      </c>
      <c r="Q421" s="58" t="s">
        <v>56</v>
      </c>
      <c r="R421" s="53">
        <v>2017</v>
      </c>
      <c r="S421" s="68" t="s">
        <v>337</v>
      </c>
      <c r="T421" s="53" t="s">
        <v>1374</v>
      </c>
      <c r="U421" s="53"/>
      <c r="V421" s="53" t="s">
        <v>423</v>
      </c>
      <c r="W421" s="53" t="s">
        <v>248</v>
      </c>
      <c r="X421" s="57" t="s">
        <v>4289</v>
      </c>
      <c r="Y421" s="59"/>
      <c r="Z421" s="53"/>
      <c r="AA421" s="58"/>
      <c r="AB421" s="76" t="s">
        <v>156</v>
      </c>
      <c r="AC421" s="58" t="s">
        <v>157</v>
      </c>
      <c r="AD421" s="53" t="s">
        <v>157</v>
      </c>
      <c r="AE421" s="53"/>
      <c r="AF421" s="148"/>
      <c r="AG421" s="58" t="s">
        <v>228</v>
      </c>
      <c r="AH421" s="53" t="s">
        <v>155</v>
      </c>
      <c r="AI421" s="58"/>
      <c r="AJ421" s="91" t="s">
        <v>1375</v>
      </c>
      <c r="AK421" s="92" t="s">
        <v>156</v>
      </c>
      <c r="AL421" s="263" t="s">
        <v>229</v>
      </c>
      <c r="AM421" s="266" t="s">
        <v>489</v>
      </c>
      <c r="AN421" s="95" t="s">
        <v>1376</v>
      </c>
      <c r="AO421" s="96" t="s">
        <v>164</v>
      </c>
      <c r="AP421" s="66"/>
      <c r="AQ421" s="67" t="s">
        <v>334</v>
      </c>
      <c r="AR421" s="38"/>
      <c r="AT421" s="40"/>
      <c r="AU421" s="40"/>
      <c r="AV421" s="54">
        <v>7220201</v>
      </c>
      <c r="AW421" s="53">
        <v>181</v>
      </c>
      <c r="AY421" s="40"/>
      <c r="AZ421" s="40"/>
      <c r="BI421" s="36"/>
      <c r="BJ421" s="36"/>
      <c r="BK421" s="37"/>
      <c r="BN421" s="16"/>
      <c r="BO421" s="16"/>
    </row>
    <row r="422" spans="1:67" s="67" customFormat="1" ht="15.95" customHeight="1" x14ac:dyDescent="0.25">
      <c r="A422" s="16"/>
      <c r="B422" s="68">
        <f>SUBTOTAL(103,$K$396:K422)</f>
        <v>27</v>
      </c>
      <c r="C422" s="59" t="s">
        <v>618</v>
      </c>
      <c r="D422" s="53" t="s">
        <v>158</v>
      </c>
      <c r="E422" s="53" t="s">
        <v>19</v>
      </c>
      <c r="F422" s="53" t="s">
        <v>106</v>
      </c>
      <c r="G422" s="53" t="s">
        <v>4896</v>
      </c>
      <c r="H422" s="53" t="s">
        <v>4857</v>
      </c>
      <c r="I422" s="58" t="s">
        <v>1233</v>
      </c>
      <c r="J422" s="58" t="s">
        <v>1377</v>
      </c>
      <c r="K422" s="103" t="s">
        <v>4290</v>
      </c>
      <c r="L422" s="53" t="s">
        <v>149</v>
      </c>
      <c r="M422" s="53">
        <v>0</v>
      </c>
      <c r="N422" s="53" t="s">
        <v>150</v>
      </c>
      <c r="O422" s="70" t="s">
        <v>5034</v>
      </c>
      <c r="P422" s="59" t="s">
        <v>3894</v>
      </c>
      <c r="Q422" s="58" t="s">
        <v>1378</v>
      </c>
      <c r="R422" s="53">
        <v>2010</v>
      </c>
      <c r="S422" s="53" t="s">
        <v>337</v>
      </c>
      <c r="T422" s="53" t="s">
        <v>1379</v>
      </c>
      <c r="U422" s="53"/>
      <c r="V422" s="53" t="s">
        <v>401</v>
      </c>
      <c r="W422" s="53" t="s">
        <v>248</v>
      </c>
      <c r="X422" s="57" t="s">
        <v>4290</v>
      </c>
      <c r="Y422" s="53"/>
      <c r="Z422" s="53"/>
      <c r="AA422" s="58"/>
      <c r="AB422" s="76" t="s">
        <v>156</v>
      </c>
      <c r="AC422" s="58"/>
      <c r="AD422" s="58" t="s">
        <v>157</v>
      </c>
      <c r="AE422" s="58"/>
      <c r="AF422" s="58"/>
      <c r="AG422" s="64" t="s">
        <v>206</v>
      </c>
      <c r="AH422" s="53" t="s">
        <v>1337</v>
      </c>
      <c r="AI422" s="58"/>
      <c r="AJ422" s="91" t="s">
        <v>1380</v>
      </c>
      <c r="AK422" s="92" t="s">
        <v>156</v>
      </c>
      <c r="AL422" s="93" t="s">
        <v>330</v>
      </c>
      <c r="AM422" s="94" t="s">
        <v>1381</v>
      </c>
      <c r="AN422" s="95" t="s">
        <v>1382</v>
      </c>
      <c r="AO422" s="96" t="s">
        <v>164</v>
      </c>
      <c r="AP422" s="66" t="s">
        <v>131</v>
      </c>
      <c r="AQ422" s="88"/>
      <c r="AU422" s="40"/>
      <c r="AV422" s="54">
        <v>7220201</v>
      </c>
      <c r="AW422" s="53">
        <v>182</v>
      </c>
      <c r="BJ422" s="40"/>
      <c r="BK422" s="40"/>
      <c r="BN422" s="16"/>
      <c r="BO422" s="16"/>
    </row>
    <row r="423" spans="1:67" s="67" customFormat="1" ht="15.95" customHeight="1" x14ac:dyDescent="0.25">
      <c r="A423" s="16"/>
      <c r="B423" s="68">
        <f>SUBTOTAL(103,$K$396:K423)</f>
        <v>28</v>
      </c>
      <c r="C423" s="59" t="s">
        <v>625</v>
      </c>
      <c r="D423" s="53" t="s">
        <v>158</v>
      </c>
      <c r="E423" s="53" t="s">
        <v>19</v>
      </c>
      <c r="F423" s="53" t="s">
        <v>106</v>
      </c>
      <c r="G423" s="53" t="s">
        <v>4896</v>
      </c>
      <c r="H423" s="53" t="s">
        <v>4858</v>
      </c>
      <c r="I423" s="58" t="s">
        <v>1383</v>
      </c>
      <c r="J423" s="58" t="s">
        <v>1384</v>
      </c>
      <c r="K423" s="103" t="s">
        <v>4291</v>
      </c>
      <c r="L423" s="53" t="s">
        <v>149</v>
      </c>
      <c r="M423" s="53">
        <v>0</v>
      </c>
      <c r="N423" s="53" t="s">
        <v>150</v>
      </c>
      <c r="O423" s="70" t="s">
        <v>5034</v>
      </c>
      <c r="P423" s="59" t="s">
        <v>3894</v>
      </c>
      <c r="Q423" s="58" t="s">
        <v>1378</v>
      </c>
      <c r="R423" s="53">
        <v>2011</v>
      </c>
      <c r="S423" s="53" t="s">
        <v>248</v>
      </c>
      <c r="T423" s="53" t="s">
        <v>1385</v>
      </c>
      <c r="U423" s="53"/>
      <c r="V423" s="53" t="s">
        <v>411</v>
      </c>
      <c r="W423" s="53" t="s">
        <v>153</v>
      </c>
      <c r="X423" s="57" t="s">
        <v>4291</v>
      </c>
      <c r="Y423" s="53"/>
      <c r="Z423" s="53"/>
      <c r="AA423" s="58"/>
      <c r="AB423" s="76" t="s">
        <v>156</v>
      </c>
      <c r="AC423" s="58" t="s">
        <v>157</v>
      </c>
      <c r="AD423" s="58" t="s">
        <v>157</v>
      </c>
      <c r="AE423" s="58"/>
      <c r="AF423" s="58"/>
      <c r="AG423" s="64" t="s">
        <v>206</v>
      </c>
      <c r="AH423" s="53" t="s">
        <v>155</v>
      </c>
      <c r="AI423" s="58"/>
      <c r="AJ423" s="254" t="s">
        <v>1386</v>
      </c>
      <c r="AK423" s="92" t="s">
        <v>156</v>
      </c>
      <c r="AL423" s="93" t="s">
        <v>712</v>
      </c>
      <c r="AM423" s="94" t="s">
        <v>1387</v>
      </c>
      <c r="AN423" s="268" t="s">
        <v>1388</v>
      </c>
      <c r="AO423" s="96" t="s">
        <v>164</v>
      </c>
      <c r="AP423" s="66" t="s">
        <v>1389</v>
      </c>
      <c r="AQ423" s="88"/>
      <c r="AU423" s="40"/>
      <c r="AV423" s="54">
        <v>7220201</v>
      </c>
      <c r="AW423" s="53">
        <v>183</v>
      </c>
      <c r="BJ423" s="40"/>
      <c r="BK423" s="40"/>
      <c r="BN423" s="16"/>
      <c r="BO423" s="16"/>
    </row>
    <row r="424" spans="1:67" s="67" customFormat="1" ht="15.95" customHeight="1" x14ac:dyDescent="0.25">
      <c r="A424" s="16"/>
      <c r="B424" s="68">
        <f>SUBTOTAL(103,$K$396:K424)</f>
        <v>29</v>
      </c>
      <c r="C424" s="59" t="s">
        <v>633</v>
      </c>
      <c r="D424" s="53" t="s">
        <v>158</v>
      </c>
      <c r="E424" s="53" t="s">
        <v>19</v>
      </c>
      <c r="F424" s="53" t="s">
        <v>106</v>
      </c>
      <c r="G424" s="53" t="s">
        <v>4896</v>
      </c>
      <c r="H424" s="53" t="s">
        <v>4859</v>
      </c>
      <c r="I424" s="58" t="s">
        <v>1390</v>
      </c>
      <c r="J424" s="58" t="s">
        <v>1391</v>
      </c>
      <c r="K424" s="103" t="s">
        <v>4292</v>
      </c>
      <c r="L424" s="53" t="s">
        <v>170</v>
      </c>
      <c r="M424" s="68">
        <v>1</v>
      </c>
      <c r="N424" s="53" t="s">
        <v>150</v>
      </c>
      <c r="O424" s="70" t="s">
        <v>5034</v>
      </c>
      <c r="P424" s="59" t="s">
        <v>3894</v>
      </c>
      <c r="Q424" s="58" t="s">
        <v>23</v>
      </c>
      <c r="R424" s="53">
        <v>2009</v>
      </c>
      <c r="S424" s="53" t="s">
        <v>153</v>
      </c>
      <c r="T424" s="53" t="s">
        <v>777</v>
      </c>
      <c r="U424" s="53"/>
      <c r="V424" s="53" t="s">
        <v>453</v>
      </c>
      <c r="W424" s="53" t="s">
        <v>153</v>
      </c>
      <c r="X424" s="57" t="s">
        <v>4292</v>
      </c>
      <c r="Y424" s="53"/>
      <c r="Z424" s="53"/>
      <c r="AA424" s="58"/>
      <c r="AB424" s="76" t="s">
        <v>156</v>
      </c>
      <c r="AC424" s="58" t="s">
        <v>157</v>
      </c>
      <c r="AD424" s="58" t="s">
        <v>157</v>
      </c>
      <c r="AE424" s="58"/>
      <c r="AF424" s="58"/>
      <c r="AG424" s="64" t="s">
        <v>228</v>
      </c>
      <c r="AH424" s="53" t="s">
        <v>155</v>
      </c>
      <c r="AI424" s="58"/>
      <c r="AJ424" s="91" t="s">
        <v>1392</v>
      </c>
      <c r="AK424" s="92" t="s">
        <v>156</v>
      </c>
      <c r="AL424" s="93" t="s">
        <v>161</v>
      </c>
      <c r="AM424" s="94" t="s">
        <v>1393</v>
      </c>
      <c r="AN424" s="95" t="s">
        <v>1394</v>
      </c>
      <c r="AO424" s="96" t="s">
        <v>164</v>
      </c>
      <c r="AP424" s="66"/>
      <c r="AQ424" s="88"/>
      <c r="AU424" s="40"/>
      <c r="AV424" s="54">
        <v>7220201</v>
      </c>
      <c r="AW424" s="53">
        <v>184</v>
      </c>
      <c r="BJ424" s="40"/>
      <c r="BK424" s="40"/>
      <c r="BN424" s="16"/>
      <c r="BO424" s="16"/>
    </row>
    <row r="425" spans="1:67" s="67" customFormat="1" ht="15.95" customHeight="1" x14ac:dyDescent="0.25">
      <c r="A425" s="16"/>
      <c r="B425" s="68">
        <f>SUBTOTAL(103,$K$396:K425)</f>
        <v>30</v>
      </c>
      <c r="C425" s="59" t="s">
        <v>638</v>
      </c>
      <c r="D425" s="53" t="s">
        <v>158</v>
      </c>
      <c r="E425" s="68" t="s">
        <v>19</v>
      </c>
      <c r="F425" s="53" t="s">
        <v>106</v>
      </c>
      <c r="G425" s="53" t="s">
        <v>4896</v>
      </c>
      <c r="H425" s="53" t="s">
        <v>4860</v>
      </c>
      <c r="I425" s="58" t="s">
        <v>1395</v>
      </c>
      <c r="J425" s="58" t="s">
        <v>304</v>
      </c>
      <c r="K425" s="103" t="s">
        <v>4293</v>
      </c>
      <c r="L425" s="68" t="s">
        <v>149</v>
      </c>
      <c r="M425" s="53">
        <v>0</v>
      </c>
      <c r="N425" s="68" t="s">
        <v>150</v>
      </c>
      <c r="O425" s="70" t="s">
        <v>5034</v>
      </c>
      <c r="P425" s="59" t="s">
        <v>3894</v>
      </c>
      <c r="Q425" s="73" t="s">
        <v>1396</v>
      </c>
      <c r="R425" s="53">
        <v>2012</v>
      </c>
      <c r="S425" s="68" t="s">
        <v>153</v>
      </c>
      <c r="T425" s="53" t="s">
        <v>1397</v>
      </c>
      <c r="U425" s="53"/>
      <c r="V425" s="53" t="s">
        <v>173</v>
      </c>
      <c r="W425" s="59" t="s">
        <v>153</v>
      </c>
      <c r="X425" s="57" t="s">
        <v>4293</v>
      </c>
      <c r="Y425" s="59"/>
      <c r="Z425" s="53"/>
      <c r="AA425" s="58"/>
      <c r="AB425" s="76" t="s">
        <v>156</v>
      </c>
      <c r="AC425" s="53" t="s">
        <v>157</v>
      </c>
      <c r="AD425" s="53" t="s">
        <v>157</v>
      </c>
      <c r="AE425" s="58"/>
      <c r="AF425" s="148"/>
      <c r="AG425" s="74" t="s">
        <v>1398</v>
      </c>
      <c r="AH425" s="53" t="s">
        <v>155</v>
      </c>
      <c r="AI425" s="58"/>
      <c r="AJ425" s="91" t="s">
        <v>1399</v>
      </c>
      <c r="AK425" s="92" t="s">
        <v>156</v>
      </c>
      <c r="AL425" s="263" t="s">
        <v>483</v>
      </c>
      <c r="AM425" s="266" t="s">
        <v>1400</v>
      </c>
      <c r="AN425" s="95" t="s">
        <v>1401</v>
      </c>
      <c r="AO425" s="96" t="s">
        <v>164</v>
      </c>
      <c r="AP425" s="66"/>
      <c r="AQ425" s="67" t="s">
        <v>471</v>
      </c>
      <c r="AR425" s="38"/>
      <c r="AT425" s="40"/>
      <c r="AU425" s="40"/>
      <c r="AV425" s="54">
        <v>7220201</v>
      </c>
      <c r="AW425" s="53">
        <v>185</v>
      </c>
      <c r="AY425" s="40"/>
      <c r="AZ425" s="40"/>
      <c r="BI425" s="36"/>
      <c r="BJ425" s="36"/>
      <c r="BK425" s="37"/>
      <c r="BN425" s="16"/>
      <c r="BO425" s="16"/>
    </row>
    <row r="426" spans="1:67" s="67" customFormat="1" ht="15.95" customHeight="1" x14ac:dyDescent="0.25">
      <c r="A426" s="16"/>
      <c r="B426" s="68">
        <f>SUBTOTAL(103,$K$396:K426)</f>
        <v>31</v>
      </c>
      <c r="C426" s="59" t="s">
        <v>640</v>
      </c>
      <c r="D426" s="53" t="s">
        <v>158</v>
      </c>
      <c r="E426" s="53" t="s">
        <v>19</v>
      </c>
      <c r="F426" s="53" t="s">
        <v>106</v>
      </c>
      <c r="G426" s="53" t="s">
        <v>4896</v>
      </c>
      <c r="H426" s="53" t="s">
        <v>4861</v>
      </c>
      <c r="I426" s="58" t="s">
        <v>1402</v>
      </c>
      <c r="J426" s="58" t="s">
        <v>304</v>
      </c>
      <c r="K426" s="103" t="s">
        <v>4294</v>
      </c>
      <c r="L426" s="53" t="s">
        <v>170</v>
      </c>
      <c r="M426" s="68">
        <v>1</v>
      </c>
      <c r="N426" s="53" t="s">
        <v>150</v>
      </c>
      <c r="O426" s="70" t="s">
        <v>5034</v>
      </c>
      <c r="P426" s="59" t="s">
        <v>3894</v>
      </c>
      <c r="Q426" s="58" t="s">
        <v>1403</v>
      </c>
      <c r="R426" s="53">
        <v>2022</v>
      </c>
      <c r="S426" s="68" t="s">
        <v>153</v>
      </c>
      <c r="T426" s="53" t="s">
        <v>1404</v>
      </c>
      <c r="U426" s="53" t="s">
        <v>1405</v>
      </c>
      <c r="V426" s="53" t="s">
        <v>693</v>
      </c>
      <c r="W426" s="59" t="s">
        <v>236</v>
      </c>
      <c r="X426" s="57" t="s">
        <v>4294</v>
      </c>
      <c r="Y426" s="59"/>
      <c r="Z426" s="53"/>
      <c r="AA426" s="58"/>
      <c r="AB426" s="76" t="s">
        <v>156</v>
      </c>
      <c r="AC426" s="58" t="s">
        <v>157</v>
      </c>
      <c r="AD426" s="53" t="s">
        <v>157</v>
      </c>
      <c r="AE426" s="58"/>
      <c r="AF426" s="148"/>
      <c r="AG426" s="59" t="s">
        <v>1406</v>
      </c>
      <c r="AH426" s="53" t="s">
        <v>155</v>
      </c>
      <c r="AI426" s="58"/>
      <c r="AJ426" s="91" t="s">
        <v>1407</v>
      </c>
      <c r="AK426" s="92" t="s">
        <v>156</v>
      </c>
      <c r="AL426" s="93" t="s">
        <v>229</v>
      </c>
      <c r="AM426" s="94" t="s">
        <v>1289</v>
      </c>
      <c r="AN426" s="95" t="s">
        <v>1408</v>
      </c>
      <c r="AO426" s="96" t="s">
        <v>164</v>
      </c>
      <c r="AP426" s="66"/>
      <c r="AQ426" s="67" t="s">
        <v>224</v>
      </c>
      <c r="AR426" s="38"/>
      <c r="AT426" s="40"/>
      <c r="AU426" s="40"/>
      <c r="AV426" s="54">
        <v>7220201</v>
      </c>
      <c r="AW426" s="53">
        <v>186</v>
      </c>
      <c r="AY426" s="40"/>
      <c r="AZ426" s="40"/>
      <c r="BI426" s="36"/>
      <c r="BJ426" s="36"/>
      <c r="BK426" s="37"/>
      <c r="BN426" s="16"/>
      <c r="BO426" s="16"/>
    </row>
    <row r="427" spans="1:67" s="67" customFormat="1" ht="15.95" customHeight="1" x14ac:dyDescent="0.25">
      <c r="A427" s="16"/>
      <c r="B427" s="68">
        <f>SUBTOTAL(103,$K$396:K427)</f>
        <v>32</v>
      </c>
      <c r="C427" s="59" t="s">
        <v>645</v>
      </c>
      <c r="D427" s="53" t="s">
        <v>158</v>
      </c>
      <c r="E427" s="68" t="s">
        <v>19</v>
      </c>
      <c r="F427" s="68" t="s">
        <v>106</v>
      </c>
      <c r="G427" s="53" t="s">
        <v>4896</v>
      </c>
      <c r="H427" s="53" t="s">
        <v>4862</v>
      </c>
      <c r="I427" s="58" t="s">
        <v>472</v>
      </c>
      <c r="J427" s="58" t="s">
        <v>500</v>
      </c>
      <c r="K427" s="234" t="s">
        <v>4295</v>
      </c>
      <c r="L427" s="68" t="s">
        <v>170</v>
      </c>
      <c r="M427" s="68">
        <v>1</v>
      </c>
      <c r="N427" s="68" t="s">
        <v>150</v>
      </c>
      <c r="O427" s="70" t="s">
        <v>5034</v>
      </c>
      <c r="P427" s="59" t="s">
        <v>3894</v>
      </c>
      <c r="Q427" s="82" t="s">
        <v>93</v>
      </c>
      <c r="R427" s="68">
        <v>2018</v>
      </c>
      <c r="S427" s="68" t="s">
        <v>153</v>
      </c>
      <c r="T427" s="86"/>
      <c r="U427" s="86" t="s">
        <v>1409</v>
      </c>
      <c r="V427" s="68" t="s">
        <v>282</v>
      </c>
      <c r="W427" s="59" t="s">
        <v>153</v>
      </c>
      <c r="X427" s="153" t="s">
        <v>4295</v>
      </c>
      <c r="Y427" s="59"/>
      <c r="Z427" s="68"/>
      <c r="AA427" s="58"/>
      <c r="AB427" s="76" t="s">
        <v>156</v>
      </c>
      <c r="AC427" s="53" t="s">
        <v>157</v>
      </c>
      <c r="AD427" s="53" t="s">
        <v>157</v>
      </c>
      <c r="AE427" s="64"/>
      <c r="AF427" s="58"/>
      <c r="AG427" s="58" t="s">
        <v>1410</v>
      </c>
      <c r="AH427" s="59" t="s">
        <v>155</v>
      </c>
      <c r="AI427" s="68"/>
      <c r="AJ427" s="271" t="s">
        <v>1411</v>
      </c>
      <c r="AK427" s="150" t="s">
        <v>156</v>
      </c>
      <c r="AL427" s="160" t="s">
        <v>220</v>
      </c>
      <c r="AM427" s="227" t="s">
        <v>1412</v>
      </c>
      <c r="AN427" s="161" t="s">
        <v>1413</v>
      </c>
      <c r="AO427" s="96" t="s">
        <v>164</v>
      </c>
      <c r="AP427" s="66"/>
      <c r="AQ427" s="67" t="s">
        <v>1414</v>
      </c>
      <c r="AR427" s="38"/>
      <c r="AT427" s="40"/>
      <c r="AU427" s="40"/>
      <c r="AV427" s="54">
        <v>7220201</v>
      </c>
      <c r="AW427" s="53">
        <v>187</v>
      </c>
      <c r="AY427" s="40"/>
      <c r="AZ427" s="40"/>
      <c r="BI427" s="36"/>
      <c r="BJ427" s="36"/>
      <c r="BK427" s="37"/>
      <c r="BN427" s="16"/>
      <c r="BO427" s="16"/>
    </row>
    <row r="428" spans="1:67" s="67" customFormat="1" ht="15.95" customHeight="1" x14ac:dyDescent="0.25">
      <c r="A428" s="16"/>
      <c r="B428" s="68">
        <f>SUBTOTAL(103,$K$396:K428)</f>
        <v>33</v>
      </c>
      <c r="C428" s="59" t="s">
        <v>891</v>
      </c>
      <c r="D428" s="53" t="s">
        <v>158</v>
      </c>
      <c r="E428" s="53" t="s">
        <v>19</v>
      </c>
      <c r="F428" s="53" t="s">
        <v>106</v>
      </c>
      <c r="G428" s="53" t="s">
        <v>4896</v>
      </c>
      <c r="H428" s="53" t="s">
        <v>4863</v>
      </c>
      <c r="I428" s="58" t="s">
        <v>420</v>
      </c>
      <c r="J428" s="58" t="s">
        <v>500</v>
      </c>
      <c r="K428" s="103" t="s">
        <v>4296</v>
      </c>
      <c r="L428" s="53" t="s">
        <v>170</v>
      </c>
      <c r="M428" s="68">
        <v>1</v>
      </c>
      <c r="N428" s="53" t="s">
        <v>150</v>
      </c>
      <c r="O428" s="70" t="s">
        <v>5034</v>
      </c>
      <c r="P428" s="59" t="s">
        <v>3894</v>
      </c>
      <c r="Q428" s="58" t="s">
        <v>26</v>
      </c>
      <c r="R428" s="53">
        <v>2017</v>
      </c>
      <c r="S428" s="68" t="s">
        <v>236</v>
      </c>
      <c r="T428" s="53" t="s">
        <v>1415</v>
      </c>
      <c r="U428" s="53"/>
      <c r="V428" s="53" t="s">
        <v>262</v>
      </c>
      <c r="W428" s="59" t="s">
        <v>153</v>
      </c>
      <c r="X428" s="57" t="s">
        <v>4296</v>
      </c>
      <c r="Y428" s="59"/>
      <c r="Z428" s="53"/>
      <c r="AA428" s="58"/>
      <c r="AB428" s="76" t="s">
        <v>156</v>
      </c>
      <c r="AC428" s="58" t="s">
        <v>157</v>
      </c>
      <c r="AD428" s="53" t="s">
        <v>157</v>
      </c>
      <c r="AE428" s="53"/>
      <c r="AF428" s="148"/>
      <c r="AG428" s="59" t="s">
        <v>206</v>
      </c>
      <c r="AH428" s="53" t="s">
        <v>19</v>
      </c>
      <c r="AI428" s="58" t="s">
        <v>1416</v>
      </c>
      <c r="AJ428" s="91" t="s">
        <v>1417</v>
      </c>
      <c r="AK428" s="93" t="s">
        <v>156</v>
      </c>
      <c r="AL428" s="94" t="s">
        <v>229</v>
      </c>
      <c r="AM428" s="272" t="s">
        <v>1418</v>
      </c>
      <c r="AN428" s="95" t="s">
        <v>1419</v>
      </c>
      <c r="AO428" s="96" t="s">
        <v>164</v>
      </c>
      <c r="AP428" s="66"/>
      <c r="AQ428" s="67" t="s">
        <v>277</v>
      </c>
      <c r="AR428" s="38"/>
      <c r="AT428" s="40"/>
      <c r="AU428" s="40"/>
      <c r="AV428" s="54">
        <v>7220201</v>
      </c>
      <c r="AW428" s="53">
        <v>188</v>
      </c>
      <c r="AY428" s="40"/>
      <c r="AZ428" s="40"/>
      <c r="BI428" s="36"/>
      <c r="BJ428" s="36"/>
      <c r="BK428" s="37"/>
      <c r="BN428" s="16"/>
      <c r="BO428" s="16"/>
    </row>
    <row r="429" spans="1:67" s="67" customFormat="1" ht="15.95" customHeight="1" x14ac:dyDescent="0.25">
      <c r="A429" s="16"/>
      <c r="B429" s="68">
        <f>SUBTOTAL(103,$K$396:K429)</f>
        <v>34</v>
      </c>
      <c r="C429" s="59" t="s">
        <v>901</v>
      </c>
      <c r="D429" s="53" t="s">
        <v>158</v>
      </c>
      <c r="E429" s="53" t="s">
        <v>19</v>
      </c>
      <c r="F429" s="53" t="s">
        <v>106</v>
      </c>
      <c r="G429" s="53" t="s">
        <v>4896</v>
      </c>
      <c r="H429" s="53" t="s">
        <v>4864</v>
      </c>
      <c r="I429" s="58" t="s">
        <v>1420</v>
      </c>
      <c r="J429" s="58" t="s">
        <v>1009</v>
      </c>
      <c r="K429" s="103" t="s">
        <v>4297</v>
      </c>
      <c r="L429" s="53" t="s">
        <v>149</v>
      </c>
      <c r="M429" s="53">
        <v>0</v>
      </c>
      <c r="N429" s="53" t="s">
        <v>441</v>
      </c>
      <c r="O429" s="70" t="s">
        <v>5034</v>
      </c>
      <c r="P429" s="59" t="s">
        <v>3894</v>
      </c>
      <c r="Q429" s="58" t="s">
        <v>36</v>
      </c>
      <c r="R429" s="53">
        <v>2025</v>
      </c>
      <c r="S429" s="53" t="s">
        <v>1421</v>
      </c>
      <c r="T429" s="53" t="s">
        <v>1422</v>
      </c>
      <c r="U429" s="53" t="s">
        <v>1423</v>
      </c>
      <c r="V429" s="53" t="s">
        <v>1183</v>
      </c>
      <c r="W429" s="53" t="s">
        <v>153</v>
      </c>
      <c r="X429" s="57" t="s">
        <v>4297</v>
      </c>
      <c r="Y429" s="110"/>
      <c r="Z429" s="53"/>
      <c r="AA429" s="58"/>
      <c r="AB429" s="76" t="s">
        <v>156</v>
      </c>
      <c r="AC429" s="58" t="s">
        <v>157</v>
      </c>
      <c r="AD429" s="58" t="s">
        <v>157</v>
      </c>
      <c r="AE429" s="58"/>
      <c r="AF429" s="58"/>
      <c r="AG429" s="64" t="s">
        <v>228</v>
      </c>
      <c r="AH429" s="53" t="s">
        <v>155</v>
      </c>
      <c r="AI429" s="58"/>
      <c r="AJ429" s="161" t="s">
        <v>1424</v>
      </c>
      <c r="AK429" s="150" t="s">
        <v>156</v>
      </c>
      <c r="AL429" s="67" t="s">
        <v>189</v>
      </c>
      <c r="AM429" s="66" t="s">
        <v>1332</v>
      </c>
      <c r="AN429" s="151" t="s">
        <v>1425</v>
      </c>
      <c r="AO429" s="96" t="s">
        <v>164</v>
      </c>
      <c r="AP429" s="66"/>
      <c r="AQ429" s="88" t="s">
        <v>406</v>
      </c>
      <c r="AU429" s="40"/>
      <c r="AV429" s="54">
        <v>7220201</v>
      </c>
      <c r="AW429" s="53">
        <v>189</v>
      </c>
      <c r="BJ429" s="40"/>
      <c r="BK429" s="40"/>
      <c r="BN429" s="16"/>
      <c r="BO429" s="16"/>
    </row>
    <row r="430" spans="1:67" s="67" customFormat="1" ht="15.95" customHeight="1" x14ac:dyDescent="0.25">
      <c r="A430" s="16"/>
      <c r="B430" s="68">
        <f>SUBTOTAL(103,$K$396:K430)</f>
        <v>35</v>
      </c>
      <c r="C430" s="59" t="s">
        <v>910</v>
      </c>
      <c r="D430" s="53" t="s">
        <v>158</v>
      </c>
      <c r="E430" s="68" t="s">
        <v>19</v>
      </c>
      <c r="F430" s="68" t="s">
        <v>106</v>
      </c>
      <c r="G430" s="53" t="s">
        <v>4896</v>
      </c>
      <c r="H430" s="53" t="s">
        <v>4865</v>
      </c>
      <c r="I430" s="58" t="s">
        <v>472</v>
      </c>
      <c r="J430" s="58" t="s">
        <v>1426</v>
      </c>
      <c r="K430" s="234" t="s">
        <v>4298</v>
      </c>
      <c r="L430" s="68" t="s">
        <v>170</v>
      </c>
      <c r="M430" s="68">
        <v>1</v>
      </c>
      <c r="N430" s="68" t="s">
        <v>150</v>
      </c>
      <c r="O430" s="70" t="s">
        <v>5034</v>
      </c>
      <c r="P430" s="59" t="s">
        <v>3894</v>
      </c>
      <c r="Q430" s="85" t="s">
        <v>26</v>
      </c>
      <c r="R430" s="68">
        <v>2003</v>
      </c>
      <c r="S430" s="68" t="s">
        <v>153</v>
      </c>
      <c r="T430" s="86" t="s">
        <v>1427</v>
      </c>
      <c r="U430" s="86"/>
      <c r="V430" s="68"/>
      <c r="W430" s="59"/>
      <c r="X430" s="81" t="s">
        <v>4298</v>
      </c>
      <c r="Y430" s="59"/>
      <c r="Z430" s="53"/>
      <c r="AA430" s="58"/>
      <c r="AB430" s="76" t="s">
        <v>156</v>
      </c>
      <c r="AC430" s="53" t="s">
        <v>157</v>
      </c>
      <c r="AD430" s="53"/>
      <c r="AE430" s="64"/>
      <c r="AF430" s="58"/>
      <c r="AG430" s="58" t="s">
        <v>519</v>
      </c>
      <c r="AH430" s="59" t="s">
        <v>155</v>
      </c>
      <c r="AI430" s="68" t="s">
        <v>1428</v>
      </c>
      <c r="AJ430" s="91" t="s">
        <v>1429</v>
      </c>
      <c r="AK430" s="92" t="s">
        <v>156</v>
      </c>
      <c r="AL430" s="93" t="s">
        <v>446</v>
      </c>
      <c r="AM430" s="94" t="s">
        <v>529</v>
      </c>
      <c r="AN430" s="95" t="s">
        <v>1430</v>
      </c>
      <c r="AO430" s="96" t="s">
        <v>164</v>
      </c>
      <c r="AP430" s="66" t="s">
        <v>1431</v>
      </c>
      <c r="AQ430" s="67" t="s">
        <v>1414</v>
      </c>
      <c r="AR430" s="38"/>
      <c r="AT430" s="40"/>
      <c r="AU430" s="40"/>
      <c r="AV430" s="54">
        <v>7220201</v>
      </c>
      <c r="AW430" s="53">
        <v>190</v>
      </c>
      <c r="AY430" s="40"/>
      <c r="AZ430" s="40"/>
      <c r="BI430" s="36"/>
      <c r="BJ430" s="36"/>
      <c r="BK430" s="37"/>
      <c r="BN430" s="16"/>
      <c r="BO430" s="16"/>
    </row>
    <row r="431" spans="1:67" s="67" customFormat="1" ht="15.95" customHeight="1" x14ac:dyDescent="0.25">
      <c r="A431" s="16"/>
      <c r="B431" s="68">
        <f>SUBTOTAL(103,$K$396:K431)</f>
        <v>36</v>
      </c>
      <c r="C431" s="59" t="s">
        <v>917</v>
      </c>
      <c r="D431" s="53" t="s">
        <v>158</v>
      </c>
      <c r="E431" s="68" t="s">
        <v>19</v>
      </c>
      <c r="F431" s="53" t="s">
        <v>106</v>
      </c>
      <c r="G431" s="53" t="s">
        <v>4896</v>
      </c>
      <c r="H431" s="53" t="s">
        <v>4866</v>
      </c>
      <c r="I431" s="58" t="s">
        <v>1432</v>
      </c>
      <c r="J431" s="58" t="s">
        <v>1426</v>
      </c>
      <c r="K431" s="103" t="s">
        <v>4299</v>
      </c>
      <c r="L431" s="68" t="s">
        <v>149</v>
      </c>
      <c r="M431" s="53">
        <v>0</v>
      </c>
      <c r="N431" s="68" t="s">
        <v>150</v>
      </c>
      <c r="O431" s="70" t="s">
        <v>5034</v>
      </c>
      <c r="P431" s="59" t="s">
        <v>3894</v>
      </c>
      <c r="Q431" s="58" t="s">
        <v>1433</v>
      </c>
      <c r="R431" s="53">
        <v>2006</v>
      </c>
      <c r="S431" s="68" t="s">
        <v>337</v>
      </c>
      <c r="T431" s="53" t="s">
        <v>1434</v>
      </c>
      <c r="U431" s="53"/>
      <c r="V431" s="53" t="s">
        <v>384</v>
      </c>
      <c r="W431" s="53" t="s">
        <v>153</v>
      </c>
      <c r="X431" s="57" t="s">
        <v>4299</v>
      </c>
      <c r="Y431" s="53"/>
      <c r="Z431" s="53"/>
      <c r="AA431" s="58"/>
      <c r="AB431" s="76" t="s">
        <v>156</v>
      </c>
      <c r="AC431" s="53" t="s">
        <v>157</v>
      </c>
      <c r="AD431" s="53" t="s">
        <v>157</v>
      </c>
      <c r="AE431" s="58"/>
      <c r="AF431" s="148"/>
      <c r="AG431" s="58" t="s">
        <v>228</v>
      </c>
      <c r="AH431" s="53" t="s">
        <v>155</v>
      </c>
      <c r="AI431" s="58"/>
      <c r="AJ431" s="91" t="s">
        <v>1435</v>
      </c>
      <c r="AK431" s="92" t="s">
        <v>156</v>
      </c>
      <c r="AL431" s="263" t="s">
        <v>229</v>
      </c>
      <c r="AM431" s="94" t="s">
        <v>822</v>
      </c>
      <c r="AN431" s="95" t="s">
        <v>1436</v>
      </c>
      <c r="AO431" s="96" t="s">
        <v>632</v>
      </c>
      <c r="AP431" s="66"/>
      <c r="AQ431" s="67" t="s">
        <v>1208</v>
      </c>
      <c r="AR431" s="38"/>
      <c r="AT431" s="40"/>
      <c r="AU431" s="40"/>
      <c r="AV431" s="54">
        <v>7220201</v>
      </c>
      <c r="AW431" s="53">
        <v>191</v>
      </c>
      <c r="AY431" s="40"/>
      <c r="AZ431" s="40"/>
      <c r="BI431" s="36"/>
      <c r="BJ431" s="36"/>
      <c r="BK431" s="37"/>
      <c r="BN431" s="16"/>
      <c r="BO431" s="16"/>
    </row>
    <row r="432" spans="1:67" s="67" customFormat="1" ht="15.95" customHeight="1" x14ac:dyDescent="0.25">
      <c r="A432" s="16"/>
      <c r="B432" s="68">
        <f>SUBTOTAL(103,$K$396:K432)</f>
        <v>37</v>
      </c>
      <c r="C432" s="59" t="s">
        <v>924</v>
      </c>
      <c r="D432" s="53" t="s">
        <v>158</v>
      </c>
      <c r="E432" s="53" t="s">
        <v>19</v>
      </c>
      <c r="F432" s="53" t="s">
        <v>106</v>
      </c>
      <c r="G432" s="53" t="s">
        <v>4896</v>
      </c>
      <c r="H432" s="53" t="s">
        <v>4867</v>
      </c>
      <c r="I432" s="58" t="s">
        <v>1437</v>
      </c>
      <c r="J432" s="58" t="s">
        <v>1426</v>
      </c>
      <c r="K432" s="103" t="s">
        <v>4300</v>
      </c>
      <c r="L432" s="53" t="s">
        <v>170</v>
      </c>
      <c r="M432" s="68">
        <v>1</v>
      </c>
      <c r="N432" s="53" t="s">
        <v>150</v>
      </c>
      <c r="O432" s="70" t="s">
        <v>5034</v>
      </c>
      <c r="P432" s="59" t="s">
        <v>3894</v>
      </c>
      <c r="Q432" s="58" t="s">
        <v>1438</v>
      </c>
      <c r="R432" s="53">
        <v>2022</v>
      </c>
      <c r="S432" s="53" t="s">
        <v>248</v>
      </c>
      <c r="T432" s="53"/>
      <c r="U432" s="53"/>
      <c r="V432" s="53" t="s">
        <v>607</v>
      </c>
      <c r="W432" s="53" t="s">
        <v>236</v>
      </c>
      <c r="X432" s="57" t="s">
        <v>4300</v>
      </c>
      <c r="Y432" s="53"/>
      <c r="Z432" s="53"/>
      <c r="AA432" s="58"/>
      <c r="AB432" s="76" t="s">
        <v>156</v>
      </c>
      <c r="AC432" s="58" t="s">
        <v>157</v>
      </c>
      <c r="AD432" s="58" t="s">
        <v>157</v>
      </c>
      <c r="AE432" s="58"/>
      <c r="AF432" s="58"/>
      <c r="AG432" s="67" t="s">
        <v>1439</v>
      </c>
      <c r="AH432" s="53"/>
      <c r="AI432" s="58"/>
      <c r="AJ432" s="91" t="s">
        <v>1440</v>
      </c>
      <c r="AK432" s="92" t="s">
        <v>156</v>
      </c>
      <c r="AL432" s="93" t="s">
        <v>712</v>
      </c>
      <c r="AM432" s="94" t="s">
        <v>1441</v>
      </c>
      <c r="AN432" s="95" t="s">
        <v>1442</v>
      </c>
      <c r="AO432" s="96" t="s">
        <v>164</v>
      </c>
      <c r="AP432" s="66"/>
      <c r="AQ432" s="67" t="s">
        <v>267</v>
      </c>
      <c r="AR432" s="38"/>
      <c r="AT432" s="40"/>
      <c r="AU432" s="40"/>
      <c r="AV432" s="54">
        <v>7220201</v>
      </c>
      <c r="AW432" s="53">
        <v>192</v>
      </c>
      <c r="AY432" s="40"/>
      <c r="AZ432" s="40"/>
      <c r="BI432" s="36"/>
      <c r="BJ432" s="36"/>
      <c r="BK432" s="37"/>
      <c r="BN432" s="16"/>
      <c r="BO432" s="16"/>
    </row>
    <row r="433" spans="1:67" s="67" customFormat="1" ht="15.95" customHeight="1" x14ac:dyDescent="0.25">
      <c r="A433" s="16"/>
      <c r="B433" s="68">
        <f>SUBTOTAL(103,$K$396:K433)</f>
        <v>38</v>
      </c>
      <c r="C433" s="59" t="s">
        <v>932</v>
      </c>
      <c r="D433" s="53" t="s">
        <v>158</v>
      </c>
      <c r="E433" s="68" t="s">
        <v>19</v>
      </c>
      <c r="F433" s="68" t="s">
        <v>106</v>
      </c>
      <c r="G433" s="53" t="s">
        <v>4896</v>
      </c>
      <c r="H433" s="53" t="s">
        <v>4868</v>
      </c>
      <c r="I433" s="58" t="s">
        <v>182</v>
      </c>
      <c r="J433" s="58" t="s">
        <v>1443</v>
      </c>
      <c r="K433" s="234" t="s">
        <v>4301</v>
      </c>
      <c r="L433" s="68" t="s">
        <v>170</v>
      </c>
      <c r="M433" s="68">
        <v>1</v>
      </c>
      <c r="N433" s="68" t="s">
        <v>150</v>
      </c>
      <c r="O433" s="70" t="s">
        <v>5034</v>
      </c>
      <c r="P433" s="59" t="s">
        <v>3894</v>
      </c>
      <c r="Q433" s="58" t="s">
        <v>26</v>
      </c>
      <c r="R433" s="68">
        <v>2023</v>
      </c>
      <c r="S433" s="68" t="s">
        <v>153</v>
      </c>
      <c r="T433" s="86" t="s">
        <v>1444</v>
      </c>
      <c r="U433" s="86" t="s">
        <v>1445</v>
      </c>
      <c r="V433" s="68"/>
      <c r="W433" s="59"/>
      <c r="X433" s="81" t="s">
        <v>4301</v>
      </c>
      <c r="Y433" s="59"/>
      <c r="Z433" s="68"/>
      <c r="AA433" s="58"/>
      <c r="AB433" s="76" t="s">
        <v>156</v>
      </c>
      <c r="AC433" s="53" t="s">
        <v>157</v>
      </c>
      <c r="AD433" s="53"/>
      <c r="AE433" s="64"/>
      <c r="AF433" s="58"/>
      <c r="AG433" s="58" t="s">
        <v>1446</v>
      </c>
      <c r="AH433" s="59" t="s">
        <v>19</v>
      </c>
      <c r="AI433" s="68" t="s">
        <v>1447</v>
      </c>
      <c r="AJ433" s="91" t="s">
        <v>1448</v>
      </c>
      <c r="AK433" s="92" t="s">
        <v>156</v>
      </c>
      <c r="AL433" s="93" t="s">
        <v>446</v>
      </c>
      <c r="AM433" s="94" t="s">
        <v>529</v>
      </c>
      <c r="AN433" s="95" t="s">
        <v>1449</v>
      </c>
      <c r="AO433" s="96" t="s">
        <v>164</v>
      </c>
      <c r="AP433" s="66" t="s">
        <v>132</v>
      </c>
      <c r="AQ433" s="67" t="s">
        <v>1414</v>
      </c>
      <c r="AR433" s="38"/>
      <c r="AT433" s="40"/>
      <c r="AU433" s="40"/>
      <c r="AV433" s="54">
        <v>7220201</v>
      </c>
      <c r="AW433" s="53">
        <v>193</v>
      </c>
      <c r="AY433" s="40"/>
      <c r="AZ433" s="40"/>
      <c r="BI433" s="36"/>
      <c r="BJ433" s="36"/>
      <c r="BK433" s="37"/>
      <c r="BN433" s="16"/>
      <c r="BO433" s="16"/>
    </row>
    <row r="434" spans="1:67" s="67" customFormat="1" ht="15.95" customHeight="1" x14ac:dyDescent="0.25">
      <c r="A434" s="16"/>
      <c r="B434" s="68">
        <f>SUBTOTAL(103,$K$396:K434)</f>
        <v>39</v>
      </c>
      <c r="C434" s="59" t="s">
        <v>942</v>
      </c>
      <c r="D434" s="53" t="s">
        <v>158</v>
      </c>
      <c r="E434" s="68" t="s">
        <v>19</v>
      </c>
      <c r="F434" s="53" t="s">
        <v>106</v>
      </c>
      <c r="G434" s="53" t="s">
        <v>4896</v>
      </c>
      <c r="H434" s="53" t="s">
        <v>4869</v>
      </c>
      <c r="I434" s="58" t="s">
        <v>1450</v>
      </c>
      <c r="J434" s="58" t="s">
        <v>730</v>
      </c>
      <c r="K434" s="103" t="s">
        <v>4302</v>
      </c>
      <c r="L434" s="53" t="s">
        <v>170</v>
      </c>
      <c r="M434" s="68">
        <v>1</v>
      </c>
      <c r="N434" s="53" t="s">
        <v>150</v>
      </c>
      <c r="O434" s="70" t="s">
        <v>5034</v>
      </c>
      <c r="P434" s="59" t="s">
        <v>3894</v>
      </c>
      <c r="Q434" s="58" t="s">
        <v>56</v>
      </c>
      <c r="R434" s="53">
        <v>2025</v>
      </c>
      <c r="S434" s="53" t="s">
        <v>153</v>
      </c>
      <c r="T434" s="53" t="s">
        <v>480</v>
      </c>
      <c r="U434" s="53"/>
      <c r="V434" s="53" t="s">
        <v>583</v>
      </c>
      <c r="W434" s="53" t="s">
        <v>153</v>
      </c>
      <c r="X434" s="57" t="s">
        <v>4302</v>
      </c>
      <c r="Y434" s="53"/>
      <c r="Z434" s="53"/>
      <c r="AA434" s="58"/>
      <c r="AB434" s="76" t="s">
        <v>156</v>
      </c>
      <c r="AC434" s="58" t="s">
        <v>157</v>
      </c>
      <c r="AD434" s="58" t="s">
        <v>157</v>
      </c>
      <c r="AE434" s="58"/>
      <c r="AF434" s="148"/>
      <c r="AG434" s="67" t="s">
        <v>228</v>
      </c>
      <c r="AH434" s="53" t="s">
        <v>155</v>
      </c>
      <c r="AI434" s="58"/>
      <c r="AJ434" s="91" t="s">
        <v>1451</v>
      </c>
      <c r="AK434" s="92" t="s">
        <v>156</v>
      </c>
      <c r="AL434" s="93" t="s">
        <v>1178</v>
      </c>
      <c r="AM434" s="94" t="s">
        <v>1452</v>
      </c>
      <c r="AN434" s="95" t="s">
        <v>1453</v>
      </c>
      <c r="AO434" s="96" t="s">
        <v>164</v>
      </c>
      <c r="AP434" s="66"/>
      <c r="AQ434" s="67" t="s">
        <v>224</v>
      </c>
      <c r="AR434" s="38"/>
      <c r="AT434" s="40"/>
      <c r="AU434" s="40"/>
      <c r="AV434" s="54">
        <v>7220201</v>
      </c>
      <c r="AW434" s="53">
        <v>194</v>
      </c>
      <c r="AY434" s="40"/>
      <c r="AZ434" s="40"/>
      <c r="BI434" s="36"/>
      <c r="BJ434" s="36"/>
      <c r="BK434" s="37"/>
      <c r="BN434" s="16"/>
      <c r="BO434" s="16"/>
    </row>
    <row r="435" spans="1:67" s="67" customFormat="1" ht="15.95" customHeight="1" x14ac:dyDescent="0.25">
      <c r="A435" s="16"/>
      <c r="B435" s="68">
        <f>SUBTOTAL(103,$K$396:K435)</f>
        <v>40</v>
      </c>
      <c r="C435" s="59" t="s">
        <v>948</v>
      </c>
      <c r="D435" s="53" t="s">
        <v>158</v>
      </c>
      <c r="E435" s="53" t="s">
        <v>19</v>
      </c>
      <c r="F435" s="53" t="s">
        <v>106</v>
      </c>
      <c r="G435" s="53" t="s">
        <v>4896</v>
      </c>
      <c r="H435" s="53" t="s">
        <v>4870</v>
      </c>
      <c r="I435" s="58" t="s">
        <v>182</v>
      </c>
      <c r="J435" s="58" t="s">
        <v>1454</v>
      </c>
      <c r="K435" s="103" t="s">
        <v>4303</v>
      </c>
      <c r="L435" s="53" t="s">
        <v>170</v>
      </c>
      <c r="M435" s="68">
        <v>1</v>
      </c>
      <c r="N435" s="53" t="s">
        <v>150</v>
      </c>
      <c r="O435" s="70" t="s">
        <v>5034</v>
      </c>
      <c r="P435" s="59" t="s">
        <v>3894</v>
      </c>
      <c r="Q435" s="58" t="s">
        <v>1455</v>
      </c>
      <c r="R435" s="53">
        <v>2012</v>
      </c>
      <c r="S435" s="53" t="s">
        <v>153</v>
      </c>
      <c r="T435" s="53" t="s">
        <v>1422</v>
      </c>
      <c r="U435" s="53" t="s">
        <v>1456</v>
      </c>
      <c r="V435" s="191" t="s">
        <v>239</v>
      </c>
      <c r="W435" s="53" t="s">
        <v>153</v>
      </c>
      <c r="X435" s="57" t="s">
        <v>4303</v>
      </c>
      <c r="Y435" s="53"/>
      <c r="Z435" s="53"/>
      <c r="AA435" s="58"/>
      <c r="AB435" s="76" t="s">
        <v>156</v>
      </c>
      <c r="AC435" s="58" t="s">
        <v>157</v>
      </c>
      <c r="AD435" s="58" t="s">
        <v>157</v>
      </c>
      <c r="AE435" s="58"/>
      <c r="AF435" s="58"/>
      <c r="AG435" s="58" t="s">
        <v>1457</v>
      </c>
      <c r="AH435" s="53" t="s">
        <v>155</v>
      </c>
      <c r="AI435" s="58"/>
      <c r="AJ435" s="91" t="s">
        <v>1458</v>
      </c>
      <c r="AK435" s="92" t="s">
        <v>156</v>
      </c>
      <c r="AL435" s="93" t="s">
        <v>264</v>
      </c>
      <c r="AM435" s="94" t="s">
        <v>597</v>
      </c>
      <c r="AN435" s="95" t="s">
        <v>1459</v>
      </c>
      <c r="AO435" s="96" t="s">
        <v>164</v>
      </c>
      <c r="AP435" s="66"/>
      <c r="AQ435" s="67" t="s">
        <v>1460</v>
      </c>
      <c r="AR435" s="38"/>
      <c r="AT435" s="40"/>
      <c r="AU435" s="40"/>
      <c r="AV435" s="54">
        <v>7220201</v>
      </c>
      <c r="AW435" s="53">
        <v>195</v>
      </c>
      <c r="AY435" s="40"/>
      <c r="AZ435" s="40"/>
      <c r="BI435" s="36"/>
      <c r="BJ435" s="36"/>
      <c r="BK435" s="37"/>
      <c r="BN435" s="16"/>
      <c r="BO435" s="16"/>
    </row>
    <row r="436" spans="1:67" s="67" customFormat="1" ht="15.95" customHeight="1" x14ac:dyDescent="0.25">
      <c r="A436" s="16"/>
      <c r="B436" s="68">
        <f>SUBTOTAL(103,$K$396:K436)</f>
        <v>41</v>
      </c>
      <c r="C436" s="59" t="s">
        <v>954</v>
      </c>
      <c r="D436" s="53" t="s">
        <v>158</v>
      </c>
      <c r="E436" s="53" t="s">
        <v>19</v>
      </c>
      <c r="F436" s="53" t="s">
        <v>106</v>
      </c>
      <c r="G436" s="53" t="s">
        <v>4896</v>
      </c>
      <c r="H436" s="53" t="s">
        <v>4871</v>
      </c>
      <c r="I436" s="58" t="s">
        <v>1461</v>
      </c>
      <c r="J436" s="58" t="s">
        <v>1454</v>
      </c>
      <c r="K436" s="103" t="s">
        <v>4304</v>
      </c>
      <c r="L436" s="53" t="s">
        <v>170</v>
      </c>
      <c r="M436" s="68">
        <v>1</v>
      </c>
      <c r="N436" s="53" t="s">
        <v>150</v>
      </c>
      <c r="O436" s="70" t="s">
        <v>5034</v>
      </c>
      <c r="P436" s="59" t="s">
        <v>3894</v>
      </c>
      <c r="Q436" s="58" t="s">
        <v>281</v>
      </c>
      <c r="R436" s="53">
        <v>2011</v>
      </c>
      <c r="S436" s="53" t="s">
        <v>197</v>
      </c>
      <c r="T436" s="53" t="s">
        <v>1462</v>
      </c>
      <c r="U436" s="53"/>
      <c r="V436" s="53"/>
      <c r="W436" s="53"/>
      <c r="X436" s="57" t="s">
        <v>4304</v>
      </c>
      <c r="Y436" s="53"/>
      <c r="Z436" s="53"/>
      <c r="AA436" s="58"/>
      <c r="AB436" s="76" t="s">
        <v>156</v>
      </c>
      <c r="AC436" s="58"/>
      <c r="AD436" s="58"/>
      <c r="AE436" s="58"/>
      <c r="AF436" s="58"/>
      <c r="AG436" s="58" t="s">
        <v>217</v>
      </c>
      <c r="AH436" s="53" t="s">
        <v>155</v>
      </c>
      <c r="AI436" s="58"/>
      <c r="AJ436" s="91" t="s">
        <v>1463</v>
      </c>
      <c r="AK436" s="92" t="s">
        <v>156</v>
      </c>
      <c r="AL436" s="93" t="s">
        <v>176</v>
      </c>
      <c r="AM436" s="94" t="s">
        <v>1464</v>
      </c>
      <c r="AN436" s="95" t="s">
        <v>1465</v>
      </c>
      <c r="AO436" s="96" t="s">
        <v>164</v>
      </c>
      <c r="AP436" s="66" t="s">
        <v>223</v>
      </c>
      <c r="AQ436" s="67" t="s">
        <v>267</v>
      </c>
      <c r="AR436" s="38"/>
      <c r="AT436" s="40"/>
      <c r="AU436" s="40"/>
      <c r="AV436" s="54">
        <v>7220201</v>
      </c>
      <c r="AW436" s="53">
        <v>196</v>
      </c>
      <c r="AY436" s="40"/>
      <c r="AZ436" s="40"/>
      <c r="BI436" s="36"/>
      <c r="BJ436" s="36"/>
      <c r="BK436" s="37"/>
      <c r="BN436" s="16"/>
      <c r="BO436" s="16"/>
    </row>
    <row r="437" spans="1:67" s="67" customFormat="1" ht="15.95" customHeight="1" x14ac:dyDescent="0.25">
      <c r="A437" s="16"/>
      <c r="B437" s="68">
        <f>SUBTOTAL(103,$K$396:K437)</f>
        <v>42</v>
      </c>
      <c r="C437" s="59" t="s">
        <v>961</v>
      </c>
      <c r="D437" s="53" t="s">
        <v>158</v>
      </c>
      <c r="E437" s="68" t="s">
        <v>19</v>
      </c>
      <c r="F437" s="59" t="s">
        <v>106</v>
      </c>
      <c r="G437" s="53" t="s">
        <v>4896</v>
      </c>
      <c r="H437" s="53" t="s">
        <v>4872</v>
      </c>
      <c r="I437" s="73" t="s">
        <v>1466</v>
      </c>
      <c r="J437" s="74" t="s">
        <v>1467</v>
      </c>
      <c r="K437" s="75" t="s">
        <v>4305</v>
      </c>
      <c r="L437" s="59" t="s">
        <v>170</v>
      </c>
      <c r="M437" s="68">
        <v>1</v>
      </c>
      <c r="N437" s="59" t="s">
        <v>441</v>
      </c>
      <c r="O437" s="70" t="s">
        <v>5034</v>
      </c>
      <c r="P437" s="59" t="s">
        <v>3894</v>
      </c>
      <c r="Q437" s="73" t="s">
        <v>1433</v>
      </c>
      <c r="R437" s="59" t="s">
        <v>1468</v>
      </c>
      <c r="S437" s="59" t="s">
        <v>337</v>
      </c>
      <c r="T437" s="59" t="s">
        <v>1469</v>
      </c>
      <c r="U437" s="59"/>
      <c r="V437" s="59" t="s">
        <v>453</v>
      </c>
      <c r="W437" s="59" t="s">
        <v>153</v>
      </c>
      <c r="X437" s="75" t="s">
        <v>4305</v>
      </c>
      <c r="Y437" s="59"/>
      <c r="Z437" s="59"/>
      <c r="AA437" s="58"/>
      <c r="AB437" s="76" t="s">
        <v>156</v>
      </c>
      <c r="AC437" s="59" t="s">
        <v>157</v>
      </c>
      <c r="AD437" s="59" t="s">
        <v>157</v>
      </c>
      <c r="AE437" s="59"/>
      <c r="AF437" s="59"/>
      <c r="AG437" s="59" t="s">
        <v>228</v>
      </c>
      <c r="AH437" s="59" t="s">
        <v>155</v>
      </c>
      <c r="AI437" s="59"/>
      <c r="AJ437" s="267" t="s">
        <v>1470</v>
      </c>
      <c r="AK437" s="92" t="s">
        <v>156</v>
      </c>
      <c r="AL437" s="263" t="s">
        <v>220</v>
      </c>
      <c r="AM437" s="266" t="s">
        <v>1471</v>
      </c>
      <c r="AN437" s="273" t="s">
        <v>1472</v>
      </c>
      <c r="AO437" s="263" t="s">
        <v>164</v>
      </c>
      <c r="AP437" s="66"/>
      <c r="AQ437" s="67" t="s">
        <v>193</v>
      </c>
      <c r="AR437" s="38"/>
      <c r="AT437" s="40"/>
      <c r="AU437" s="40"/>
      <c r="AV437" s="54">
        <v>7220201</v>
      </c>
      <c r="AW437" s="53">
        <v>197</v>
      </c>
      <c r="AY437" s="40"/>
      <c r="AZ437" s="40"/>
      <c r="BI437" s="36"/>
      <c r="BJ437" s="36"/>
      <c r="BK437" s="37"/>
      <c r="BN437" s="16"/>
      <c r="BO437" s="16"/>
    </row>
    <row r="438" spans="1:67" s="67" customFormat="1" ht="15.95" customHeight="1" x14ac:dyDescent="0.25">
      <c r="A438" s="16"/>
      <c r="B438" s="68">
        <f>SUBTOTAL(103,$K$396:K438)</f>
        <v>43</v>
      </c>
      <c r="C438" s="59" t="s">
        <v>969</v>
      </c>
      <c r="D438" s="53" t="s">
        <v>158</v>
      </c>
      <c r="E438" s="53" t="s">
        <v>19</v>
      </c>
      <c r="F438" s="53" t="s">
        <v>106</v>
      </c>
      <c r="G438" s="53" t="s">
        <v>4896</v>
      </c>
      <c r="H438" s="53" t="s">
        <v>4873</v>
      </c>
      <c r="I438" s="58" t="s">
        <v>1473</v>
      </c>
      <c r="J438" s="58" t="s">
        <v>1474</v>
      </c>
      <c r="K438" s="103" t="s">
        <v>4306</v>
      </c>
      <c r="L438" s="53" t="s">
        <v>170</v>
      </c>
      <c r="M438" s="68">
        <v>1</v>
      </c>
      <c r="N438" s="53" t="s">
        <v>150</v>
      </c>
      <c r="O438" s="70" t="s">
        <v>5034</v>
      </c>
      <c r="P438" s="59" t="s">
        <v>3894</v>
      </c>
      <c r="Q438" s="58" t="s">
        <v>23</v>
      </c>
      <c r="R438" s="53">
        <v>2012</v>
      </c>
      <c r="S438" s="53" t="s">
        <v>337</v>
      </c>
      <c r="T438" s="53" t="s">
        <v>1475</v>
      </c>
      <c r="U438" s="53"/>
      <c r="V438" s="53" t="s">
        <v>411</v>
      </c>
      <c r="W438" s="53" t="s">
        <v>153</v>
      </c>
      <c r="X438" s="57" t="s">
        <v>4306</v>
      </c>
      <c r="Y438" s="53"/>
      <c r="Z438" s="53"/>
      <c r="AA438" s="58"/>
      <c r="AB438" s="76" t="s">
        <v>156</v>
      </c>
      <c r="AC438" s="58" t="s">
        <v>157</v>
      </c>
      <c r="AD438" s="58" t="s">
        <v>157</v>
      </c>
      <c r="AE438" s="58"/>
      <c r="AF438" s="58"/>
      <c r="AG438" s="64" t="s">
        <v>1476</v>
      </c>
      <c r="AH438" s="53" t="s">
        <v>19</v>
      </c>
      <c r="AI438" s="58" t="s">
        <v>1477</v>
      </c>
      <c r="AJ438" s="91" t="s">
        <v>1478</v>
      </c>
      <c r="AK438" s="92" t="s">
        <v>156</v>
      </c>
      <c r="AL438" s="93" t="s">
        <v>161</v>
      </c>
      <c r="AM438" s="94" t="s">
        <v>1479</v>
      </c>
      <c r="AN438" s="95" t="s">
        <v>1480</v>
      </c>
      <c r="AO438" s="96" t="s">
        <v>164</v>
      </c>
      <c r="AP438" s="66"/>
      <c r="AQ438" s="88"/>
      <c r="AU438" s="40"/>
      <c r="AV438" s="54">
        <v>7220201</v>
      </c>
      <c r="AW438" s="53">
        <v>198</v>
      </c>
      <c r="BJ438" s="40"/>
      <c r="BK438" s="40"/>
      <c r="BN438" s="16"/>
      <c r="BO438" s="16"/>
    </row>
    <row r="439" spans="1:67" s="67" customFormat="1" ht="15.95" customHeight="1" x14ac:dyDescent="0.25">
      <c r="A439" s="16"/>
      <c r="B439" s="68">
        <f>SUBTOTAL(103,$K$396:K439)</f>
        <v>44</v>
      </c>
      <c r="C439" s="59" t="s">
        <v>976</v>
      </c>
      <c r="D439" s="53" t="s">
        <v>158</v>
      </c>
      <c r="E439" s="53" t="s">
        <v>19</v>
      </c>
      <c r="F439" s="53" t="s">
        <v>106</v>
      </c>
      <c r="G439" s="53" t="s">
        <v>4896</v>
      </c>
      <c r="H439" s="53" t="s">
        <v>4874</v>
      </c>
      <c r="I439" s="58" t="s">
        <v>1481</v>
      </c>
      <c r="J439" s="58" t="s">
        <v>352</v>
      </c>
      <c r="K439" s="103" t="s">
        <v>4307</v>
      </c>
      <c r="L439" s="53" t="s">
        <v>149</v>
      </c>
      <c r="M439" s="53">
        <v>0</v>
      </c>
      <c r="N439" s="68" t="s">
        <v>150</v>
      </c>
      <c r="O439" s="70" t="s">
        <v>5034</v>
      </c>
      <c r="P439" s="59" t="s">
        <v>3894</v>
      </c>
      <c r="Q439" s="58" t="s">
        <v>1482</v>
      </c>
      <c r="R439" s="53">
        <v>2019</v>
      </c>
      <c r="S439" s="53" t="s">
        <v>153</v>
      </c>
      <c r="T439" s="53"/>
      <c r="U439" s="53" t="s">
        <v>1483</v>
      </c>
      <c r="V439" s="53" t="s">
        <v>173</v>
      </c>
      <c r="W439" s="53" t="s">
        <v>153</v>
      </c>
      <c r="X439" s="57" t="s">
        <v>4307</v>
      </c>
      <c r="Y439" s="59"/>
      <c r="Z439" s="53"/>
      <c r="AA439" s="58"/>
      <c r="AB439" s="76" t="s">
        <v>156</v>
      </c>
      <c r="AC439" s="58"/>
      <c r="AD439" s="53" t="s">
        <v>157</v>
      </c>
      <c r="AE439" s="53"/>
      <c r="AF439" s="148"/>
      <c r="AG439" s="67" t="s">
        <v>1236</v>
      </c>
      <c r="AH439" s="53" t="s">
        <v>155</v>
      </c>
      <c r="AI439" s="58"/>
      <c r="AJ439" s="91" t="s">
        <v>1484</v>
      </c>
      <c r="AK439" s="92" t="s">
        <v>156</v>
      </c>
      <c r="AL439" s="263" t="s">
        <v>483</v>
      </c>
      <c r="AM439" s="266" t="s">
        <v>592</v>
      </c>
      <c r="AN439" s="95" t="s">
        <v>1485</v>
      </c>
      <c r="AO439" s="96" t="s">
        <v>164</v>
      </c>
      <c r="AP439" s="66" t="s">
        <v>192</v>
      </c>
      <c r="AQ439" s="67" t="s">
        <v>1486</v>
      </c>
      <c r="AR439" s="38"/>
      <c r="AT439" s="40"/>
      <c r="AU439" s="40"/>
      <c r="AV439" s="54">
        <v>7220201</v>
      </c>
      <c r="AW439" s="53">
        <v>199</v>
      </c>
      <c r="AY439" s="40"/>
      <c r="AZ439" s="40"/>
      <c r="BI439" s="36"/>
      <c r="BJ439" s="36"/>
      <c r="BK439" s="37"/>
      <c r="BN439" s="16"/>
      <c r="BO439" s="16"/>
    </row>
    <row r="440" spans="1:67" s="67" customFormat="1" ht="15.95" customHeight="1" x14ac:dyDescent="0.25">
      <c r="A440" s="16"/>
      <c r="B440" s="68">
        <f>SUBTOTAL(103,$K$396:K440)</f>
        <v>45</v>
      </c>
      <c r="C440" s="59" t="s">
        <v>983</v>
      </c>
      <c r="D440" s="53" t="s">
        <v>158</v>
      </c>
      <c r="E440" s="53" t="s">
        <v>19</v>
      </c>
      <c r="F440" s="53" t="s">
        <v>106</v>
      </c>
      <c r="G440" s="53" t="s">
        <v>4896</v>
      </c>
      <c r="H440" s="53" t="s">
        <v>4875</v>
      </c>
      <c r="I440" s="58" t="s">
        <v>1487</v>
      </c>
      <c r="J440" s="58" t="s">
        <v>508</v>
      </c>
      <c r="K440" s="103" t="s">
        <v>4308</v>
      </c>
      <c r="L440" s="53" t="s">
        <v>170</v>
      </c>
      <c r="M440" s="68">
        <v>1</v>
      </c>
      <c r="N440" s="53" t="s">
        <v>150</v>
      </c>
      <c r="O440" s="70" t="s">
        <v>5034</v>
      </c>
      <c r="P440" s="59" t="s">
        <v>3894</v>
      </c>
      <c r="Q440" s="58" t="s">
        <v>281</v>
      </c>
      <c r="R440" s="53">
        <v>2015</v>
      </c>
      <c r="S440" s="68" t="s">
        <v>1255</v>
      </c>
      <c r="T440" s="53" t="s">
        <v>1488</v>
      </c>
      <c r="U440" s="53"/>
      <c r="V440" s="53" t="s">
        <v>779</v>
      </c>
      <c r="W440" s="59" t="s">
        <v>236</v>
      </c>
      <c r="X440" s="57" t="s">
        <v>4308</v>
      </c>
      <c r="Y440" s="59"/>
      <c r="Z440" s="53"/>
      <c r="AA440" s="58"/>
      <c r="AB440" s="76" t="s">
        <v>156</v>
      </c>
      <c r="AC440" s="58" t="s">
        <v>157</v>
      </c>
      <c r="AD440" s="53" t="s">
        <v>157</v>
      </c>
      <c r="AE440" s="58"/>
      <c r="AF440" s="148"/>
      <c r="AG440" s="58" t="s">
        <v>1489</v>
      </c>
      <c r="AH440" s="53" t="s">
        <v>155</v>
      </c>
      <c r="AI440" s="58"/>
      <c r="AJ440" s="91" t="s">
        <v>1490</v>
      </c>
      <c r="AK440" s="92" t="s">
        <v>156</v>
      </c>
      <c r="AL440" s="93" t="s">
        <v>229</v>
      </c>
      <c r="AM440" s="94" t="s">
        <v>1491</v>
      </c>
      <c r="AN440" s="95" t="s">
        <v>1492</v>
      </c>
      <c r="AO440" s="96" t="s">
        <v>164</v>
      </c>
      <c r="AP440" s="66"/>
      <c r="AQ440" s="67" t="s">
        <v>224</v>
      </c>
      <c r="AR440" s="38"/>
      <c r="AT440" s="40"/>
      <c r="AU440" s="40"/>
      <c r="AV440" s="54">
        <v>7220201</v>
      </c>
      <c r="AW440" s="53">
        <v>200</v>
      </c>
      <c r="AY440" s="40"/>
      <c r="AZ440" s="40"/>
      <c r="BI440" s="36"/>
      <c r="BJ440" s="36"/>
      <c r="BK440" s="37"/>
      <c r="BN440" s="16"/>
      <c r="BO440" s="16"/>
    </row>
    <row r="441" spans="1:67" s="67" customFormat="1" ht="15.95" customHeight="1" x14ac:dyDescent="0.25">
      <c r="A441" s="16"/>
      <c r="B441" s="68">
        <f>SUBTOTAL(103,$K$396:K441)</f>
        <v>46</v>
      </c>
      <c r="C441" s="59" t="s">
        <v>1493</v>
      </c>
      <c r="D441" s="53" t="s">
        <v>158</v>
      </c>
      <c r="E441" s="53" t="s">
        <v>19</v>
      </c>
      <c r="F441" s="53" t="s">
        <v>106</v>
      </c>
      <c r="G441" s="53" t="s">
        <v>4896</v>
      </c>
      <c r="H441" s="53" t="s">
        <v>4876</v>
      </c>
      <c r="I441" s="58" t="s">
        <v>1494</v>
      </c>
      <c r="J441" s="58" t="s">
        <v>1495</v>
      </c>
      <c r="K441" s="103" t="s">
        <v>4309</v>
      </c>
      <c r="L441" s="68" t="s">
        <v>149</v>
      </c>
      <c r="M441" s="53">
        <v>0</v>
      </c>
      <c r="N441" s="68" t="s">
        <v>150</v>
      </c>
      <c r="O441" s="70" t="s">
        <v>5034</v>
      </c>
      <c r="P441" s="59" t="s">
        <v>3894</v>
      </c>
      <c r="Q441" s="58" t="s">
        <v>56</v>
      </c>
      <c r="R441" s="53">
        <v>2019</v>
      </c>
      <c r="S441" s="53" t="s">
        <v>248</v>
      </c>
      <c r="T441" s="53"/>
      <c r="U441" s="53" t="s">
        <v>1496</v>
      </c>
      <c r="V441" s="53" t="s">
        <v>154</v>
      </c>
      <c r="W441" s="53" t="s">
        <v>153</v>
      </c>
      <c r="X441" s="57" t="s">
        <v>4309</v>
      </c>
      <c r="Y441" s="59"/>
      <c r="Z441" s="53"/>
      <c r="AA441" s="58"/>
      <c r="AB441" s="76" t="s">
        <v>156</v>
      </c>
      <c r="AC441" s="58" t="s">
        <v>157</v>
      </c>
      <c r="AD441" s="68" t="s">
        <v>157</v>
      </c>
      <c r="AE441" s="68"/>
      <c r="AF441" s="58"/>
      <c r="AG441" s="58" t="s">
        <v>1497</v>
      </c>
      <c r="AH441" s="68" t="s">
        <v>155</v>
      </c>
      <c r="AI441" s="58"/>
      <c r="AJ441" s="161" t="s">
        <v>1498</v>
      </c>
      <c r="AK441" s="150" t="s">
        <v>156</v>
      </c>
      <c r="AL441" s="177" t="s">
        <v>446</v>
      </c>
      <c r="AM441" s="66" t="s">
        <v>1499</v>
      </c>
      <c r="AN441" s="161" t="s">
        <v>1500</v>
      </c>
      <c r="AO441" s="53" t="s">
        <v>164</v>
      </c>
      <c r="AP441" s="188" t="s">
        <v>457</v>
      </c>
      <c r="AQ441" s="67" t="s">
        <v>554</v>
      </c>
      <c r="AR441" s="38"/>
      <c r="AT441" s="40"/>
      <c r="AU441" s="40"/>
      <c r="AV441" s="54">
        <v>7220201</v>
      </c>
      <c r="AW441" s="53">
        <v>201</v>
      </c>
      <c r="AY441" s="40"/>
      <c r="AZ441" s="40"/>
      <c r="BI441" s="36"/>
      <c r="BJ441" s="36"/>
      <c r="BK441" s="37"/>
      <c r="BN441" s="16"/>
      <c r="BO441" s="16"/>
    </row>
    <row r="442" spans="1:67" s="67" customFormat="1" ht="15.95" customHeight="1" x14ac:dyDescent="0.25">
      <c r="A442" s="16"/>
      <c r="B442" s="68">
        <f>SUBTOTAL(103,$K$396:K442)</f>
        <v>47</v>
      </c>
      <c r="C442" s="59" t="s">
        <v>1501</v>
      </c>
      <c r="D442" s="53" t="s">
        <v>158</v>
      </c>
      <c r="E442" s="53" t="s">
        <v>19</v>
      </c>
      <c r="F442" s="53" t="s">
        <v>106</v>
      </c>
      <c r="G442" s="53" t="s">
        <v>4896</v>
      </c>
      <c r="H442" s="53" t="s">
        <v>4877</v>
      </c>
      <c r="I442" s="58" t="s">
        <v>1502</v>
      </c>
      <c r="J442" s="58" t="s">
        <v>1503</v>
      </c>
      <c r="K442" s="103" t="s">
        <v>4310</v>
      </c>
      <c r="L442" s="53" t="s">
        <v>149</v>
      </c>
      <c r="M442" s="53">
        <v>0</v>
      </c>
      <c r="N442" s="53" t="s">
        <v>150</v>
      </c>
      <c r="O442" s="70" t="s">
        <v>5034</v>
      </c>
      <c r="P442" s="59" t="s">
        <v>3894</v>
      </c>
      <c r="Q442" s="58" t="s">
        <v>60</v>
      </c>
      <c r="R442" s="53">
        <v>2021</v>
      </c>
      <c r="S442" s="53" t="s">
        <v>236</v>
      </c>
      <c r="T442" s="53" t="s">
        <v>1056</v>
      </c>
      <c r="U442" s="53" t="s">
        <v>1504</v>
      </c>
      <c r="V442" s="53" t="s">
        <v>693</v>
      </c>
      <c r="W442" s="59" t="s">
        <v>236</v>
      </c>
      <c r="X442" s="57" t="s">
        <v>4310</v>
      </c>
      <c r="Y442" s="59"/>
      <c r="Z442" s="53"/>
      <c r="AA442" s="58"/>
      <c r="AB442" s="76" t="s">
        <v>156</v>
      </c>
      <c r="AC442" s="58"/>
      <c r="AD442" s="53" t="s">
        <v>157</v>
      </c>
      <c r="AE442" s="53"/>
      <c r="AF442" s="148"/>
      <c r="AG442" s="59" t="s">
        <v>198</v>
      </c>
      <c r="AH442" s="53" t="s">
        <v>155</v>
      </c>
      <c r="AI442" s="58"/>
      <c r="AJ442" s="61" t="s">
        <v>1505</v>
      </c>
      <c r="AK442" s="68" t="s">
        <v>156</v>
      </c>
      <c r="AL442" s="59" t="s">
        <v>495</v>
      </c>
      <c r="AM442" s="64" t="s">
        <v>1506</v>
      </c>
      <c r="AN442" s="65" t="s">
        <v>1507</v>
      </c>
      <c r="AO442" s="53" t="s">
        <v>164</v>
      </c>
      <c r="AP442" s="64" t="s">
        <v>1508</v>
      </c>
      <c r="AQ442" s="67" t="s">
        <v>449</v>
      </c>
      <c r="AR442" s="41"/>
      <c r="AT442" s="40"/>
      <c r="AU442" s="40"/>
      <c r="AV442" s="54">
        <v>7220201</v>
      </c>
      <c r="AW442" s="53">
        <v>202</v>
      </c>
      <c r="AY442" s="40"/>
      <c r="AZ442" s="40"/>
      <c r="BI442" s="36"/>
      <c r="BJ442" s="36"/>
      <c r="BK442" s="37"/>
      <c r="BN442" s="16"/>
      <c r="BO442" s="16"/>
    </row>
    <row r="443" spans="1:67" s="67" customFormat="1" ht="15.95" customHeight="1" x14ac:dyDescent="0.25">
      <c r="A443" s="16"/>
      <c r="B443" s="68">
        <f>SUBTOTAL(103,$K$396:K443)</f>
        <v>48</v>
      </c>
      <c r="C443" s="59" t="s">
        <v>1509</v>
      </c>
      <c r="D443" s="53" t="s">
        <v>158</v>
      </c>
      <c r="E443" s="53" t="s">
        <v>19</v>
      </c>
      <c r="F443" s="53" t="s">
        <v>106</v>
      </c>
      <c r="G443" s="53" t="s">
        <v>4896</v>
      </c>
      <c r="H443" s="53" t="s">
        <v>4878</v>
      </c>
      <c r="I443" s="58" t="s">
        <v>1510</v>
      </c>
      <c r="J443" s="58" t="s">
        <v>1503</v>
      </c>
      <c r="K443" s="103" t="s">
        <v>4311</v>
      </c>
      <c r="L443" s="53" t="s">
        <v>149</v>
      </c>
      <c r="M443" s="53">
        <v>0</v>
      </c>
      <c r="N443" s="53" t="s">
        <v>150</v>
      </c>
      <c r="O443" s="70" t="s">
        <v>5034</v>
      </c>
      <c r="P443" s="59" t="s">
        <v>3894</v>
      </c>
      <c r="Q443" s="58" t="s">
        <v>1511</v>
      </c>
      <c r="R443" s="53">
        <v>2011</v>
      </c>
      <c r="S443" s="53" t="s">
        <v>236</v>
      </c>
      <c r="T443" s="53" t="s">
        <v>1512</v>
      </c>
      <c r="U443" s="53"/>
      <c r="V443" s="53" t="s">
        <v>620</v>
      </c>
      <c r="W443" s="53" t="s">
        <v>248</v>
      </c>
      <c r="X443" s="57" t="s">
        <v>4311</v>
      </c>
      <c r="Y443" s="59"/>
      <c r="Z443" s="53"/>
      <c r="AA443" s="58"/>
      <c r="AB443" s="76" t="s">
        <v>156</v>
      </c>
      <c r="AC443" s="58" t="s">
        <v>157</v>
      </c>
      <c r="AD443" s="53" t="s">
        <v>157</v>
      </c>
      <c r="AE443" s="53"/>
      <c r="AF443" s="148"/>
      <c r="AG443" s="58" t="s">
        <v>1513</v>
      </c>
      <c r="AH443" s="53" t="s">
        <v>19</v>
      </c>
      <c r="AI443" s="58"/>
      <c r="AJ443" s="61" t="s">
        <v>1514</v>
      </c>
      <c r="AK443" s="68" t="s">
        <v>156</v>
      </c>
      <c r="AL443" s="58" t="s">
        <v>1515</v>
      </c>
      <c r="AM443" s="64" t="s">
        <v>1516</v>
      </c>
      <c r="AN443" s="65" t="s">
        <v>1517</v>
      </c>
      <c r="AO443" s="53" t="s">
        <v>164</v>
      </c>
      <c r="AP443" s="64"/>
      <c r="AQ443" s="58" t="s">
        <v>449</v>
      </c>
      <c r="AR443" s="41"/>
      <c r="AT443" s="40"/>
      <c r="AU443" s="40"/>
      <c r="AV443" s="54">
        <v>7220201</v>
      </c>
      <c r="AW443" s="53">
        <v>203</v>
      </c>
      <c r="AY443" s="40"/>
      <c r="AZ443" s="40"/>
      <c r="BI443" s="36"/>
      <c r="BJ443" s="36"/>
      <c r="BK443" s="37"/>
      <c r="BN443" s="16"/>
      <c r="BO443" s="16"/>
    </row>
    <row r="444" spans="1:67" s="67" customFormat="1" ht="15.95" customHeight="1" x14ac:dyDescent="0.25">
      <c r="A444" s="16"/>
      <c r="B444" s="68">
        <f>SUBTOTAL(103,$K$396:K444)</f>
        <v>49</v>
      </c>
      <c r="C444" s="59" t="s">
        <v>1518</v>
      </c>
      <c r="D444" s="53" t="s">
        <v>158</v>
      </c>
      <c r="E444" s="53" t="s">
        <v>19</v>
      </c>
      <c r="F444" s="59" t="s">
        <v>106</v>
      </c>
      <c r="G444" s="53" t="s">
        <v>4896</v>
      </c>
      <c r="H444" s="53" t="s">
        <v>4879</v>
      </c>
      <c r="I444" s="73" t="s">
        <v>1519</v>
      </c>
      <c r="J444" s="74" t="s">
        <v>1503</v>
      </c>
      <c r="K444" s="75" t="s">
        <v>4312</v>
      </c>
      <c r="L444" s="59" t="s">
        <v>170</v>
      </c>
      <c r="M444" s="68">
        <v>1</v>
      </c>
      <c r="N444" s="59" t="s">
        <v>150</v>
      </c>
      <c r="O444" s="70" t="s">
        <v>5034</v>
      </c>
      <c r="P444" s="59" t="s">
        <v>3894</v>
      </c>
      <c r="Q444" s="73" t="s">
        <v>1520</v>
      </c>
      <c r="R444" s="59" t="s">
        <v>152</v>
      </c>
      <c r="S444" s="59" t="s">
        <v>153</v>
      </c>
      <c r="T444" s="59"/>
      <c r="U444" s="59" t="s">
        <v>1445</v>
      </c>
      <c r="V444" s="59" t="s">
        <v>685</v>
      </c>
      <c r="W444" s="59" t="s">
        <v>236</v>
      </c>
      <c r="X444" s="75" t="s">
        <v>4312</v>
      </c>
      <c r="Y444" s="59"/>
      <c r="Z444" s="59"/>
      <c r="AA444" s="58"/>
      <c r="AB444" s="76" t="s">
        <v>156</v>
      </c>
      <c r="AC444" s="58" t="s">
        <v>157</v>
      </c>
      <c r="AD444" s="59" t="s">
        <v>157</v>
      </c>
      <c r="AE444" s="59"/>
      <c r="AF444" s="59"/>
      <c r="AG444" s="59" t="s">
        <v>1521</v>
      </c>
      <c r="AH444" s="59" t="s">
        <v>155</v>
      </c>
      <c r="AI444" s="59"/>
      <c r="AJ444" s="77" t="s">
        <v>1522</v>
      </c>
      <c r="AK444" s="68" t="s">
        <v>156</v>
      </c>
      <c r="AL444" s="59" t="s">
        <v>495</v>
      </c>
      <c r="AM444" s="74" t="s">
        <v>1523</v>
      </c>
      <c r="AN444" s="78" t="s">
        <v>1524</v>
      </c>
      <c r="AO444" s="53" t="s">
        <v>164</v>
      </c>
      <c r="AP444" s="66"/>
      <c r="AQ444" s="80" t="s">
        <v>368</v>
      </c>
      <c r="AR444" s="41"/>
      <c r="AT444" s="40"/>
      <c r="AU444" s="40"/>
      <c r="AV444" s="54">
        <v>7220201</v>
      </c>
      <c r="AW444" s="53">
        <v>204</v>
      </c>
      <c r="AY444" s="40"/>
      <c r="AZ444" s="40"/>
      <c r="BI444" s="36"/>
      <c r="BJ444" s="36"/>
      <c r="BK444" s="37"/>
      <c r="BN444" s="16"/>
      <c r="BO444" s="16"/>
    </row>
    <row r="445" spans="1:67" s="67" customFormat="1" ht="15.95" customHeight="1" x14ac:dyDescent="0.25">
      <c r="A445" s="16"/>
      <c r="B445" s="68">
        <f>SUBTOTAL(103,$K$396:K445)</f>
        <v>50</v>
      </c>
      <c r="C445" s="59" t="s">
        <v>1525</v>
      </c>
      <c r="D445" s="53" t="s">
        <v>158</v>
      </c>
      <c r="E445" s="53" t="s">
        <v>19</v>
      </c>
      <c r="F445" s="53" t="s">
        <v>106</v>
      </c>
      <c r="G445" s="53" t="s">
        <v>4896</v>
      </c>
      <c r="H445" s="53" t="s">
        <v>4880</v>
      </c>
      <c r="I445" s="58" t="s">
        <v>1526</v>
      </c>
      <c r="J445" s="58" t="s">
        <v>1527</v>
      </c>
      <c r="K445" s="103" t="s">
        <v>4313</v>
      </c>
      <c r="L445" s="53" t="s">
        <v>149</v>
      </c>
      <c r="M445" s="53">
        <v>0</v>
      </c>
      <c r="N445" s="53" t="s">
        <v>441</v>
      </c>
      <c r="O445" s="70" t="s">
        <v>5034</v>
      </c>
      <c r="P445" s="59" t="s">
        <v>3894</v>
      </c>
      <c r="Q445" s="58" t="s">
        <v>29</v>
      </c>
      <c r="R445" s="53">
        <v>2011</v>
      </c>
      <c r="S445" s="68" t="s">
        <v>337</v>
      </c>
      <c r="T445" s="53" t="s">
        <v>1528</v>
      </c>
      <c r="U445" s="53"/>
      <c r="V445" s="53" t="s">
        <v>434</v>
      </c>
      <c r="W445" s="53" t="s">
        <v>153</v>
      </c>
      <c r="X445" s="57" t="s">
        <v>4313</v>
      </c>
      <c r="Y445" s="59"/>
      <c r="Z445" s="53"/>
      <c r="AA445" s="58"/>
      <c r="AB445" s="76" t="s">
        <v>156</v>
      </c>
      <c r="AC445" s="58" t="s">
        <v>157</v>
      </c>
      <c r="AD445" s="58" t="s">
        <v>157</v>
      </c>
      <c r="AE445" s="58"/>
      <c r="AF445" s="148"/>
      <c r="AG445" s="58" t="s">
        <v>228</v>
      </c>
      <c r="AH445" s="53" t="s">
        <v>155</v>
      </c>
      <c r="AI445" s="58" t="s">
        <v>1529</v>
      </c>
      <c r="AJ445" s="167" t="s">
        <v>1530</v>
      </c>
      <c r="AK445" s="62" t="s">
        <v>156</v>
      </c>
      <c r="AL445" s="63" t="s">
        <v>189</v>
      </c>
      <c r="AM445" s="102" t="s">
        <v>1531</v>
      </c>
      <c r="AN445" s="157" t="s">
        <v>1532</v>
      </c>
      <c r="AO445" s="152" t="s">
        <v>164</v>
      </c>
      <c r="AP445" s="66"/>
      <c r="AQ445" s="80" t="s">
        <v>224</v>
      </c>
      <c r="AR445" s="274"/>
      <c r="AT445" s="40"/>
      <c r="AU445" s="40"/>
      <c r="AV445" s="54">
        <v>7220201</v>
      </c>
      <c r="AW445" s="53">
        <v>205</v>
      </c>
      <c r="AY445" s="40"/>
      <c r="AZ445" s="40"/>
      <c r="BI445" s="36"/>
      <c r="BJ445" s="36"/>
      <c r="BK445" s="37"/>
      <c r="BN445" s="16"/>
      <c r="BO445" s="16"/>
    </row>
    <row r="446" spans="1:67" s="67" customFormat="1" ht="15.95" customHeight="1" x14ac:dyDescent="0.25">
      <c r="A446" s="16"/>
      <c r="B446" s="68">
        <f>SUBTOTAL(103,$K$396:K446)</f>
        <v>51</v>
      </c>
      <c r="C446" s="59" t="s">
        <v>1533</v>
      </c>
      <c r="D446" s="53" t="s">
        <v>158</v>
      </c>
      <c r="E446" s="53" t="s">
        <v>19</v>
      </c>
      <c r="F446" s="53" t="s">
        <v>106</v>
      </c>
      <c r="G446" s="53" t="s">
        <v>4896</v>
      </c>
      <c r="H446" s="53" t="s">
        <v>4881</v>
      </c>
      <c r="I446" s="58" t="s">
        <v>564</v>
      </c>
      <c r="J446" s="58" t="s">
        <v>606</v>
      </c>
      <c r="K446" s="103" t="s">
        <v>4314</v>
      </c>
      <c r="L446" s="53" t="s">
        <v>170</v>
      </c>
      <c r="M446" s="68">
        <v>1</v>
      </c>
      <c r="N446" s="68" t="s">
        <v>150</v>
      </c>
      <c r="O446" s="70" t="s">
        <v>5034</v>
      </c>
      <c r="P446" s="59" t="s">
        <v>3894</v>
      </c>
      <c r="Q446" s="58" t="s">
        <v>56</v>
      </c>
      <c r="R446" s="53">
        <v>2024</v>
      </c>
      <c r="S446" s="68" t="s">
        <v>236</v>
      </c>
      <c r="T446" s="53" t="s">
        <v>1534</v>
      </c>
      <c r="U446" s="53"/>
      <c r="V446" s="53" t="s">
        <v>1535</v>
      </c>
      <c r="W446" s="53" t="s">
        <v>248</v>
      </c>
      <c r="X446" s="57" t="s">
        <v>4314</v>
      </c>
      <c r="Y446" s="59"/>
      <c r="Z446" s="53"/>
      <c r="AA446" s="58"/>
      <c r="AB446" s="76" t="s">
        <v>1136</v>
      </c>
      <c r="AC446" s="58" t="s">
        <v>157</v>
      </c>
      <c r="AD446" s="53" t="s">
        <v>157</v>
      </c>
      <c r="AE446" s="53"/>
      <c r="AF446" s="148"/>
      <c r="AG446" s="58" t="s">
        <v>228</v>
      </c>
      <c r="AH446" s="53" t="s">
        <v>155</v>
      </c>
      <c r="AI446" s="58"/>
      <c r="AJ446" s="61" t="s">
        <v>1536</v>
      </c>
      <c r="AK446" s="68" t="s">
        <v>156</v>
      </c>
      <c r="AL446" s="59" t="s">
        <v>229</v>
      </c>
      <c r="AM446" s="74" t="s">
        <v>1289</v>
      </c>
      <c r="AN446" s="65" t="s">
        <v>1537</v>
      </c>
      <c r="AO446" s="53" t="s">
        <v>164</v>
      </c>
      <c r="AP446" s="66"/>
      <c r="AQ446" s="58" t="s">
        <v>334</v>
      </c>
      <c r="AR446" s="41"/>
      <c r="AT446" s="40"/>
      <c r="AU446" s="40"/>
      <c r="AV446" s="54">
        <v>7220201</v>
      </c>
      <c r="AW446" s="53">
        <v>206</v>
      </c>
      <c r="AY446" s="40"/>
      <c r="AZ446" s="40"/>
      <c r="BI446" s="36"/>
      <c r="BJ446" s="36"/>
      <c r="BK446" s="37"/>
      <c r="BN446" s="16"/>
      <c r="BO446" s="16"/>
    </row>
    <row r="447" spans="1:67" s="67" customFormat="1" ht="15.95" customHeight="1" x14ac:dyDescent="0.25">
      <c r="A447" s="16"/>
      <c r="B447" s="68">
        <f>SUBTOTAL(103,$K$396:K447)</f>
        <v>52</v>
      </c>
      <c r="C447" s="59" t="s">
        <v>1538</v>
      </c>
      <c r="D447" s="53" t="s">
        <v>158</v>
      </c>
      <c r="E447" s="53" t="s">
        <v>19</v>
      </c>
      <c r="F447" s="53" t="s">
        <v>106</v>
      </c>
      <c r="G447" s="53" t="s">
        <v>4896</v>
      </c>
      <c r="H447" s="53" t="s">
        <v>4882</v>
      </c>
      <c r="I447" s="58" t="s">
        <v>843</v>
      </c>
      <c r="J447" s="58" t="s">
        <v>606</v>
      </c>
      <c r="K447" s="103" t="s">
        <v>4315</v>
      </c>
      <c r="L447" s="53" t="s">
        <v>170</v>
      </c>
      <c r="M447" s="68">
        <v>1</v>
      </c>
      <c r="N447" s="53" t="s">
        <v>150</v>
      </c>
      <c r="O447" s="70" t="s">
        <v>5034</v>
      </c>
      <c r="P447" s="59" t="s">
        <v>3894</v>
      </c>
      <c r="Q447" s="58" t="s">
        <v>1539</v>
      </c>
      <c r="R447" s="53">
        <v>2017</v>
      </c>
      <c r="S447" s="53" t="s">
        <v>236</v>
      </c>
      <c r="T447" s="53" t="s">
        <v>1540</v>
      </c>
      <c r="U447" s="53"/>
      <c r="V447" s="53"/>
      <c r="W447" s="53"/>
      <c r="X447" s="57" t="s">
        <v>4315</v>
      </c>
      <c r="Y447" s="59"/>
      <c r="Z447" s="53"/>
      <c r="AA447" s="58"/>
      <c r="AB447" s="76" t="s">
        <v>156</v>
      </c>
      <c r="AC447" s="58" t="s">
        <v>157</v>
      </c>
      <c r="AD447" s="68" t="s">
        <v>157</v>
      </c>
      <c r="AE447" s="58"/>
      <c r="AF447" s="58"/>
      <c r="AG447" s="58" t="s">
        <v>1263</v>
      </c>
      <c r="AH447" s="68" t="s">
        <v>155</v>
      </c>
      <c r="AI447" s="58"/>
      <c r="AJ447" s="61" t="s">
        <v>1541</v>
      </c>
      <c r="AK447" s="68" t="s">
        <v>156</v>
      </c>
      <c r="AL447" s="58" t="s">
        <v>550</v>
      </c>
      <c r="AM447" s="64" t="s">
        <v>1542</v>
      </c>
      <c r="AN447" s="65" t="s">
        <v>1543</v>
      </c>
      <c r="AO447" s="53" t="s">
        <v>164</v>
      </c>
      <c r="AP447" s="66" t="s">
        <v>1544</v>
      </c>
      <c r="AQ447" s="58" t="s">
        <v>554</v>
      </c>
      <c r="AR447" s="41"/>
      <c r="AT447" s="40"/>
      <c r="AU447" s="40"/>
      <c r="AV447" s="54">
        <v>7220201</v>
      </c>
      <c r="AW447" s="53">
        <v>207</v>
      </c>
      <c r="AY447" s="40"/>
      <c r="AZ447" s="40"/>
      <c r="BI447" s="36"/>
      <c r="BJ447" s="36"/>
      <c r="BK447" s="37"/>
      <c r="BN447" s="16"/>
      <c r="BO447" s="16"/>
    </row>
    <row r="448" spans="1:67" s="67" customFormat="1" ht="15.95" customHeight="1" x14ac:dyDescent="0.25">
      <c r="A448" s="16"/>
      <c r="B448" s="68">
        <f>SUBTOTAL(103,$K$396:K448)</f>
        <v>53</v>
      </c>
      <c r="C448" s="59" t="s">
        <v>1545</v>
      </c>
      <c r="D448" s="53" t="s">
        <v>158</v>
      </c>
      <c r="E448" s="53" t="s">
        <v>19</v>
      </c>
      <c r="F448" s="53" t="s">
        <v>106</v>
      </c>
      <c r="G448" s="53" t="s">
        <v>4896</v>
      </c>
      <c r="H448" s="53" t="s">
        <v>4883</v>
      </c>
      <c r="I448" s="58" t="s">
        <v>1546</v>
      </c>
      <c r="J448" s="58" t="s">
        <v>1547</v>
      </c>
      <c r="K448" s="103" t="s">
        <v>4316</v>
      </c>
      <c r="L448" s="53" t="s">
        <v>170</v>
      </c>
      <c r="M448" s="68">
        <v>1</v>
      </c>
      <c r="N448" s="53" t="s">
        <v>150</v>
      </c>
      <c r="O448" s="70" t="s">
        <v>5034</v>
      </c>
      <c r="P448" s="59" t="s">
        <v>3894</v>
      </c>
      <c r="Q448" s="58" t="s">
        <v>30</v>
      </c>
      <c r="R448" s="53">
        <v>2025</v>
      </c>
      <c r="S448" s="53" t="s">
        <v>153</v>
      </c>
      <c r="T448" s="53" t="s">
        <v>172</v>
      </c>
      <c r="U448" s="53"/>
      <c r="V448" s="53" t="s">
        <v>642</v>
      </c>
      <c r="W448" s="53" t="s">
        <v>236</v>
      </c>
      <c r="X448" s="57" t="s">
        <v>4316</v>
      </c>
      <c r="Y448" s="59"/>
      <c r="Z448" s="53"/>
      <c r="AA448" s="58"/>
      <c r="AB448" s="76" t="s">
        <v>156</v>
      </c>
      <c r="AC448" s="58" t="s">
        <v>157</v>
      </c>
      <c r="AD448" s="58" t="s">
        <v>157</v>
      </c>
      <c r="AE448" s="68"/>
      <c r="AF448" s="58"/>
      <c r="AG448" s="58" t="s">
        <v>228</v>
      </c>
      <c r="AH448" s="53" t="s">
        <v>155</v>
      </c>
      <c r="AI448" s="58"/>
      <c r="AJ448" s="61" t="s">
        <v>1548</v>
      </c>
      <c r="AK448" s="68" t="s">
        <v>156</v>
      </c>
      <c r="AL448" s="58" t="s">
        <v>347</v>
      </c>
      <c r="AM448" s="64" t="s">
        <v>822</v>
      </c>
      <c r="AN448" s="65" t="s">
        <v>1549</v>
      </c>
      <c r="AO448" s="53" t="s">
        <v>164</v>
      </c>
      <c r="AP448" s="66"/>
      <c r="AQ448" s="58" t="s">
        <v>824</v>
      </c>
      <c r="AR448" s="41"/>
      <c r="AT448" s="40"/>
      <c r="AU448" s="40"/>
      <c r="AV448" s="54">
        <v>7220201</v>
      </c>
      <c r="AW448" s="53">
        <v>208</v>
      </c>
      <c r="AY448" s="40"/>
      <c r="AZ448" s="40"/>
      <c r="BI448" s="36"/>
      <c r="BJ448" s="36"/>
      <c r="BK448" s="37"/>
      <c r="BN448" s="16"/>
      <c r="BO448" s="16"/>
    </row>
    <row r="449" spans="1:67" s="67" customFormat="1" ht="15.95" customHeight="1" x14ac:dyDescent="0.25">
      <c r="A449" s="16"/>
      <c r="B449" s="68">
        <f>SUBTOTAL(103,$K$396:K449)</f>
        <v>54</v>
      </c>
      <c r="C449" s="59" t="s">
        <v>1550</v>
      </c>
      <c r="D449" s="53" t="s">
        <v>158</v>
      </c>
      <c r="E449" s="53" t="s">
        <v>19</v>
      </c>
      <c r="F449" s="53" t="s">
        <v>106</v>
      </c>
      <c r="G449" s="53" t="s">
        <v>4896</v>
      </c>
      <c r="H449" s="53" t="s">
        <v>4884</v>
      </c>
      <c r="I449" s="58" t="s">
        <v>843</v>
      </c>
      <c r="J449" s="58" t="s">
        <v>269</v>
      </c>
      <c r="K449" s="103" t="s">
        <v>4317</v>
      </c>
      <c r="L449" s="53" t="s">
        <v>170</v>
      </c>
      <c r="M449" s="68">
        <v>1</v>
      </c>
      <c r="N449" s="53" t="s">
        <v>150</v>
      </c>
      <c r="O449" s="70" t="s">
        <v>5034</v>
      </c>
      <c r="P449" s="59" t="s">
        <v>3894</v>
      </c>
      <c r="Q449" s="58" t="s">
        <v>32</v>
      </c>
      <c r="R449" s="53">
        <v>2025</v>
      </c>
      <c r="S449" s="53" t="s">
        <v>236</v>
      </c>
      <c r="T449" s="53" t="s">
        <v>1512</v>
      </c>
      <c r="U449" s="53"/>
      <c r="V449" s="53" t="s">
        <v>154</v>
      </c>
      <c r="W449" s="53" t="s">
        <v>153</v>
      </c>
      <c r="X449" s="57" t="s">
        <v>4317</v>
      </c>
      <c r="Y449" s="53"/>
      <c r="Z449" s="53"/>
      <c r="AA449" s="58"/>
      <c r="AB449" s="76" t="s">
        <v>156</v>
      </c>
      <c r="AC449" s="58" t="s">
        <v>157</v>
      </c>
      <c r="AD449" s="58" t="s">
        <v>157</v>
      </c>
      <c r="AE449" s="58"/>
      <c r="AF449" s="58"/>
      <c r="AG449" s="64" t="s">
        <v>228</v>
      </c>
      <c r="AH449" s="53" t="s">
        <v>155</v>
      </c>
      <c r="AI449" s="58"/>
      <c r="AJ449" s="61" t="s">
        <v>1551</v>
      </c>
      <c r="AK449" s="68" t="s">
        <v>156</v>
      </c>
      <c r="AL449" s="58" t="s">
        <v>413</v>
      </c>
      <c r="AM449" s="64" t="s">
        <v>1552</v>
      </c>
      <c r="AN449" s="57" t="s">
        <v>1553</v>
      </c>
      <c r="AO449" s="53" t="s">
        <v>164</v>
      </c>
      <c r="AP449" s="66"/>
      <c r="AQ449" s="169" t="s">
        <v>406</v>
      </c>
      <c r="AR449" s="58"/>
      <c r="AU449" s="40"/>
      <c r="AV449" s="54">
        <v>7220201</v>
      </c>
      <c r="AW449" s="53">
        <v>209</v>
      </c>
      <c r="BJ449" s="40"/>
      <c r="BK449" s="40"/>
      <c r="BN449" s="16"/>
      <c r="BO449" s="16"/>
    </row>
    <row r="450" spans="1:67" s="67" customFormat="1" ht="15.95" customHeight="1" x14ac:dyDescent="0.25">
      <c r="A450" s="16"/>
      <c r="B450" s="68">
        <f>SUBTOTAL(103,$K$396:K450)</f>
        <v>55</v>
      </c>
      <c r="C450" s="59" t="s">
        <v>1554</v>
      </c>
      <c r="D450" s="53" t="s">
        <v>158</v>
      </c>
      <c r="E450" s="53" t="s">
        <v>19</v>
      </c>
      <c r="F450" s="53" t="s">
        <v>106</v>
      </c>
      <c r="G450" s="53" t="s">
        <v>4896</v>
      </c>
      <c r="H450" s="53" t="s">
        <v>4885</v>
      </c>
      <c r="I450" s="58" t="s">
        <v>314</v>
      </c>
      <c r="J450" s="58" t="s">
        <v>525</v>
      </c>
      <c r="K450" s="103" t="s">
        <v>3935</v>
      </c>
      <c r="L450" s="53" t="s">
        <v>170</v>
      </c>
      <c r="M450" s="68">
        <v>1</v>
      </c>
      <c r="N450" s="53" t="s">
        <v>150</v>
      </c>
      <c r="O450" s="70" t="s">
        <v>5034</v>
      </c>
      <c r="P450" s="59" t="s">
        <v>3894</v>
      </c>
      <c r="Q450" s="58" t="s">
        <v>281</v>
      </c>
      <c r="R450" s="53">
        <v>2014</v>
      </c>
      <c r="S450" s="68" t="s">
        <v>236</v>
      </c>
      <c r="T450" s="53" t="s">
        <v>1555</v>
      </c>
      <c r="U450" s="53"/>
      <c r="V450" s="53" t="s">
        <v>779</v>
      </c>
      <c r="W450" s="53" t="s">
        <v>236</v>
      </c>
      <c r="X450" s="57" t="s">
        <v>3935</v>
      </c>
      <c r="Y450" s="59"/>
      <c r="Z450" s="53"/>
      <c r="AA450" s="58"/>
      <c r="AB450" s="76" t="s">
        <v>156</v>
      </c>
      <c r="AC450" s="58" t="s">
        <v>157</v>
      </c>
      <c r="AD450" s="53" t="s">
        <v>157</v>
      </c>
      <c r="AE450" s="58"/>
      <c r="AF450" s="148"/>
      <c r="AG450" s="58" t="s">
        <v>1489</v>
      </c>
      <c r="AH450" s="53" t="s">
        <v>155</v>
      </c>
      <c r="AI450" s="58"/>
      <c r="AJ450" s="61" t="s">
        <v>1556</v>
      </c>
      <c r="AK450" s="68" t="s">
        <v>156</v>
      </c>
      <c r="AL450" s="58" t="s">
        <v>241</v>
      </c>
      <c r="AM450" s="64" t="s">
        <v>1557</v>
      </c>
      <c r="AN450" s="65" t="s">
        <v>1558</v>
      </c>
      <c r="AO450" s="53" t="s">
        <v>164</v>
      </c>
      <c r="AP450" s="66"/>
      <c r="AQ450" s="58" t="s">
        <v>224</v>
      </c>
      <c r="AR450" s="41"/>
      <c r="AT450" s="40"/>
      <c r="AU450" s="40"/>
      <c r="AV450" s="54">
        <v>7220201</v>
      </c>
      <c r="AW450" s="53">
        <v>210</v>
      </c>
      <c r="AY450" s="40"/>
      <c r="AZ450" s="40"/>
      <c r="BI450" s="36"/>
      <c r="BJ450" s="36"/>
      <c r="BK450" s="37"/>
      <c r="BN450" s="16"/>
      <c r="BO450" s="16"/>
    </row>
    <row r="451" spans="1:67" s="67" customFormat="1" ht="15.95" customHeight="1" x14ac:dyDescent="0.25">
      <c r="A451" s="16"/>
      <c r="B451" s="68">
        <f>SUBTOTAL(103,$K$396:K451)</f>
        <v>56</v>
      </c>
      <c r="C451" s="59" t="s">
        <v>1559</v>
      </c>
      <c r="D451" s="53" t="s">
        <v>158</v>
      </c>
      <c r="E451" s="53" t="s">
        <v>19</v>
      </c>
      <c r="F451" s="53" t="s">
        <v>106</v>
      </c>
      <c r="G451" s="53" t="s">
        <v>4896</v>
      </c>
      <c r="H451" s="53" t="s">
        <v>4886</v>
      </c>
      <c r="I451" s="58" t="s">
        <v>1560</v>
      </c>
      <c r="J451" s="58" t="s">
        <v>525</v>
      </c>
      <c r="K451" s="103" t="s">
        <v>4318</v>
      </c>
      <c r="L451" s="53" t="s">
        <v>170</v>
      </c>
      <c r="M451" s="68">
        <v>1</v>
      </c>
      <c r="N451" s="53" t="s">
        <v>150</v>
      </c>
      <c r="O451" s="70" t="s">
        <v>5034</v>
      </c>
      <c r="P451" s="59" t="s">
        <v>3894</v>
      </c>
      <c r="Q451" s="58" t="s">
        <v>23</v>
      </c>
      <c r="R451" s="53">
        <v>2012</v>
      </c>
      <c r="S451" s="53" t="s">
        <v>153</v>
      </c>
      <c r="T451" s="53" t="s">
        <v>653</v>
      </c>
      <c r="U451" s="53"/>
      <c r="V451" s="53" t="s">
        <v>434</v>
      </c>
      <c r="W451" s="53" t="s">
        <v>153</v>
      </c>
      <c r="X451" s="57" t="s">
        <v>4318</v>
      </c>
      <c r="Y451" s="53"/>
      <c r="Z451" s="53"/>
      <c r="AA451" s="58"/>
      <c r="AB451" s="76" t="s">
        <v>156</v>
      </c>
      <c r="AC451" s="58" t="s">
        <v>157</v>
      </c>
      <c r="AD451" s="58" t="s">
        <v>157</v>
      </c>
      <c r="AE451" s="58"/>
      <c r="AF451" s="58"/>
      <c r="AG451" s="64" t="s">
        <v>206</v>
      </c>
      <c r="AH451" s="53" t="s">
        <v>19</v>
      </c>
      <c r="AI451" s="58" t="s">
        <v>1477</v>
      </c>
      <c r="AJ451" s="61" t="s">
        <v>1561</v>
      </c>
      <c r="AK451" s="68" t="s">
        <v>156</v>
      </c>
      <c r="AL451" s="58" t="s">
        <v>161</v>
      </c>
      <c r="AM451" s="64" t="s">
        <v>1562</v>
      </c>
      <c r="AN451" s="65" t="s">
        <v>1563</v>
      </c>
      <c r="AO451" s="53" t="s">
        <v>164</v>
      </c>
      <c r="AP451" s="66"/>
      <c r="AQ451" s="169"/>
      <c r="AR451" s="58"/>
      <c r="AU451" s="40"/>
      <c r="AV451" s="54">
        <v>7220201</v>
      </c>
      <c r="AW451" s="53">
        <v>211</v>
      </c>
      <c r="BJ451" s="40"/>
      <c r="BK451" s="40"/>
      <c r="BN451" s="16"/>
      <c r="BO451" s="16"/>
    </row>
    <row r="452" spans="1:67" s="67" customFormat="1" ht="15.95" customHeight="1" x14ac:dyDescent="0.25">
      <c r="A452" s="16"/>
      <c r="B452" s="68">
        <f>SUBTOTAL(103,$K$396:K452)</f>
        <v>57</v>
      </c>
      <c r="C452" s="59" t="s">
        <v>1564</v>
      </c>
      <c r="D452" s="53" t="s">
        <v>158</v>
      </c>
      <c r="E452" s="53" t="s">
        <v>19</v>
      </c>
      <c r="F452" s="53" t="s">
        <v>106</v>
      </c>
      <c r="G452" s="53" t="s">
        <v>4896</v>
      </c>
      <c r="H452" s="53" t="s">
        <v>4887</v>
      </c>
      <c r="I452" s="58" t="s">
        <v>1560</v>
      </c>
      <c r="J452" s="58" t="s">
        <v>619</v>
      </c>
      <c r="K452" s="103" t="s">
        <v>4319</v>
      </c>
      <c r="L452" s="53" t="s">
        <v>170</v>
      </c>
      <c r="M452" s="68">
        <v>1</v>
      </c>
      <c r="N452" s="68" t="s">
        <v>150</v>
      </c>
      <c r="O452" s="70" t="s">
        <v>5034</v>
      </c>
      <c r="P452" s="59" t="s">
        <v>3894</v>
      </c>
      <c r="Q452" s="58" t="s">
        <v>54</v>
      </c>
      <c r="R452" s="53">
        <v>2013</v>
      </c>
      <c r="S452" s="53" t="s">
        <v>153</v>
      </c>
      <c r="T452" s="53" t="s">
        <v>1565</v>
      </c>
      <c r="U452" s="53"/>
      <c r="V452" s="53" t="s">
        <v>583</v>
      </c>
      <c r="W452" s="53" t="s">
        <v>153</v>
      </c>
      <c r="X452" s="57" t="s">
        <v>4319</v>
      </c>
      <c r="Y452" s="59"/>
      <c r="Z452" s="53"/>
      <c r="AA452" s="58"/>
      <c r="AB452" s="76" t="s">
        <v>156</v>
      </c>
      <c r="AC452" s="58" t="s">
        <v>157</v>
      </c>
      <c r="AD452" s="53" t="s">
        <v>157</v>
      </c>
      <c r="AE452" s="53"/>
      <c r="AF452" s="148"/>
      <c r="AG452" s="58" t="s">
        <v>1236</v>
      </c>
      <c r="AH452" s="53" t="s">
        <v>155</v>
      </c>
      <c r="AI452" s="58" t="s">
        <v>1566</v>
      </c>
      <c r="AJ452" s="61" t="s">
        <v>1567</v>
      </c>
      <c r="AK452" s="68" t="s">
        <v>156</v>
      </c>
      <c r="AL452" s="59" t="s">
        <v>229</v>
      </c>
      <c r="AM452" s="74" t="s">
        <v>713</v>
      </c>
      <c r="AN452" s="65" t="s">
        <v>1568</v>
      </c>
      <c r="AO452" s="53" t="s">
        <v>164</v>
      </c>
      <c r="AP452" s="66"/>
      <c r="AQ452" s="58" t="s">
        <v>1486</v>
      </c>
      <c r="AR452" s="41"/>
      <c r="AT452" s="40"/>
      <c r="AU452" s="40"/>
      <c r="AV452" s="54">
        <v>7220201</v>
      </c>
      <c r="AW452" s="53">
        <v>212</v>
      </c>
      <c r="AY452" s="40"/>
      <c r="AZ452" s="40"/>
      <c r="BI452" s="36"/>
      <c r="BJ452" s="36"/>
      <c r="BK452" s="37"/>
      <c r="BN452" s="16"/>
      <c r="BO452" s="16"/>
    </row>
    <row r="453" spans="1:67" s="67" customFormat="1" ht="15.95" customHeight="1" x14ac:dyDescent="0.25">
      <c r="A453" s="16"/>
      <c r="B453" s="68">
        <f>SUBTOTAL(103,$K$396:K453)</f>
        <v>58</v>
      </c>
      <c r="C453" s="59" t="s">
        <v>1569</v>
      </c>
      <c r="D453" s="53" t="s">
        <v>158</v>
      </c>
      <c r="E453" s="53" t="s">
        <v>19</v>
      </c>
      <c r="F453" s="53" t="s">
        <v>106</v>
      </c>
      <c r="G453" s="53" t="s">
        <v>4896</v>
      </c>
      <c r="H453" s="53" t="s">
        <v>4888</v>
      </c>
      <c r="I453" s="58" t="s">
        <v>1570</v>
      </c>
      <c r="J453" s="58" t="s">
        <v>532</v>
      </c>
      <c r="K453" s="103" t="s">
        <v>4320</v>
      </c>
      <c r="L453" s="53" t="s">
        <v>170</v>
      </c>
      <c r="M453" s="68">
        <v>1</v>
      </c>
      <c r="N453" s="53" t="s">
        <v>150</v>
      </c>
      <c r="O453" s="70" t="s">
        <v>5034</v>
      </c>
      <c r="P453" s="59" t="s">
        <v>3894</v>
      </c>
      <c r="Q453" s="58" t="s">
        <v>26</v>
      </c>
      <c r="R453" s="53">
        <v>2024</v>
      </c>
      <c r="S453" s="53" t="s">
        <v>153</v>
      </c>
      <c r="T453" s="53" t="s">
        <v>186</v>
      </c>
      <c r="U453" s="53" t="s">
        <v>1195</v>
      </c>
      <c r="V453" s="53" t="s">
        <v>173</v>
      </c>
      <c r="W453" s="53" t="s">
        <v>153</v>
      </c>
      <c r="X453" s="57" t="s">
        <v>4320</v>
      </c>
      <c r="Y453" s="53"/>
      <c r="Z453" s="53"/>
      <c r="AA453" s="58"/>
      <c r="AB453" s="76" t="s">
        <v>156</v>
      </c>
      <c r="AC453" s="58" t="s">
        <v>157</v>
      </c>
      <c r="AD453" s="58" t="s">
        <v>157</v>
      </c>
      <c r="AE453" s="58"/>
      <c r="AF453" s="58"/>
      <c r="AG453" s="64" t="s">
        <v>1571</v>
      </c>
      <c r="AH453" s="53" t="s">
        <v>155</v>
      </c>
      <c r="AI453" s="58"/>
      <c r="AJ453" s="61" t="s">
        <v>1572</v>
      </c>
      <c r="AK453" s="68" t="s">
        <v>156</v>
      </c>
      <c r="AL453" s="58" t="s">
        <v>495</v>
      </c>
      <c r="AM453" s="64" t="s">
        <v>1573</v>
      </c>
      <c r="AN453" s="65" t="s">
        <v>1574</v>
      </c>
      <c r="AO453" s="53" t="s">
        <v>164</v>
      </c>
      <c r="AP453" s="64"/>
      <c r="AQ453" s="169"/>
      <c r="AR453" s="58"/>
      <c r="AU453" s="40"/>
      <c r="AV453" s="54">
        <v>7220201</v>
      </c>
      <c r="AW453" s="53">
        <v>213</v>
      </c>
      <c r="BJ453" s="40"/>
      <c r="BK453" s="40"/>
      <c r="BN453" s="16"/>
      <c r="BO453" s="16"/>
    </row>
    <row r="454" spans="1:67" s="67" customFormat="1" ht="15.95" customHeight="1" x14ac:dyDescent="0.25">
      <c r="A454" s="16"/>
      <c r="B454" s="68">
        <f>SUBTOTAL(103,$K$396:K454)</f>
        <v>59</v>
      </c>
      <c r="C454" s="59" t="s">
        <v>1575</v>
      </c>
      <c r="D454" s="53" t="s">
        <v>158</v>
      </c>
      <c r="E454" s="68" t="s">
        <v>19</v>
      </c>
      <c r="F454" s="59" t="s">
        <v>106</v>
      </c>
      <c r="G454" s="53" t="s">
        <v>4896</v>
      </c>
      <c r="H454" s="53" t="s">
        <v>4889</v>
      </c>
      <c r="I454" s="73" t="s">
        <v>314</v>
      </c>
      <c r="J454" s="74" t="s">
        <v>1576</v>
      </c>
      <c r="K454" s="75" t="s">
        <v>4321</v>
      </c>
      <c r="L454" s="59" t="s">
        <v>170</v>
      </c>
      <c r="M454" s="68">
        <v>1</v>
      </c>
      <c r="N454" s="59" t="s">
        <v>150</v>
      </c>
      <c r="O454" s="70" t="s">
        <v>5034</v>
      </c>
      <c r="P454" s="59" t="s">
        <v>3894</v>
      </c>
      <c r="Q454" s="73" t="s">
        <v>281</v>
      </c>
      <c r="R454" s="59" t="s">
        <v>184</v>
      </c>
      <c r="S454" s="59" t="s">
        <v>153</v>
      </c>
      <c r="T454" s="59"/>
      <c r="U454" s="59" t="s">
        <v>1577</v>
      </c>
      <c r="V454" s="59" t="s">
        <v>693</v>
      </c>
      <c r="W454" s="59" t="s">
        <v>236</v>
      </c>
      <c r="X454" s="75" t="s">
        <v>4321</v>
      </c>
      <c r="Y454" s="59"/>
      <c r="Z454" s="59"/>
      <c r="AA454" s="58"/>
      <c r="AB454" s="76" t="s">
        <v>156</v>
      </c>
      <c r="AC454" s="59" t="s">
        <v>157</v>
      </c>
      <c r="AD454" s="59" t="s">
        <v>157</v>
      </c>
      <c r="AE454" s="59"/>
      <c r="AF454" s="59"/>
      <c r="AG454" s="59" t="s">
        <v>1497</v>
      </c>
      <c r="AH454" s="59" t="s">
        <v>155</v>
      </c>
      <c r="AI454" s="59"/>
      <c r="AJ454" s="163" t="s">
        <v>1578</v>
      </c>
      <c r="AK454" s="68" t="s">
        <v>156</v>
      </c>
      <c r="AL454" s="59" t="s">
        <v>297</v>
      </c>
      <c r="AM454" s="74" t="s">
        <v>1579</v>
      </c>
      <c r="AN454" s="163" t="s">
        <v>1580</v>
      </c>
      <c r="AO454" s="59" t="s">
        <v>164</v>
      </c>
      <c r="AP454" s="66"/>
      <c r="AQ454" s="58" t="s">
        <v>193</v>
      </c>
      <c r="AR454" s="38"/>
      <c r="AT454" s="40"/>
      <c r="AU454" s="40"/>
      <c r="AV454" s="54">
        <v>7220201</v>
      </c>
      <c r="AW454" s="53">
        <v>214</v>
      </c>
      <c r="AY454" s="40"/>
      <c r="AZ454" s="40"/>
      <c r="BI454" s="36"/>
      <c r="BJ454" s="36"/>
      <c r="BK454" s="37"/>
      <c r="BN454" s="16"/>
      <c r="BO454" s="16"/>
    </row>
    <row r="455" spans="1:67" s="67" customFormat="1" ht="15.95" customHeight="1" x14ac:dyDescent="0.25">
      <c r="A455" s="16"/>
      <c r="B455" s="68">
        <f>SUBTOTAL(103,$K$396:K455)</f>
        <v>60</v>
      </c>
      <c r="C455" s="59" t="s">
        <v>1581</v>
      </c>
      <c r="D455" s="53" t="s">
        <v>158</v>
      </c>
      <c r="E455" s="68" t="s">
        <v>19</v>
      </c>
      <c r="F455" s="68" t="s">
        <v>106</v>
      </c>
      <c r="G455" s="53" t="s">
        <v>4896</v>
      </c>
      <c r="H455" s="53" t="s">
        <v>4890</v>
      </c>
      <c r="I455" s="58" t="s">
        <v>472</v>
      </c>
      <c r="J455" s="58" t="s">
        <v>370</v>
      </c>
      <c r="K455" s="234" t="s">
        <v>4322</v>
      </c>
      <c r="L455" s="53" t="s">
        <v>170</v>
      </c>
      <c r="M455" s="68">
        <v>1</v>
      </c>
      <c r="N455" s="59" t="s">
        <v>150</v>
      </c>
      <c r="O455" s="70" t="s">
        <v>5034</v>
      </c>
      <c r="P455" s="59" t="s">
        <v>3894</v>
      </c>
      <c r="Q455" s="82" t="s">
        <v>56</v>
      </c>
      <c r="R455" s="53">
        <v>2017</v>
      </c>
      <c r="S455" s="59" t="s">
        <v>153</v>
      </c>
      <c r="T455" s="68" t="s">
        <v>1404</v>
      </c>
      <c r="U455" s="68"/>
      <c r="V455" s="53" t="s">
        <v>1183</v>
      </c>
      <c r="W455" s="59" t="s">
        <v>153</v>
      </c>
      <c r="X455" s="81" t="s">
        <v>4322</v>
      </c>
      <c r="Y455" s="59"/>
      <c r="Z455" s="53"/>
      <c r="AA455" s="58"/>
      <c r="AB455" s="76" t="s">
        <v>156</v>
      </c>
      <c r="AC455" s="53" t="s">
        <v>157</v>
      </c>
      <c r="AD455" s="53" t="s">
        <v>157</v>
      </c>
      <c r="AE455" s="58"/>
      <c r="AF455" s="148"/>
      <c r="AG455" s="59" t="s">
        <v>1249</v>
      </c>
      <c r="AH455" s="59" t="s">
        <v>155</v>
      </c>
      <c r="AI455" s="58"/>
      <c r="AJ455" s="61" t="s">
        <v>1582</v>
      </c>
      <c r="AK455" s="68" t="s">
        <v>156</v>
      </c>
      <c r="AL455" s="59" t="s">
        <v>229</v>
      </c>
      <c r="AM455" s="64" t="s">
        <v>1583</v>
      </c>
      <c r="AN455" s="65" t="s">
        <v>1584</v>
      </c>
      <c r="AO455" s="53" t="s">
        <v>164</v>
      </c>
      <c r="AQ455" s="58" t="s">
        <v>180</v>
      </c>
      <c r="AR455" s="41"/>
      <c r="AT455" s="40"/>
      <c r="AU455" s="40"/>
      <c r="AV455" s="54">
        <v>7220201</v>
      </c>
      <c r="AW455" s="53">
        <v>215</v>
      </c>
      <c r="AY455" s="40"/>
      <c r="AZ455" s="40"/>
      <c r="BI455" s="36"/>
      <c r="BJ455" s="36"/>
      <c r="BK455" s="37"/>
      <c r="BN455" s="16"/>
      <c r="BO455" s="16"/>
    </row>
    <row r="456" spans="1:67" s="67" customFormat="1" ht="15.95" customHeight="1" x14ac:dyDescent="0.25">
      <c r="A456" s="16"/>
      <c r="B456" s="68">
        <f>SUBTOTAL(103,$K$396:K456)</f>
        <v>61</v>
      </c>
      <c r="C456" s="59" t="s">
        <v>1585</v>
      </c>
      <c r="D456" s="53" t="s">
        <v>158</v>
      </c>
      <c r="E456" s="53" t="s">
        <v>19</v>
      </c>
      <c r="F456" s="53" t="s">
        <v>106</v>
      </c>
      <c r="G456" s="53" t="s">
        <v>4896</v>
      </c>
      <c r="H456" s="53" t="s">
        <v>4891</v>
      </c>
      <c r="I456" s="58" t="s">
        <v>1586</v>
      </c>
      <c r="J456" s="58" t="s">
        <v>370</v>
      </c>
      <c r="K456" s="103" t="s">
        <v>4323</v>
      </c>
      <c r="L456" s="53" t="s">
        <v>149</v>
      </c>
      <c r="M456" s="53">
        <v>0</v>
      </c>
      <c r="N456" s="68" t="s">
        <v>150</v>
      </c>
      <c r="O456" s="70" t="s">
        <v>5034</v>
      </c>
      <c r="P456" s="59" t="s">
        <v>3894</v>
      </c>
      <c r="Q456" s="58" t="s">
        <v>56</v>
      </c>
      <c r="R456" s="53">
        <v>2013</v>
      </c>
      <c r="S456" s="53" t="s">
        <v>153</v>
      </c>
      <c r="T456" s="53" t="s">
        <v>372</v>
      </c>
      <c r="U456" s="53"/>
      <c r="V456" s="53"/>
      <c r="W456" s="53"/>
      <c r="X456" s="57" t="s">
        <v>4323</v>
      </c>
      <c r="Y456" s="59"/>
      <c r="Z456" s="53"/>
      <c r="AA456" s="58"/>
      <c r="AB456" s="76" t="s">
        <v>156</v>
      </c>
      <c r="AC456" s="58" t="s">
        <v>157</v>
      </c>
      <c r="AD456" s="53"/>
      <c r="AE456" s="53"/>
      <c r="AF456" s="148"/>
      <c r="AG456" s="58" t="s">
        <v>273</v>
      </c>
      <c r="AH456" s="53" t="s">
        <v>155</v>
      </c>
      <c r="AI456" s="58"/>
      <c r="AJ456" s="161" t="s">
        <v>1587</v>
      </c>
      <c r="AK456" s="68" t="s">
        <v>156</v>
      </c>
      <c r="AL456" s="59" t="s">
        <v>550</v>
      </c>
      <c r="AM456" s="64" t="s">
        <v>848</v>
      </c>
      <c r="AN456" s="65" t="s">
        <v>1588</v>
      </c>
      <c r="AO456" s="53" t="s">
        <v>164</v>
      </c>
      <c r="AP456" s="66" t="s">
        <v>743</v>
      </c>
      <c r="AQ456" s="58" t="s">
        <v>1486</v>
      </c>
      <c r="AR456" s="41"/>
      <c r="AT456" s="40"/>
      <c r="AU456" s="40"/>
      <c r="AV456" s="54">
        <v>7220201</v>
      </c>
      <c r="AW456" s="53">
        <v>216</v>
      </c>
      <c r="AY456" s="40"/>
      <c r="AZ456" s="40"/>
      <c r="BI456" s="36"/>
      <c r="BJ456" s="36"/>
      <c r="BK456" s="37"/>
      <c r="BN456" s="16"/>
      <c r="BO456" s="16"/>
    </row>
    <row r="457" spans="1:67" s="67" customFormat="1" ht="15.95" customHeight="1" x14ac:dyDescent="0.25">
      <c r="A457" s="16"/>
      <c r="B457" s="68">
        <f>SUBTOTAL(103,$K$396:K457)</f>
        <v>62</v>
      </c>
      <c r="C457" s="59" t="s">
        <v>1589</v>
      </c>
      <c r="D457" s="53" t="s">
        <v>158</v>
      </c>
      <c r="E457" s="53" t="s">
        <v>19</v>
      </c>
      <c r="F457" s="53" t="s">
        <v>106</v>
      </c>
      <c r="G457" s="53" t="s">
        <v>4896</v>
      </c>
      <c r="H457" s="53" t="s">
        <v>4892</v>
      </c>
      <c r="I457" s="58" t="s">
        <v>1590</v>
      </c>
      <c r="J457" s="58" t="s">
        <v>370</v>
      </c>
      <c r="K457" s="103" t="s">
        <v>4324</v>
      </c>
      <c r="L457" s="53" t="s">
        <v>170</v>
      </c>
      <c r="M457" s="68">
        <v>1</v>
      </c>
      <c r="N457" s="53" t="s">
        <v>150</v>
      </c>
      <c r="O457" s="70" t="s">
        <v>5034</v>
      </c>
      <c r="P457" s="59" t="s">
        <v>3894</v>
      </c>
      <c r="Q457" s="58" t="s">
        <v>1520</v>
      </c>
      <c r="R457" s="53">
        <v>2025</v>
      </c>
      <c r="S457" s="68" t="s">
        <v>236</v>
      </c>
      <c r="T457" s="53" t="s">
        <v>451</v>
      </c>
      <c r="U457" s="53"/>
      <c r="V457" s="53" t="s">
        <v>1591</v>
      </c>
      <c r="W457" s="53" t="s">
        <v>236</v>
      </c>
      <c r="X457" s="57" t="s">
        <v>4324</v>
      </c>
      <c r="Y457" s="59"/>
      <c r="Z457" s="53"/>
      <c r="AA457" s="58"/>
      <c r="AB457" s="76" t="s">
        <v>156</v>
      </c>
      <c r="AC457" s="58"/>
      <c r="AD457" s="58" t="s">
        <v>157</v>
      </c>
      <c r="AE457" s="58"/>
      <c r="AF457" s="148"/>
      <c r="AG457" s="58" t="s">
        <v>1489</v>
      </c>
      <c r="AH457" s="53" t="s">
        <v>155</v>
      </c>
      <c r="AI457" s="58"/>
      <c r="AJ457" s="61" t="s">
        <v>1592</v>
      </c>
      <c r="AK457" s="68" t="s">
        <v>156</v>
      </c>
      <c r="AL457" s="58" t="s">
        <v>229</v>
      </c>
      <c r="AM457" s="64" t="s">
        <v>1593</v>
      </c>
      <c r="AN457" s="65" t="s">
        <v>1594</v>
      </c>
      <c r="AO457" s="53" t="s">
        <v>164</v>
      </c>
      <c r="AP457" s="66" t="s">
        <v>1595</v>
      </c>
      <c r="AQ457" s="80" t="s">
        <v>224</v>
      </c>
      <c r="AR457" s="41"/>
      <c r="AT457" s="40"/>
      <c r="AU457" s="40"/>
      <c r="AV457" s="54">
        <v>7220201</v>
      </c>
      <c r="AW457" s="53">
        <v>217</v>
      </c>
      <c r="AY457" s="40"/>
      <c r="AZ457" s="40"/>
      <c r="BI457" s="36"/>
      <c r="BJ457" s="36"/>
      <c r="BK457" s="37"/>
      <c r="BN457" s="16"/>
      <c r="BO457" s="16"/>
    </row>
    <row r="458" spans="1:67" s="67" customFormat="1" ht="15.95" customHeight="1" x14ac:dyDescent="0.25">
      <c r="A458" s="16"/>
      <c r="B458" s="68">
        <f>SUBTOTAL(103,$K$396:K458)</f>
        <v>63</v>
      </c>
      <c r="C458" s="59" t="s">
        <v>1596</v>
      </c>
      <c r="D458" s="53" t="s">
        <v>158</v>
      </c>
      <c r="E458" s="68" t="s">
        <v>19</v>
      </c>
      <c r="F458" s="59" t="s">
        <v>106</v>
      </c>
      <c r="G458" s="53" t="s">
        <v>4896</v>
      </c>
      <c r="H458" s="53" t="s">
        <v>4893</v>
      </c>
      <c r="I458" s="73" t="s">
        <v>1597</v>
      </c>
      <c r="J458" s="74" t="s">
        <v>1598</v>
      </c>
      <c r="K458" s="75" t="s">
        <v>4325</v>
      </c>
      <c r="L458" s="59" t="s">
        <v>170</v>
      </c>
      <c r="M458" s="68">
        <v>1</v>
      </c>
      <c r="N458" s="59" t="s">
        <v>150</v>
      </c>
      <c r="O458" s="70" t="s">
        <v>5034</v>
      </c>
      <c r="P458" s="59" t="s">
        <v>3894</v>
      </c>
      <c r="Q458" s="73" t="s">
        <v>1396</v>
      </c>
      <c r="R458" s="59" t="s">
        <v>1216</v>
      </c>
      <c r="S458" s="59" t="s">
        <v>337</v>
      </c>
      <c r="T458" s="59" t="s">
        <v>1599</v>
      </c>
      <c r="U458" s="59"/>
      <c r="V458" s="59" t="s">
        <v>411</v>
      </c>
      <c r="W458" s="59" t="s">
        <v>153</v>
      </c>
      <c r="X458" s="75" t="s">
        <v>4325</v>
      </c>
      <c r="Y458" s="59"/>
      <c r="Z458" s="59"/>
      <c r="AA458" s="58"/>
      <c r="AB458" s="76" t="s">
        <v>156</v>
      </c>
      <c r="AC458" s="59" t="s">
        <v>157</v>
      </c>
      <c r="AD458" s="59" t="s">
        <v>157</v>
      </c>
      <c r="AE458" s="59"/>
      <c r="AF458" s="59"/>
      <c r="AG458" s="59" t="s">
        <v>1269</v>
      </c>
      <c r="AH458" s="59" t="s">
        <v>155</v>
      </c>
      <c r="AI458" s="59"/>
      <c r="AJ458" s="77" t="s">
        <v>1600</v>
      </c>
      <c r="AK458" s="68" t="s">
        <v>156</v>
      </c>
      <c r="AL458" s="59" t="s">
        <v>413</v>
      </c>
      <c r="AM458" s="74" t="s">
        <v>1601</v>
      </c>
      <c r="AN458" s="78" t="s">
        <v>1602</v>
      </c>
      <c r="AO458" s="59" t="s">
        <v>164</v>
      </c>
      <c r="AP458" s="66"/>
      <c r="AQ458" s="58" t="s">
        <v>180</v>
      </c>
      <c r="AR458" s="41"/>
      <c r="AT458" s="40"/>
      <c r="AU458" s="40"/>
      <c r="AV458" s="54">
        <v>7220201</v>
      </c>
      <c r="AW458" s="53">
        <v>218</v>
      </c>
      <c r="AY458" s="40"/>
      <c r="AZ458" s="40"/>
      <c r="BI458" s="36"/>
      <c r="BJ458" s="36"/>
      <c r="BK458" s="37"/>
      <c r="BN458" s="16"/>
      <c r="BO458" s="16"/>
    </row>
    <row r="459" spans="1:67" s="67" customFormat="1" ht="18.75" customHeight="1" x14ac:dyDescent="0.25">
      <c r="A459" s="16"/>
      <c r="B459" s="68">
        <f>SUBTOTAL(103,$K$396:K459)</f>
        <v>64</v>
      </c>
      <c r="C459" s="59" t="s">
        <v>1603</v>
      </c>
      <c r="D459" s="53" t="s">
        <v>158</v>
      </c>
      <c r="E459" s="68" t="s">
        <v>19</v>
      </c>
      <c r="F459" s="53" t="s">
        <v>106</v>
      </c>
      <c r="G459" s="53" t="s">
        <v>4896</v>
      </c>
      <c r="H459" s="53" t="s">
        <v>4894</v>
      </c>
      <c r="I459" s="58" t="s">
        <v>1604</v>
      </c>
      <c r="J459" s="58" t="s">
        <v>1605</v>
      </c>
      <c r="K459" s="103" t="s">
        <v>4326</v>
      </c>
      <c r="L459" s="68" t="s">
        <v>170</v>
      </c>
      <c r="M459" s="68">
        <v>1</v>
      </c>
      <c r="N459" s="68" t="s">
        <v>150</v>
      </c>
      <c r="O459" s="70" t="s">
        <v>5034</v>
      </c>
      <c r="P459" s="59" t="s">
        <v>3894</v>
      </c>
      <c r="Q459" s="58" t="s">
        <v>60</v>
      </c>
      <c r="R459" s="53">
        <v>2022</v>
      </c>
      <c r="S459" s="68" t="s">
        <v>153</v>
      </c>
      <c r="T459" s="53" t="s">
        <v>567</v>
      </c>
      <c r="U459" s="53" t="s">
        <v>1195</v>
      </c>
      <c r="V459" s="53" t="s">
        <v>607</v>
      </c>
      <c r="W459" s="59" t="s">
        <v>236</v>
      </c>
      <c r="X459" s="57" t="s">
        <v>4326</v>
      </c>
      <c r="Y459" s="59"/>
      <c r="Z459" s="53"/>
      <c r="AA459" s="58"/>
      <c r="AB459" s="76" t="s">
        <v>156</v>
      </c>
      <c r="AC459" s="53" t="s">
        <v>157</v>
      </c>
      <c r="AD459" s="53" t="s">
        <v>157</v>
      </c>
      <c r="AE459" s="58"/>
      <c r="AF459" s="148"/>
      <c r="AG459" s="74" t="s">
        <v>1606</v>
      </c>
      <c r="AH459" s="53" t="s">
        <v>155</v>
      </c>
      <c r="AI459" s="58"/>
      <c r="AJ459" s="61" t="s">
        <v>1607</v>
      </c>
      <c r="AK459" s="68" t="s">
        <v>156</v>
      </c>
      <c r="AL459" s="59" t="s">
        <v>241</v>
      </c>
      <c r="AM459" s="64" t="s">
        <v>1608</v>
      </c>
      <c r="AN459" s="65" t="s">
        <v>1609</v>
      </c>
      <c r="AO459" s="53" t="s">
        <v>164</v>
      </c>
      <c r="AP459" s="64"/>
      <c r="AQ459" s="67" t="s">
        <v>968</v>
      </c>
      <c r="AR459" s="41"/>
      <c r="AT459" s="40"/>
      <c r="AU459" s="40"/>
      <c r="AV459" s="54">
        <v>7220201</v>
      </c>
      <c r="AW459" s="53">
        <v>219</v>
      </c>
      <c r="AY459" s="40"/>
      <c r="AZ459" s="40"/>
      <c r="BI459" s="36"/>
      <c r="BJ459" s="36"/>
      <c r="BK459" s="37"/>
      <c r="BN459" s="16"/>
      <c r="BO459" s="16"/>
    </row>
    <row r="460" spans="1:67" s="67" customFormat="1" ht="18.75" customHeight="1" x14ac:dyDescent="0.25">
      <c r="A460" s="16"/>
      <c r="B460" s="68">
        <f>SUBTOTAL(103,$K$396:K460)</f>
        <v>65</v>
      </c>
      <c r="C460" s="59" t="s">
        <v>1610</v>
      </c>
      <c r="D460" s="53" t="s">
        <v>158</v>
      </c>
      <c r="E460" s="53" t="s">
        <v>19</v>
      </c>
      <c r="F460" s="53" t="s">
        <v>639</v>
      </c>
      <c r="G460" s="53" t="s">
        <v>4896</v>
      </c>
      <c r="H460" s="53" t="s">
        <v>4895</v>
      </c>
      <c r="I460" s="58" t="s">
        <v>1611</v>
      </c>
      <c r="J460" s="58" t="s">
        <v>556</v>
      </c>
      <c r="K460" s="103" t="s">
        <v>4327</v>
      </c>
      <c r="L460" s="53" t="s">
        <v>170</v>
      </c>
      <c r="M460" s="68">
        <v>1</v>
      </c>
      <c r="N460" s="53" t="s">
        <v>150</v>
      </c>
      <c r="O460" s="70" t="s">
        <v>5034</v>
      </c>
      <c r="P460" s="59" t="s">
        <v>3894</v>
      </c>
      <c r="Q460" s="58"/>
      <c r="R460" s="53">
        <v>2014</v>
      </c>
      <c r="S460" s="53"/>
      <c r="T460" s="53"/>
      <c r="U460" s="53"/>
      <c r="V460" s="53" t="s">
        <v>186</v>
      </c>
      <c r="W460" s="53" t="s">
        <v>153</v>
      </c>
      <c r="X460" s="57" t="s">
        <v>4327</v>
      </c>
      <c r="Y460" s="59" t="s">
        <v>1612</v>
      </c>
      <c r="Z460" s="53">
        <v>22.97</v>
      </c>
      <c r="AA460" s="58"/>
      <c r="AB460" s="76" t="s">
        <v>156</v>
      </c>
      <c r="AC460" s="58" t="s">
        <v>157</v>
      </c>
      <c r="AD460" s="58" t="s">
        <v>157</v>
      </c>
      <c r="AE460" s="58"/>
      <c r="AF460" s="58"/>
      <c r="AG460" s="64" t="s">
        <v>1613</v>
      </c>
      <c r="AH460" s="53"/>
      <c r="AI460" s="58"/>
      <c r="AJ460" s="61" t="s">
        <v>1614</v>
      </c>
      <c r="AK460" s="68" t="s">
        <v>156</v>
      </c>
      <c r="AL460" s="58" t="s">
        <v>413</v>
      </c>
      <c r="AM460" s="64" t="s">
        <v>1615</v>
      </c>
      <c r="AN460" s="65" t="s">
        <v>1616</v>
      </c>
      <c r="AO460" s="53" t="s">
        <v>164</v>
      </c>
      <c r="AP460" s="64"/>
      <c r="AQ460" s="66" t="s">
        <v>1279</v>
      </c>
      <c r="AR460" s="58"/>
      <c r="AU460" s="40"/>
      <c r="AV460" s="54">
        <v>7220201</v>
      </c>
      <c r="AW460" s="53">
        <v>220</v>
      </c>
      <c r="BJ460" s="40"/>
      <c r="BK460" s="40"/>
      <c r="BN460" s="16"/>
      <c r="BO460" s="16"/>
    </row>
    <row r="461" spans="1:67" s="67" customFormat="1" ht="18.75" customHeight="1" x14ac:dyDescent="0.25">
      <c r="A461" s="16"/>
      <c r="B461" s="55"/>
      <c r="C461" s="59"/>
      <c r="D461" s="53"/>
      <c r="E461" s="68"/>
      <c r="F461" s="49"/>
      <c r="G461" s="49"/>
      <c r="H461" s="49"/>
      <c r="I461" s="56" t="s">
        <v>1617</v>
      </c>
      <c r="J461" s="49"/>
      <c r="K461" s="103"/>
      <c r="L461" s="68"/>
      <c r="M461" s="68"/>
      <c r="N461" s="68"/>
      <c r="O461" s="58"/>
      <c r="P461" s="53"/>
      <c r="Q461" s="58"/>
      <c r="R461" s="53"/>
      <c r="S461" s="68"/>
      <c r="T461" s="53"/>
      <c r="U461" s="53"/>
      <c r="V461" s="53"/>
      <c r="W461" s="59"/>
      <c r="X461" s="57"/>
      <c r="Y461" s="59"/>
      <c r="Z461" s="53"/>
      <c r="AA461" s="58"/>
      <c r="AB461" s="76"/>
      <c r="AC461" s="53"/>
      <c r="AD461" s="53"/>
      <c r="AE461" s="58"/>
      <c r="AF461" s="148"/>
      <c r="AG461" s="74"/>
      <c r="AH461" s="53"/>
      <c r="AI461" s="58"/>
      <c r="AJ461" s="61"/>
      <c r="AK461" s="68"/>
      <c r="AL461" s="59"/>
      <c r="AM461" s="64"/>
      <c r="AN461" s="65"/>
      <c r="AO461" s="53"/>
      <c r="AP461" s="64"/>
      <c r="AR461" s="41"/>
      <c r="AT461" s="40"/>
      <c r="AU461" s="40"/>
      <c r="AV461" s="54">
        <v>7310401</v>
      </c>
      <c r="AW461" s="53">
        <v>221</v>
      </c>
      <c r="AY461" s="40"/>
      <c r="AZ461" s="40"/>
      <c r="BI461" s="36"/>
      <c r="BJ461" s="36"/>
      <c r="BK461" s="37"/>
      <c r="BN461" s="16"/>
      <c r="BO461" s="16"/>
    </row>
    <row r="462" spans="1:67" s="67" customFormat="1" ht="18.75" customHeight="1" x14ac:dyDescent="0.25">
      <c r="A462" s="16"/>
      <c r="B462" s="68">
        <f>SUBTOTAL(103,$K$462:K462)</f>
        <v>1</v>
      </c>
      <c r="C462" s="59" t="s">
        <v>146</v>
      </c>
      <c r="D462" s="53" t="s">
        <v>158</v>
      </c>
      <c r="E462" s="53" t="s">
        <v>19</v>
      </c>
      <c r="F462" s="53" t="s">
        <v>106</v>
      </c>
      <c r="G462" s="53" t="s">
        <v>4897</v>
      </c>
      <c r="H462" s="53" t="s">
        <v>4898</v>
      </c>
      <c r="I462" s="58" t="s">
        <v>439</v>
      </c>
      <c r="J462" s="58" t="s">
        <v>440</v>
      </c>
      <c r="K462" s="103" t="s">
        <v>3979</v>
      </c>
      <c r="L462" s="53" t="s">
        <v>170</v>
      </c>
      <c r="M462" s="68">
        <v>1</v>
      </c>
      <c r="N462" s="68" t="s">
        <v>150</v>
      </c>
      <c r="O462" s="58" t="s">
        <v>5035</v>
      </c>
      <c r="P462" s="53" t="s">
        <v>3891</v>
      </c>
      <c r="Q462" s="58" t="s">
        <v>1618</v>
      </c>
      <c r="R462" s="53">
        <v>2016</v>
      </c>
      <c r="S462" s="68" t="s">
        <v>153</v>
      </c>
      <c r="T462" s="53"/>
      <c r="U462" s="53" t="s">
        <v>1619</v>
      </c>
      <c r="V462" s="53" t="s">
        <v>1183</v>
      </c>
      <c r="W462" s="59" t="s">
        <v>153</v>
      </c>
      <c r="X462" s="57" t="s">
        <v>3979</v>
      </c>
      <c r="Y462" s="59"/>
      <c r="Z462" s="53"/>
      <c r="AA462" s="58"/>
      <c r="AB462" s="76" t="s">
        <v>156</v>
      </c>
      <c r="AC462" s="58" t="s">
        <v>157</v>
      </c>
      <c r="AD462" s="53" t="s">
        <v>157</v>
      </c>
      <c r="AE462" s="53"/>
      <c r="AF462" s="148"/>
      <c r="AG462" s="59" t="s">
        <v>1620</v>
      </c>
      <c r="AH462" s="53" t="s">
        <v>155</v>
      </c>
      <c r="AI462" s="58"/>
      <c r="AJ462" s="61" t="s">
        <v>1621</v>
      </c>
      <c r="AK462" s="58" t="s">
        <v>156</v>
      </c>
      <c r="AL462" s="64" t="s">
        <v>229</v>
      </c>
      <c r="AM462" s="158" t="s">
        <v>1622</v>
      </c>
      <c r="AN462" s="65" t="s">
        <v>1623</v>
      </c>
      <c r="AO462" s="53" t="s">
        <v>164</v>
      </c>
      <c r="AP462" s="64"/>
      <c r="AQ462" s="67" t="s">
        <v>277</v>
      </c>
      <c r="AR462" s="41"/>
      <c r="AT462" s="40"/>
      <c r="AU462" s="40"/>
      <c r="AV462" s="54">
        <v>7310401</v>
      </c>
      <c r="AW462" s="53">
        <v>222</v>
      </c>
      <c r="AY462" s="40"/>
      <c r="AZ462" s="40"/>
      <c r="BI462" s="36"/>
      <c r="BJ462" s="36"/>
      <c r="BK462" s="37"/>
      <c r="BN462" s="16"/>
      <c r="BO462" s="16"/>
    </row>
    <row r="463" spans="1:67" s="67" customFormat="1" ht="18.75" customHeight="1" x14ac:dyDescent="0.25">
      <c r="A463" s="16"/>
      <c r="B463" s="68">
        <f>SUBTOTAL(103,$K$462:K463)</f>
        <v>2</v>
      </c>
      <c r="C463" s="59" t="s">
        <v>167</v>
      </c>
      <c r="D463" s="53" t="s">
        <v>158</v>
      </c>
      <c r="E463" s="53" t="s">
        <v>19</v>
      </c>
      <c r="F463" s="53" t="s">
        <v>106</v>
      </c>
      <c r="G463" s="53" t="s">
        <v>4897</v>
      </c>
      <c r="H463" s="53" t="s">
        <v>4899</v>
      </c>
      <c r="I463" s="58" t="s">
        <v>1624</v>
      </c>
      <c r="J463" s="58" t="s">
        <v>1625</v>
      </c>
      <c r="K463" s="103" t="s">
        <v>4328</v>
      </c>
      <c r="L463" s="53" t="s">
        <v>170</v>
      </c>
      <c r="M463" s="68">
        <v>1</v>
      </c>
      <c r="N463" s="53" t="s">
        <v>150</v>
      </c>
      <c r="O463" s="58" t="s">
        <v>5035</v>
      </c>
      <c r="P463" s="53" t="s">
        <v>3891</v>
      </c>
      <c r="Q463" s="58" t="s">
        <v>1520</v>
      </c>
      <c r="R463" s="53">
        <v>2024</v>
      </c>
      <c r="S463" s="53" t="s">
        <v>153</v>
      </c>
      <c r="T463" s="53" t="s">
        <v>362</v>
      </c>
      <c r="U463" s="53" t="s">
        <v>1626</v>
      </c>
      <c r="V463" s="53" t="s">
        <v>1183</v>
      </c>
      <c r="W463" s="53" t="s">
        <v>153</v>
      </c>
      <c r="X463" s="57" t="s">
        <v>4328</v>
      </c>
      <c r="Y463" s="59"/>
      <c r="Z463" s="53"/>
      <c r="AA463" s="58"/>
      <c r="AB463" s="76" t="s">
        <v>156</v>
      </c>
      <c r="AC463" s="58" t="s">
        <v>157</v>
      </c>
      <c r="AD463" s="58" t="s">
        <v>157</v>
      </c>
      <c r="AE463" s="58"/>
      <c r="AF463" s="148"/>
      <c r="AG463" s="59" t="s">
        <v>228</v>
      </c>
      <c r="AH463" s="53" t="s">
        <v>155</v>
      </c>
      <c r="AI463" s="58"/>
      <c r="AJ463" s="61" t="s">
        <v>1627</v>
      </c>
      <c r="AK463" s="68" t="s">
        <v>156</v>
      </c>
      <c r="AL463" s="58" t="s">
        <v>229</v>
      </c>
      <c r="AM463" s="64" t="s">
        <v>1289</v>
      </c>
      <c r="AN463" s="65" t="s">
        <v>1628</v>
      </c>
      <c r="AO463" s="53" t="s">
        <v>164</v>
      </c>
      <c r="AP463" s="64"/>
      <c r="AQ463" s="84" t="s">
        <v>1132</v>
      </c>
      <c r="AR463" s="41"/>
      <c r="AT463" s="40"/>
      <c r="AU463" s="40"/>
      <c r="AV463" s="54">
        <v>7310401</v>
      </c>
      <c r="AW463" s="53">
        <v>223</v>
      </c>
      <c r="AY463" s="40"/>
      <c r="AZ463" s="40"/>
      <c r="BI463" s="36"/>
      <c r="BJ463" s="36"/>
      <c r="BK463" s="37"/>
      <c r="BN463" s="16"/>
      <c r="BO463" s="16"/>
    </row>
    <row r="464" spans="1:67" s="67" customFormat="1" ht="18.75" customHeight="1" x14ac:dyDescent="0.25">
      <c r="A464" s="16"/>
      <c r="B464" s="68">
        <f>SUBTOTAL(103,$K$462:K464)</f>
        <v>3</v>
      </c>
      <c r="C464" s="59" t="s">
        <v>181</v>
      </c>
      <c r="D464" s="53" t="s">
        <v>158</v>
      </c>
      <c r="E464" s="53" t="s">
        <v>19</v>
      </c>
      <c r="F464" s="53" t="s">
        <v>106</v>
      </c>
      <c r="G464" s="53" t="s">
        <v>4897</v>
      </c>
      <c r="H464" s="53" t="s">
        <v>4900</v>
      </c>
      <c r="I464" s="58" t="s">
        <v>1629</v>
      </c>
      <c r="J464" s="58" t="s">
        <v>1630</v>
      </c>
      <c r="K464" s="103" t="s">
        <v>4329</v>
      </c>
      <c r="L464" s="53" t="s">
        <v>170</v>
      </c>
      <c r="M464" s="68">
        <v>1</v>
      </c>
      <c r="N464" s="53" t="s">
        <v>150</v>
      </c>
      <c r="O464" s="58" t="s">
        <v>5035</v>
      </c>
      <c r="P464" s="53" t="s">
        <v>3891</v>
      </c>
      <c r="Q464" s="58" t="s">
        <v>753</v>
      </c>
      <c r="R464" s="53">
        <v>2005</v>
      </c>
      <c r="S464" s="53" t="s">
        <v>153</v>
      </c>
      <c r="T464" s="53" t="s">
        <v>1631</v>
      </c>
      <c r="U464" s="53"/>
      <c r="V464" s="53"/>
      <c r="W464" s="53"/>
      <c r="X464" s="57" t="s">
        <v>4329</v>
      </c>
      <c r="Y464" s="53"/>
      <c r="Z464" s="53"/>
      <c r="AA464" s="58"/>
      <c r="AB464" s="76" t="s">
        <v>156</v>
      </c>
      <c r="AC464" s="58"/>
      <c r="AD464" s="58"/>
      <c r="AE464" s="58"/>
      <c r="AF464" s="58"/>
      <c r="AG464" s="58" t="s">
        <v>206</v>
      </c>
      <c r="AH464" s="53" t="s">
        <v>155</v>
      </c>
      <c r="AI464" s="58"/>
      <c r="AJ464" s="167" t="s">
        <v>1632</v>
      </c>
      <c r="AK464" s="62" t="s">
        <v>156</v>
      </c>
      <c r="AL464" s="63" t="s">
        <v>483</v>
      </c>
      <c r="AM464" s="102" t="s">
        <v>1633</v>
      </c>
      <c r="AN464" s="157" t="s">
        <v>1634</v>
      </c>
      <c r="AO464" s="152" t="s">
        <v>164</v>
      </c>
      <c r="AP464" s="102"/>
      <c r="AQ464" s="67" t="s">
        <v>267</v>
      </c>
      <c r="AR464" s="274"/>
      <c r="AT464" s="40"/>
      <c r="AU464" s="40"/>
      <c r="AV464" s="54">
        <v>7310401</v>
      </c>
      <c r="AW464" s="53">
        <v>224</v>
      </c>
      <c r="AY464" s="40"/>
      <c r="AZ464" s="40"/>
      <c r="BI464" s="36"/>
      <c r="BJ464" s="36"/>
      <c r="BK464" s="37"/>
      <c r="BN464" s="16"/>
      <c r="BO464" s="16"/>
    </row>
    <row r="465" spans="1:67" s="67" customFormat="1" ht="18.75" customHeight="1" x14ac:dyDescent="0.25">
      <c r="A465" s="16"/>
      <c r="B465" s="68">
        <f>SUBTOTAL(103,$K$462:K465)</f>
        <v>4</v>
      </c>
      <c r="C465" s="59" t="s">
        <v>194</v>
      </c>
      <c r="D465" s="53" t="s">
        <v>158</v>
      </c>
      <c r="E465" s="68" t="s">
        <v>19</v>
      </c>
      <c r="F465" s="53" t="s">
        <v>106</v>
      </c>
      <c r="G465" s="53" t="s">
        <v>4897</v>
      </c>
      <c r="H465" s="53" t="s">
        <v>4901</v>
      </c>
      <c r="I465" s="58" t="s">
        <v>420</v>
      </c>
      <c r="J465" s="58" t="s">
        <v>556</v>
      </c>
      <c r="K465" s="103" t="s">
        <v>4330</v>
      </c>
      <c r="L465" s="53" t="s">
        <v>170</v>
      </c>
      <c r="M465" s="68">
        <v>1</v>
      </c>
      <c r="N465" s="68" t="s">
        <v>150</v>
      </c>
      <c r="O465" s="58" t="s">
        <v>5035</v>
      </c>
      <c r="P465" s="53" t="s">
        <v>3891</v>
      </c>
      <c r="Q465" s="58" t="s">
        <v>1635</v>
      </c>
      <c r="R465" s="53">
        <v>2015</v>
      </c>
      <c r="S465" s="68" t="s">
        <v>337</v>
      </c>
      <c r="T465" s="53" t="s">
        <v>683</v>
      </c>
      <c r="U465" s="53"/>
      <c r="V465" s="53"/>
      <c r="W465" s="53"/>
      <c r="X465" s="57" t="s">
        <v>4330</v>
      </c>
      <c r="Y465" s="59"/>
      <c r="Z465" s="53"/>
      <c r="AA465" s="58"/>
      <c r="AB465" s="76" t="s">
        <v>156</v>
      </c>
      <c r="AC465" s="58" t="s">
        <v>157</v>
      </c>
      <c r="AD465" s="53"/>
      <c r="AE465" s="58"/>
      <c r="AF465" s="148"/>
      <c r="AG465" s="58" t="s">
        <v>1242</v>
      </c>
      <c r="AH465" s="53" t="s">
        <v>155</v>
      </c>
      <c r="AI465" s="58"/>
      <c r="AJ465" s="61" t="s">
        <v>1636</v>
      </c>
      <c r="AK465" s="68" t="s">
        <v>156</v>
      </c>
      <c r="AL465" s="59" t="s">
        <v>241</v>
      </c>
      <c r="AM465" s="64" t="s">
        <v>1637</v>
      </c>
      <c r="AN465" s="65" t="s">
        <v>1638</v>
      </c>
      <c r="AO465" s="68" t="s">
        <v>164</v>
      </c>
      <c r="AP465" s="89" t="s">
        <v>743</v>
      </c>
      <c r="AQ465" s="67" t="s">
        <v>515</v>
      </c>
      <c r="AR465" s="41"/>
      <c r="AT465" s="40"/>
      <c r="AU465" s="40"/>
      <c r="AV465" s="54">
        <v>7310401</v>
      </c>
      <c r="AW465" s="53">
        <v>225</v>
      </c>
      <c r="AY465" s="40"/>
      <c r="AZ465" s="40"/>
      <c r="BI465" s="36"/>
      <c r="BJ465" s="36"/>
      <c r="BK465" s="37"/>
      <c r="BN465" s="16"/>
      <c r="BO465" s="16"/>
    </row>
    <row r="466" spans="1:67" s="67" customFormat="1" ht="18.75" customHeight="1" x14ac:dyDescent="0.25">
      <c r="A466" s="16"/>
      <c r="B466" s="55"/>
      <c r="C466" s="59"/>
      <c r="D466" s="53"/>
      <c r="E466" s="68"/>
      <c r="F466" s="49"/>
      <c r="G466" s="49"/>
      <c r="H466" s="49"/>
      <c r="I466" s="56" t="s">
        <v>860</v>
      </c>
      <c r="J466" s="49"/>
      <c r="K466" s="103"/>
      <c r="L466" s="53"/>
      <c r="M466" s="53"/>
      <c r="N466" s="68"/>
      <c r="O466" s="58"/>
      <c r="P466" s="53"/>
      <c r="Q466" s="58"/>
      <c r="R466" s="53"/>
      <c r="S466" s="68"/>
      <c r="T466" s="53"/>
      <c r="U466" s="53"/>
      <c r="V466" s="53"/>
      <c r="W466" s="53"/>
      <c r="X466" s="57"/>
      <c r="Y466" s="59"/>
      <c r="Z466" s="53"/>
      <c r="AA466" s="58"/>
      <c r="AB466" s="76"/>
      <c r="AC466" s="58"/>
      <c r="AD466" s="53"/>
      <c r="AE466" s="58"/>
      <c r="AF466" s="148"/>
      <c r="AG466" s="58"/>
      <c r="AH466" s="53"/>
      <c r="AI466" s="58"/>
      <c r="AJ466" s="61"/>
      <c r="AK466" s="68"/>
      <c r="AL466" s="59"/>
      <c r="AM466" s="64"/>
      <c r="AN466" s="65"/>
      <c r="AO466" s="68"/>
      <c r="AP466" s="89"/>
      <c r="AQ466" s="58"/>
      <c r="AR466" s="41"/>
      <c r="AT466" s="40"/>
      <c r="AU466" s="40"/>
      <c r="AV466" s="54">
        <v>7340101</v>
      </c>
      <c r="AW466" s="53">
        <v>226</v>
      </c>
      <c r="AY466" s="40"/>
      <c r="AZ466" s="40"/>
      <c r="BI466" s="36"/>
      <c r="BJ466" s="36"/>
      <c r="BK466" s="37"/>
      <c r="BN466" s="16"/>
      <c r="BO466" s="16"/>
    </row>
    <row r="467" spans="1:67" s="67" customFormat="1" ht="18.75" customHeight="1" x14ac:dyDescent="0.25">
      <c r="A467" s="16"/>
      <c r="B467" s="68">
        <f>SUBTOTAL(103,$K$467:K467)</f>
        <v>1</v>
      </c>
      <c r="C467" s="59" t="s">
        <v>146</v>
      </c>
      <c r="D467" s="53" t="s">
        <v>158</v>
      </c>
      <c r="E467" s="68" t="s">
        <v>19</v>
      </c>
      <c r="F467" s="53" t="s">
        <v>105</v>
      </c>
      <c r="G467" s="53" t="s">
        <v>4914</v>
      </c>
      <c r="H467" s="53" t="s">
        <v>4902</v>
      </c>
      <c r="I467" s="58" t="s">
        <v>1639</v>
      </c>
      <c r="J467" s="58" t="s">
        <v>676</v>
      </c>
      <c r="K467" s="103" t="s">
        <v>4331</v>
      </c>
      <c r="L467" s="68" t="s">
        <v>149</v>
      </c>
      <c r="M467" s="53">
        <v>0</v>
      </c>
      <c r="N467" s="68" t="s">
        <v>150</v>
      </c>
      <c r="O467" s="58" t="s">
        <v>5036</v>
      </c>
      <c r="P467" s="53" t="s">
        <v>3895</v>
      </c>
      <c r="Q467" s="58" t="s">
        <v>54</v>
      </c>
      <c r="R467" s="53">
        <v>2023</v>
      </c>
      <c r="S467" s="68" t="s">
        <v>153</v>
      </c>
      <c r="T467" s="53" t="s">
        <v>154</v>
      </c>
      <c r="U467" s="53" t="s">
        <v>422</v>
      </c>
      <c r="V467" s="53"/>
      <c r="W467" s="53"/>
      <c r="X467" s="57" t="s">
        <v>4331</v>
      </c>
      <c r="Y467" s="59"/>
      <c r="Z467" s="53"/>
      <c r="AA467" s="58"/>
      <c r="AB467" s="76" t="s">
        <v>156</v>
      </c>
      <c r="AC467" s="53" t="s">
        <v>157</v>
      </c>
      <c r="AD467" s="53"/>
      <c r="AE467" s="58"/>
      <c r="AF467" s="148"/>
      <c r="AG467" s="64" t="s">
        <v>1640</v>
      </c>
      <c r="AH467" s="53" t="s">
        <v>19</v>
      </c>
      <c r="AI467" s="58"/>
      <c r="AJ467" s="61" t="s">
        <v>1641</v>
      </c>
      <c r="AK467" s="68" t="s">
        <v>156</v>
      </c>
      <c r="AL467" s="59" t="s">
        <v>229</v>
      </c>
      <c r="AM467" s="64" t="s">
        <v>1642</v>
      </c>
      <c r="AN467" s="65" t="s">
        <v>1643</v>
      </c>
      <c r="AO467" s="53" t="s">
        <v>164</v>
      </c>
      <c r="AP467" s="64" t="s">
        <v>1644</v>
      </c>
      <c r="AQ467" s="58" t="s">
        <v>613</v>
      </c>
      <c r="AR467" s="41"/>
      <c r="AS467" s="58"/>
      <c r="AT467" s="53"/>
      <c r="AU467" s="54"/>
      <c r="AV467" s="54">
        <v>7340101</v>
      </c>
      <c r="AW467" s="53">
        <v>227</v>
      </c>
      <c r="AX467" s="60"/>
      <c r="AY467" s="40"/>
      <c r="AZ467" s="40"/>
      <c r="BI467" s="36"/>
      <c r="BJ467" s="36"/>
      <c r="BK467" s="37"/>
      <c r="BN467" s="16"/>
      <c r="BO467" s="16"/>
    </row>
    <row r="468" spans="1:67" s="67" customFormat="1" ht="15.95" customHeight="1" x14ac:dyDescent="0.25">
      <c r="A468" s="16"/>
      <c r="B468" s="68">
        <f>SUBTOTAL(103,$K$467:K468)</f>
        <v>2</v>
      </c>
      <c r="C468" s="59" t="s">
        <v>167</v>
      </c>
      <c r="D468" s="53" t="s">
        <v>158</v>
      </c>
      <c r="E468" s="53" t="s">
        <v>19</v>
      </c>
      <c r="F468" s="53" t="s">
        <v>105</v>
      </c>
      <c r="G468" s="53" t="s">
        <v>4914</v>
      </c>
      <c r="H468" s="53" t="s">
        <v>4903</v>
      </c>
      <c r="I468" s="58" t="s">
        <v>1645</v>
      </c>
      <c r="J468" s="58" t="s">
        <v>1646</v>
      </c>
      <c r="K468" s="103" t="s">
        <v>4332</v>
      </c>
      <c r="L468" s="53" t="s">
        <v>149</v>
      </c>
      <c r="M468" s="53">
        <v>0</v>
      </c>
      <c r="N468" s="53" t="s">
        <v>150</v>
      </c>
      <c r="O468" s="58" t="s">
        <v>5036</v>
      </c>
      <c r="P468" s="53" t="s">
        <v>3895</v>
      </c>
      <c r="Q468" s="58" t="s">
        <v>1647</v>
      </c>
      <c r="R468" s="53">
        <v>2025</v>
      </c>
      <c r="S468" s="53" t="s">
        <v>153</v>
      </c>
      <c r="T468" s="53" t="s">
        <v>173</v>
      </c>
      <c r="U468" s="53" t="s">
        <v>422</v>
      </c>
      <c r="V468" s="53" t="s">
        <v>186</v>
      </c>
      <c r="W468" s="53" t="s">
        <v>153</v>
      </c>
      <c r="X468" s="57" t="s">
        <v>4332</v>
      </c>
      <c r="Y468" s="59"/>
      <c r="Z468" s="53"/>
      <c r="AA468" s="58"/>
      <c r="AB468" s="76" t="s">
        <v>156</v>
      </c>
      <c r="AC468" s="58" t="s">
        <v>157</v>
      </c>
      <c r="AD468" s="58" t="s">
        <v>157</v>
      </c>
      <c r="AE468" s="68"/>
      <c r="AG468" s="58" t="s">
        <v>1648</v>
      </c>
      <c r="AH468" s="68" t="s">
        <v>155</v>
      </c>
      <c r="AI468" s="58"/>
      <c r="AJ468" s="61" t="s">
        <v>1649</v>
      </c>
      <c r="AK468" s="68" t="s">
        <v>156</v>
      </c>
      <c r="AL468" s="59" t="s">
        <v>161</v>
      </c>
      <c r="AM468" s="64" t="s">
        <v>162</v>
      </c>
      <c r="AN468" s="65" t="s">
        <v>1650</v>
      </c>
      <c r="AO468" s="53" t="s">
        <v>164</v>
      </c>
      <c r="AP468" s="66"/>
      <c r="AQ468" s="58" t="s">
        <v>975</v>
      </c>
      <c r="AR468" s="38"/>
      <c r="AT468" s="40"/>
      <c r="AU468" s="40"/>
      <c r="AV468" s="40">
        <v>7340101</v>
      </c>
      <c r="AW468" s="53">
        <v>228</v>
      </c>
      <c r="AY468" s="40"/>
      <c r="AZ468" s="40"/>
      <c r="BI468" s="36"/>
      <c r="BJ468" s="36"/>
      <c r="BK468" s="37"/>
      <c r="BN468" s="16"/>
      <c r="BO468" s="16"/>
    </row>
    <row r="469" spans="1:67" s="67" customFormat="1" ht="15.95" customHeight="1" x14ac:dyDescent="0.25">
      <c r="A469" s="16"/>
      <c r="B469" s="68">
        <f>SUBTOTAL(103,$K$467:K469)</f>
        <v>3</v>
      </c>
      <c r="C469" s="59" t="s">
        <v>181</v>
      </c>
      <c r="D469" s="53" t="s">
        <v>158</v>
      </c>
      <c r="E469" s="68" t="s">
        <v>19</v>
      </c>
      <c r="F469" s="59" t="s">
        <v>105</v>
      </c>
      <c r="G469" s="53" t="s">
        <v>4914</v>
      </c>
      <c r="H469" s="53" t="s">
        <v>4904</v>
      </c>
      <c r="I469" s="58" t="s">
        <v>1651</v>
      </c>
      <c r="J469" s="58" t="s">
        <v>565</v>
      </c>
      <c r="K469" s="103" t="s">
        <v>4333</v>
      </c>
      <c r="L469" s="68" t="s">
        <v>170</v>
      </c>
      <c r="M469" s="68">
        <v>1</v>
      </c>
      <c r="N469" s="68" t="s">
        <v>150</v>
      </c>
      <c r="O469" s="58" t="s">
        <v>5036</v>
      </c>
      <c r="P469" s="53" t="s">
        <v>3895</v>
      </c>
      <c r="Q469" s="58" t="s">
        <v>1652</v>
      </c>
      <c r="R469" s="53">
        <v>2004</v>
      </c>
      <c r="S469" s="68" t="s">
        <v>337</v>
      </c>
      <c r="T469" s="53" t="s">
        <v>362</v>
      </c>
      <c r="U469" s="53"/>
      <c r="V469" s="53" t="s">
        <v>518</v>
      </c>
      <c r="W469" s="53" t="s">
        <v>153</v>
      </c>
      <c r="X469" s="57" t="s">
        <v>4333</v>
      </c>
      <c r="Y469" s="59"/>
      <c r="Z469" s="53"/>
      <c r="AA469" s="58"/>
      <c r="AB469" s="76" t="s">
        <v>156</v>
      </c>
      <c r="AC469" s="53" t="s">
        <v>157</v>
      </c>
      <c r="AD469" s="53" t="s">
        <v>157</v>
      </c>
      <c r="AE469" s="58"/>
      <c r="AF469" s="159"/>
      <c r="AG469" s="58" t="s">
        <v>228</v>
      </c>
      <c r="AH469" s="53" t="s">
        <v>155</v>
      </c>
      <c r="AI469" s="58"/>
      <c r="AJ469" s="65" t="s">
        <v>1653</v>
      </c>
      <c r="AK469" s="68" t="s">
        <v>156</v>
      </c>
      <c r="AL469" s="59" t="s">
        <v>229</v>
      </c>
      <c r="AM469" s="64" t="s">
        <v>287</v>
      </c>
      <c r="AN469" s="65" t="s">
        <v>1654</v>
      </c>
      <c r="AO469" s="72" t="s">
        <v>164</v>
      </c>
      <c r="AP469" s="66"/>
      <c r="AQ469" s="58" t="s">
        <v>613</v>
      </c>
      <c r="AR469" s="38"/>
      <c r="AT469" s="40"/>
      <c r="AU469" s="40"/>
      <c r="AV469" s="54">
        <v>7340101</v>
      </c>
      <c r="AW469" s="53">
        <v>229</v>
      </c>
      <c r="AY469" s="40"/>
      <c r="AZ469" s="40"/>
      <c r="BI469" s="36"/>
      <c r="BJ469" s="36"/>
      <c r="BK469" s="37"/>
      <c r="BN469" s="16"/>
      <c r="BO469" s="16"/>
    </row>
    <row r="470" spans="1:67" s="67" customFormat="1" ht="15.95" customHeight="1" x14ac:dyDescent="0.25">
      <c r="A470" s="16"/>
      <c r="B470" s="68">
        <f>SUBTOTAL(103,$K$467:K470)</f>
        <v>4</v>
      </c>
      <c r="C470" s="59" t="s">
        <v>194</v>
      </c>
      <c r="D470" s="53" t="s">
        <v>158</v>
      </c>
      <c r="E470" s="53" t="s">
        <v>19</v>
      </c>
      <c r="F470" s="53" t="s">
        <v>105</v>
      </c>
      <c r="G470" s="53" t="s">
        <v>4914</v>
      </c>
      <c r="H470" s="53" t="s">
        <v>4905</v>
      </c>
      <c r="I470" s="58" t="s">
        <v>1502</v>
      </c>
      <c r="J470" s="58" t="s">
        <v>280</v>
      </c>
      <c r="K470" s="103" t="s">
        <v>4334</v>
      </c>
      <c r="L470" s="53" t="s">
        <v>149</v>
      </c>
      <c r="M470" s="53">
        <v>0</v>
      </c>
      <c r="N470" s="53" t="s">
        <v>150</v>
      </c>
      <c r="O470" s="58" t="s">
        <v>5036</v>
      </c>
      <c r="P470" s="53" t="s">
        <v>3895</v>
      </c>
      <c r="Q470" s="58" t="s">
        <v>171</v>
      </c>
      <c r="R470" s="53">
        <v>2013</v>
      </c>
      <c r="S470" s="53" t="s">
        <v>337</v>
      </c>
      <c r="T470" s="53" t="s">
        <v>262</v>
      </c>
      <c r="U470" s="53"/>
      <c r="V470" s="53"/>
      <c r="W470" s="53"/>
      <c r="X470" s="57" t="s">
        <v>4334</v>
      </c>
      <c r="Y470" s="59"/>
      <c r="Z470" s="53"/>
      <c r="AA470" s="58"/>
      <c r="AB470" s="76" t="s">
        <v>156</v>
      </c>
      <c r="AC470" s="58" t="s">
        <v>157</v>
      </c>
      <c r="AD470" s="53"/>
      <c r="AE470" s="53"/>
      <c r="AF470" s="159"/>
      <c r="AG470" s="58" t="s">
        <v>1655</v>
      </c>
      <c r="AH470" s="53" t="s">
        <v>155</v>
      </c>
      <c r="AI470" s="58"/>
      <c r="AJ470" s="65" t="s">
        <v>1656</v>
      </c>
      <c r="AK470" s="68" t="s">
        <v>156</v>
      </c>
      <c r="AL470" s="59" t="s">
        <v>330</v>
      </c>
      <c r="AM470" s="64" t="s">
        <v>1657</v>
      </c>
      <c r="AN470" s="65" t="s">
        <v>1658</v>
      </c>
      <c r="AO470" s="53" t="s">
        <v>164</v>
      </c>
      <c r="AP470" s="66" t="s">
        <v>132</v>
      </c>
      <c r="AQ470" s="58" t="s">
        <v>277</v>
      </c>
      <c r="AR470" s="38"/>
      <c r="AT470" s="40"/>
      <c r="AU470" s="40"/>
      <c r="AV470" s="54">
        <v>7340101</v>
      </c>
      <c r="AW470" s="53">
        <v>230</v>
      </c>
      <c r="AY470" s="40"/>
      <c r="AZ470" s="40"/>
      <c r="BI470" s="36"/>
      <c r="BJ470" s="36"/>
      <c r="BK470" s="37"/>
      <c r="BN470" s="16"/>
      <c r="BO470" s="16"/>
    </row>
    <row r="471" spans="1:67" s="67" customFormat="1" ht="15.95" customHeight="1" x14ac:dyDescent="0.25">
      <c r="A471" s="16"/>
      <c r="B471" s="68">
        <f>SUBTOTAL(103,$K$467:K471)</f>
        <v>5</v>
      </c>
      <c r="C471" s="59" t="s">
        <v>203</v>
      </c>
      <c r="D471" s="53" t="s">
        <v>158</v>
      </c>
      <c r="E471" s="53" t="s">
        <v>19</v>
      </c>
      <c r="F471" s="53" t="s">
        <v>106</v>
      </c>
      <c r="G471" s="53" t="s">
        <v>4914</v>
      </c>
      <c r="H471" s="53" t="s">
        <v>4906</v>
      </c>
      <c r="I471" s="58" t="s">
        <v>213</v>
      </c>
      <c r="J471" s="58" t="s">
        <v>214</v>
      </c>
      <c r="K471" s="103" t="s">
        <v>4335</v>
      </c>
      <c r="L471" s="53" t="s">
        <v>149</v>
      </c>
      <c r="M471" s="53">
        <v>0</v>
      </c>
      <c r="N471" s="53" t="s">
        <v>150</v>
      </c>
      <c r="O471" s="201" t="s">
        <v>5036</v>
      </c>
      <c r="P471" s="53" t="s">
        <v>3895</v>
      </c>
      <c r="Q471" s="58" t="s">
        <v>93</v>
      </c>
      <c r="R471" s="53">
        <v>2005</v>
      </c>
      <c r="S471" s="53" t="s">
        <v>248</v>
      </c>
      <c r="T471" s="53" t="s">
        <v>1659</v>
      </c>
      <c r="U471" s="53"/>
      <c r="V471" s="53"/>
      <c r="W471" s="53"/>
      <c r="X471" s="57" t="s">
        <v>4335</v>
      </c>
      <c r="Y471" s="59"/>
      <c r="Z471" s="53"/>
      <c r="AA471" s="58"/>
      <c r="AB471" s="256" t="s">
        <v>156</v>
      </c>
      <c r="AC471" s="93"/>
      <c r="AD471" s="93"/>
      <c r="AE471" s="93"/>
      <c r="AF471" s="159"/>
      <c r="AG471" s="263" t="s">
        <v>1660</v>
      </c>
      <c r="AH471" s="96" t="s">
        <v>155</v>
      </c>
      <c r="AI471" s="93" t="s">
        <v>1661</v>
      </c>
      <c r="AJ471" s="95" t="s">
        <v>1662</v>
      </c>
      <c r="AK471" s="92" t="s">
        <v>156</v>
      </c>
      <c r="AL471" s="93" t="s">
        <v>483</v>
      </c>
      <c r="AM471" s="94" t="s">
        <v>1633</v>
      </c>
      <c r="AN471" s="95" t="s">
        <v>1663</v>
      </c>
      <c r="AO471" s="96" t="s">
        <v>164</v>
      </c>
      <c r="AP471" s="66" t="s">
        <v>223</v>
      </c>
      <c r="AQ471" s="80" t="s">
        <v>224</v>
      </c>
      <c r="AR471" s="38"/>
      <c r="AT471" s="40"/>
      <c r="AU471" s="40"/>
      <c r="AV471" s="54">
        <v>7340101</v>
      </c>
      <c r="AW471" s="53">
        <v>231</v>
      </c>
      <c r="AY471" s="40"/>
      <c r="AZ471" s="40"/>
      <c r="BI471" s="36"/>
      <c r="BJ471" s="36"/>
      <c r="BK471" s="37"/>
      <c r="BN471" s="16"/>
      <c r="BO471" s="16"/>
    </row>
    <row r="472" spans="1:67" s="67" customFormat="1" ht="15.95" customHeight="1" x14ac:dyDescent="0.25">
      <c r="A472" s="16"/>
      <c r="B472" s="68">
        <f>SUBTOTAL(103,$K$467:K472)</f>
        <v>6</v>
      </c>
      <c r="C472" s="59" t="s">
        <v>212</v>
      </c>
      <c r="D472" s="53" t="s">
        <v>158</v>
      </c>
      <c r="E472" s="53" t="s">
        <v>19</v>
      </c>
      <c r="F472" s="53" t="s">
        <v>106</v>
      </c>
      <c r="G472" s="53" t="s">
        <v>4914</v>
      </c>
      <c r="H472" s="53" t="s">
        <v>4907</v>
      </c>
      <c r="I472" s="58" t="s">
        <v>1664</v>
      </c>
      <c r="J472" s="58" t="s">
        <v>1665</v>
      </c>
      <c r="K472" s="103" t="s">
        <v>4336</v>
      </c>
      <c r="L472" s="53" t="s">
        <v>170</v>
      </c>
      <c r="M472" s="68">
        <v>1</v>
      </c>
      <c r="N472" s="53" t="s">
        <v>150</v>
      </c>
      <c r="O472" s="201" t="s">
        <v>5036</v>
      </c>
      <c r="P472" s="53" t="s">
        <v>3895</v>
      </c>
      <c r="Q472" s="58" t="s">
        <v>66</v>
      </c>
      <c r="R472" s="53">
        <v>2025</v>
      </c>
      <c r="S472" s="53" t="s">
        <v>248</v>
      </c>
      <c r="T472" s="53" t="s">
        <v>1434</v>
      </c>
      <c r="U472" s="53"/>
      <c r="V472" s="53" t="s">
        <v>453</v>
      </c>
      <c r="W472" s="53" t="s">
        <v>153</v>
      </c>
      <c r="X472" s="57" t="s">
        <v>4336</v>
      </c>
      <c r="Y472" s="53"/>
      <c r="Z472" s="53"/>
      <c r="AA472" s="58"/>
      <c r="AB472" s="256" t="s">
        <v>156</v>
      </c>
      <c r="AC472" s="93" t="s">
        <v>157</v>
      </c>
      <c r="AD472" s="93" t="s">
        <v>157</v>
      </c>
      <c r="AE472" s="93"/>
      <c r="AG472" s="94" t="s">
        <v>228</v>
      </c>
      <c r="AH472" s="96" t="s">
        <v>155</v>
      </c>
      <c r="AI472" s="93"/>
      <c r="AJ472" s="95" t="s">
        <v>1666</v>
      </c>
      <c r="AK472" s="92" t="s">
        <v>156</v>
      </c>
      <c r="AL472" s="93" t="s">
        <v>495</v>
      </c>
      <c r="AM472" s="94" t="s">
        <v>1667</v>
      </c>
      <c r="AN472" s="95" t="s">
        <v>1668</v>
      </c>
      <c r="AO472" s="96" t="s">
        <v>164</v>
      </c>
      <c r="AP472" s="66"/>
      <c r="AQ472" s="169" t="s">
        <v>587</v>
      </c>
      <c r="AU472" s="40"/>
      <c r="AV472" s="54">
        <v>7340101</v>
      </c>
      <c r="AW472" s="53">
        <v>232</v>
      </c>
      <c r="BJ472" s="40"/>
      <c r="BK472" s="40"/>
      <c r="BN472" s="16"/>
      <c r="BO472" s="16"/>
    </row>
    <row r="473" spans="1:67" s="67" customFormat="1" ht="15.95" customHeight="1" x14ac:dyDescent="0.25">
      <c r="A473" s="16"/>
      <c r="B473" s="68">
        <f>SUBTOTAL(103,$K$467:K473)</f>
        <v>7</v>
      </c>
      <c r="C473" s="59" t="s">
        <v>225</v>
      </c>
      <c r="D473" s="53" t="s">
        <v>158</v>
      </c>
      <c r="E473" s="68" t="s">
        <v>19</v>
      </c>
      <c r="F473" s="59" t="s">
        <v>106</v>
      </c>
      <c r="G473" s="53" t="s">
        <v>4914</v>
      </c>
      <c r="H473" s="53" t="s">
        <v>4908</v>
      </c>
      <c r="I473" s="73" t="s">
        <v>1669</v>
      </c>
      <c r="J473" s="74" t="s">
        <v>1670</v>
      </c>
      <c r="K473" s="75" t="s">
        <v>4289</v>
      </c>
      <c r="L473" s="59" t="s">
        <v>149</v>
      </c>
      <c r="M473" s="53">
        <v>0</v>
      </c>
      <c r="N473" s="59" t="s">
        <v>150</v>
      </c>
      <c r="O473" s="201" t="s">
        <v>5036</v>
      </c>
      <c r="P473" s="53" t="s">
        <v>3895</v>
      </c>
      <c r="Q473" s="73" t="s">
        <v>1671</v>
      </c>
      <c r="R473" s="59" t="s">
        <v>184</v>
      </c>
      <c r="S473" s="59" t="s">
        <v>153</v>
      </c>
      <c r="T473" s="59" t="s">
        <v>1672</v>
      </c>
      <c r="U473" s="59" t="s">
        <v>1305</v>
      </c>
      <c r="V473" s="59"/>
      <c r="W473" s="59"/>
      <c r="X473" s="75" t="s">
        <v>4289</v>
      </c>
      <c r="Y473" s="59"/>
      <c r="Z473" s="59"/>
      <c r="AA473" s="58"/>
      <c r="AB473" s="256" t="s">
        <v>156</v>
      </c>
      <c r="AC473" s="263" t="s">
        <v>157</v>
      </c>
      <c r="AD473" s="263"/>
      <c r="AE473" s="263"/>
      <c r="AF473" s="160"/>
      <c r="AG473" s="263" t="s">
        <v>206</v>
      </c>
      <c r="AH473" s="263" t="s">
        <v>155</v>
      </c>
      <c r="AI473" s="263"/>
      <c r="AJ473" s="273" t="s">
        <v>1673</v>
      </c>
      <c r="AK473" s="92" t="s">
        <v>156</v>
      </c>
      <c r="AL473" s="263" t="s">
        <v>229</v>
      </c>
      <c r="AM473" s="94" t="s">
        <v>822</v>
      </c>
      <c r="AN473" s="95" t="s">
        <v>1674</v>
      </c>
      <c r="AO473" s="263" t="s">
        <v>164</v>
      </c>
      <c r="AP473" s="66" t="s">
        <v>743</v>
      </c>
      <c r="AQ473" s="58" t="s">
        <v>180</v>
      </c>
      <c r="AR473" s="38"/>
      <c r="AT473" s="40"/>
      <c r="AU473" s="40"/>
      <c r="AV473" s="54">
        <v>7340101</v>
      </c>
      <c r="AW473" s="53">
        <v>233</v>
      </c>
      <c r="AY473" s="40"/>
      <c r="AZ473" s="40"/>
      <c r="BI473" s="36"/>
      <c r="BJ473" s="36"/>
      <c r="BK473" s="37"/>
      <c r="BN473" s="16"/>
      <c r="BO473" s="16"/>
    </row>
    <row r="474" spans="1:67" s="67" customFormat="1" ht="15.95" customHeight="1" x14ac:dyDescent="0.25">
      <c r="A474" s="16"/>
      <c r="B474" s="68">
        <f>SUBTOTAL(103,$K$467:K474)</f>
        <v>8</v>
      </c>
      <c r="C474" s="59" t="s">
        <v>233</v>
      </c>
      <c r="D474" s="53" t="s">
        <v>158</v>
      </c>
      <c r="E474" s="53" t="s">
        <v>19</v>
      </c>
      <c r="F474" s="53" t="s">
        <v>106</v>
      </c>
      <c r="G474" s="53" t="s">
        <v>4914</v>
      </c>
      <c r="H474" s="53" t="s">
        <v>4909</v>
      </c>
      <c r="I474" s="58" t="s">
        <v>1675</v>
      </c>
      <c r="J474" s="58" t="s">
        <v>246</v>
      </c>
      <c r="K474" s="103" t="s">
        <v>4337</v>
      </c>
      <c r="L474" s="53" t="s">
        <v>149</v>
      </c>
      <c r="M474" s="53">
        <v>0</v>
      </c>
      <c r="N474" s="53" t="s">
        <v>150</v>
      </c>
      <c r="O474" s="201" t="s">
        <v>5036</v>
      </c>
      <c r="P474" s="53" t="s">
        <v>3895</v>
      </c>
      <c r="Q474" s="58" t="s">
        <v>1676</v>
      </c>
      <c r="R474" s="53">
        <v>2015</v>
      </c>
      <c r="S474" s="53" t="s">
        <v>248</v>
      </c>
      <c r="T474" s="53" t="s">
        <v>1677</v>
      </c>
      <c r="U474" s="53" t="s">
        <v>1678</v>
      </c>
      <c r="V474" s="53" t="s">
        <v>401</v>
      </c>
      <c r="W474" s="53" t="s">
        <v>248</v>
      </c>
      <c r="X474" s="57" t="s">
        <v>4337</v>
      </c>
      <c r="Y474" s="53"/>
      <c r="Z474" s="53"/>
      <c r="AA474" s="58"/>
      <c r="AB474" s="256" t="s">
        <v>156</v>
      </c>
      <c r="AC474" s="93" t="s">
        <v>157</v>
      </c>
      <c r="AD474" s="93" t="s">
        <v>157</v>
      </c>
      <c r="AE474" s="93"/>
      <c r="AG474" s="93" t="s">
        <v>1679</v>
      </c>
      <c r="AH474" s="96" t="s">
        <v>155</v>
      </c>
      <c r="AI474" s="93"/>
      <c r="AJ474" s="95" t="s">
        <v>1680</v>
      </c>
      <c r="AK474" s="92" t="s">
        <v>156</v>
      </c>
      <c r="AL474" s="93" t="s">
        <v>347</v>
      </c>
      <c r="AM474" s="94" t="s">
        <v>1681</v>
      </c>
      <c r="AN474" s="268" t="s">
        <v>1682</v>
      </c>
      <c r="AO474" s="96" t="s">
        <v>164</v>
      </c>
      <c r="AP474" s="66"/>
      <c r="AQ474" s="58" t="s">
        <v>824</v>
      </c>
      <c r="AR474" s="38"/>
      <c r="AT474" s="40"/>
      <c r="AU474" s="40"/>
      <c r="AV474" s="54">
        <v>7340101</v>
      </c>
      <c r="AW474" s="53">
        <v>234</v>
      </c>
      <c r="AY474" s="40"/>
      <c r="AZ474" s="40"/>
      <c r="BI474" s="36"/>
      <c r="BJ474" s="36"/>
      <c r="BK474" s="37"/>
      <c r="BN474" s="16"/>
      <c r="BO474" s="16"/>
    </row>
    <row r="475" spans="1:67" s="67" customFormat="1" ht="15.95" customHeight="1" x14ac:dyDescent="0.25">
      <c r="A475" s="16"/>
      <c r="B475" s="68">
        <f>SUBTOTAL(103,$K$467:K475)</f>
        <v>9</v>
      </c>
      <c r="C475" s="59" t="s">
        <v>244</v>
      </c>
      <c r="D475" s="53" t="s">
        <v>158</v>
      </c>
      <c r="E475" s="53" t="s">
        <v>19</v>
      </c>
      <c r="F475" s="53" t="s">
        <v>104</v>
      </c>
      <c r="G475" s="53" t="s">
        <v>4914</v>
      </c>
      <c r="H475" s="53" t="s">
        <v>4910</v>
      </c>
      <c r="I475" s="58" t="s">
        <v>1683</v>
      </c>
      <c r="J475" s="58" t="s">
        <v>676</v>
      </c>
      <c r="K475" s="103" t="s">
        <v>4338</v>
      </c>
      <c r="L475" s="53" t="s">
        <v>149</v>
      </c>
      <c r="M475" s="53">
        <v>0</v>
      </c>
      <c r="N475" s="53" t="s">
        <v>150</v>
      </c>
      <c r="O475" s="201" t="s">
        <v>5036</v>
      </c>
      <c r="P475" s="53" t="s">
        <v>3895</v>
      </c>
      <c r="Q475" s="58" t="s">
        <v>1684</v>
      </c>
      <c r="R475" s="53">
        <v>2014</v>
      </c>
      <c r="S475" s="53" t="s">
        <v>337</v>
      </c>
      <c r="T475" s="53" t="s">
        <v>434</v>
      </c>
      <c r="U475" s="53"/>
      <c r="V475" s="53" t="s">
        <v>283</v>
      </c>
      <c r="W475" s="53" t="s">
        <v>248</v>
      </c>
      <c r="X475" s="57" t="s">
        <v>4338</v>
      </c>
      <c r="Y475" s="59"/>
      <c r="Z475" s="53"/>
      <c r="AA475" s="58"/>
      <c r="AB475" s="256" t="s">
        <v>156</v>
      </c>
      <c r="AC475" s="93" t="s">
        <v>157</v>
      </c>
      <c r="AD475" s="93" t="s">
        <v>157</v>
      </c>
      <c r="AE475" s="93"/>
      <c r="AF475" s="159"/>
      <c r="AG475" s="93" t="s">
        <v>1685</v>
      </c>
      <c r="AH475" s="96" t="s">
        <v>155</v>
      </c>
      <c r="AI475" s="93"/>
      <c r="AJ475" s="95" t="s">
        <v>1686</v>
      </c>
      <c r="AK475" s="92" t="s">
        <v>156</v>
      </c>
      <c r="AL475" s="93" t="s">
        <v>413</v>
      </c>
      <c r="AM475" s="94" t="s">
        <v>1687</v>
      </c>
      <c r="AN475" s="95" t="s">
        <v>1688</v>
      </c>
      <c r="AO475" s="96" t="s">
        <v>164</v>
      </c>
      <c r="AP475" s="66"/>
      <c r="AQ475" s="80" t="s">
        <v>1132</v>
      </c>
      <c r="AR475" s="38"/>
      <c r="AT475" s="40"/>
      <c r="AU475" s="40"/>
      <c r="AV475" s="54">
        <v>7340101</v>
      </c>
      <c r="AW475" s="53">
        <v>235</v>
      </c>
      <c r="AY475" s="40"/>
      <c r="AZ475" s="40"/>
      <c r="BI475" s="36"/>
      <c r="BJ475" s="36"/>
      <c r="BK475" s="37"/>
      <c r="BN475" s="16"/>
      <c r="BO475" s="16"/>
    </row>
    <row r="476" spans="1:67" s="67" customFormat="1" ht="15.95" customHeight="1" x14ac:dyDescent="0.25">
      <c r="A476" s="16"/>
      <c r="B476" s="68">
        <f>SUBTOTAL(103,$K$467:K476)</f>
        <v>10</v>
      </c>
      <c r="C476" s="59" t="s">
        <v>257</v>
      </c>
      <c r="D476" s="53" t="s">
        <v>158</v>
      </c>
      <c r="E476" s="68" t="s">
        <v>19</v>
      </c>
      <c r="F476" s="59" t="s">
        <v>104</v>
      </c>
      <c r="G476" s="53" t="s">
        <v>4914</v>
      </c>
      <c r="H476" s="53" t="s">
        <v>4911</v>
      </c>
      <c r="I476" s="73" t="s">
        <v>1233</v>
      </c>
      <c r="J476" s="74" t="s">
        <v>1689</v>
      </c>
      <c r="K476" s="75" t="s">
        <v>4339</v>
      </c>
      <c r="L476" s="59" t="s">
        <v>149</v>
      </c>
      <c r="M476" s="53">
        <v>0</v>
      </c>
      <c r="N476" s="59" t="s">
        <v>150</v>
      </c>
      <c r="O476" s="201" t="s">
        <v>5036</v>
      </c>
      <c r="P476" s="53" t="s">
        <v>3895</v>
      </c>
      <c r="Q476" s="73" t="s">
        <v>1690</v>
      </c>
      <c r="R476" s="59" t="s">
        <v>1011</v>
      </c>
      <c r="S476" s="59" t="s">
        <v>153</v>
      </c>
      <c r="T476" s="59" t="s">
        <v>154</v>
      </c>
      <c r="U476" s="59"/>
      <c r="V476" s="59" t="s">
        <v>423</v>
      </c>
      <c r="W476" s="59" t="s">
        <v>248</v>
      </c>
      <c r="X476" s="75" t="s">
        <v>4339</v>
      </c>
      <c r="Y476" s="59"/>
      <c r="Z476" s="59"/>
      <c r="AA476" s="58"/>
      <c r="AB476" s="256" t="s">
        <v>156</v>
      </c>
      <c r="AC476" s="263" t="s">
        <v>157</v>
      </c>
      <c r="AD476" s="263" t="s">
        <v>157</v>
      </c>
      <c r="AE476" s="263"/>
      <c r="AF476" s="160"/>
      <c r="AG476" s="266" t="s">
        <v>1691</v>
      </c>
      <c r="AH476" s="263" t="s">
        <v>155</v>
      </c>
      <c r="AI476" s="263"/>
      <c r="AJ476" s="273" t="s">
        <v>1692</v>
      </c>
      <c r="AK476" s="92" t="s">
        <v>156</v>
      </c>
      <c r="AL476" s="263" t="s">
        <v>436</v>
      </c>
      <c r="AM476" s="266" t="s">
        <v>1693</v>
      </c>
      <c r="AN476" s="273" t="s">
        <v>1694</v>
      </c>
      <c r="AO476" s="263" t="s">
        <v>164</v>
      </c>
      <c r="AP476" s="66"/>
      <c r="AQ476" s="58" t="s">
        <v>313</v>
      </c>
      <c r="AR476" s="38"/>
      <c r="AT476" s="40"/>
      <c r="AU476" s="40"/>
      <c r="AV476" s="54">
        <v>7340101</v>
      </c>
      <c r="AW476" s="53">
        <v>236</v>
      </c>
      <c r="AY476" s="40"/>
      <c r="AZ476" s="40"/>
      <c r="BI476" s="36"/>
      <c r="BJ476" s="36"/>
      <c r="BK476" s="37"/>
      <c r="BN476" s="16"/>
      <c r="BO476" s="16"/>
    </row>
    <row r="477" spans="1:67" s="67" customFormat="1" ht="15.95" customHeight="1" x14ac:dyDescent="0.25">
      <c r="A477" s="16"/>
      <c r="B477" s="68">
        <f>SUBTOTAL(103,$K$467:K477)</f>
        <v>11</v>
      </c>
      <c r="C477" s="59" t="s">
        <v>268</v>
      </c>
      <c r="D477" s="53" t="s">
        <v>158</v>
      </c>
      <c r="E477" s="53" t="s">
        <v>19</v>
      </c>
      <c r="F477" s="53" t="s">
        <v>639</v>
      </c>
      <c r="G477" s="53" t="s">
        <v>4914</v>
      </c>
      <c r="H477" s="53" t="s">
        <v>4912</v>
      </c>
      <c r="I477" s="58" t="s">
        <v>1696</v>
      </c>
      <c r="J477" s="58" t="s">
        <v>1503</v>
      </c>
      <c r="K477" s="99" t="s">
        <v>4199</v>
      </c>
      <c r="L477" s="53" t="s">
        <v>149</v>
      </c>
      <c r="M477" s="53">
        <v>0</v>
      </c>
      <c r="N477" s="53" t="s">
        <v>150</v>
      </c>
      <c r="O477" s="201" t="s">
        <v>5036</v>
      </c>
      <c r="P477" s="53" t="s">
        <v>3895</v>
      </c>
      <c r="Q477" s="58"/>
      <c r="R477" s="53">
        <v>2019</v>
      </c>
      <c r="S477" s="53"/>
      <c r="T477" s="53"/>
      <c r="U477" s="53"/>
      <c r="V477" s="53" t="s">
        <v>1183</v>
      </c>
      <c r="W477" s="53" t="s">
        <v>153</v>
      </c>
      <c r="X477" s="53" t="s">
        <v>4199</v>
      </c>
      <c r="Y477" s="53" t="s">
        <v>3848</v>
      </c>
      <c r="Z477" s="53">
        <v>20.100000000000001</v>
      </c>
      <c r="AA477" s="58"/>
      <c r="AB477" s="256" t="s">
        <v>156</v>
      </c>
      <c r="AC477" s="93" t="s">
        <v>157</v>
      </c>
      <c r="AD477" s="93" t="s">
        <v>157</v>
      </c>
      <c r="AE477" s="93"/>
      <c r="AG477" s="94" t="s">
        <v>1697</v>
      </c>
      <c r="AH477" s="96"/>
      <c r="AI477" s="93"/>
      <c r="AJ477" s="95" t="s">
        <v>1698</v>
      </c>
      <c r="AK477" s="92" t="s">
        <v>156</v>
      </c>
      <c r="AL477" s="93" t="s">
        <v>495</v>
      </c>
      <c r="AM477" s="94" t="s">
        <v>1667</v>
      </c>
      <c r="AN477" s="207" t="s">
        <v>1699</v>
      </c>
      <c r="AO477" s="96" t="s">
        <v>164</v>
      </c>
      <c r="AP477" s="66"/>
      <c r="AQ477" s="169" t="s">
        <v>1024</v>
      </c>
      <c r="AU477" s="40"/>
      <c r="AV477" s="54">
        <v>7340101</v>
      </c>
      <c r="AW477" s="53">
        <v>237</v>
      </c>
      <c r="BJ477" s="40"/>
      <c r="BK477" s="40"/>
      <c r="BN477" s="16"/>
      <c r="BO477" s="16"/>
    </row>
    <row r="478" spans="1:67" s="67" customFormat="1" ht="15.95" customHeight="1" x14ac:dyDescent="0.25">
      <c r="A478" s="16"/>
      <c r="B478" s="68">
        <f>SUBTOTAL(103,$K$467:K478)</f>
        <v>12</v>
      </c>
      <c r="C478" s="59" t="s">
        <v>278</v>
      </c>
      <c r="D478" s="53" t="s">
        <v>158</v>
      </c>
      <c r="E478" s="53" t="s">
        <v>19</v>
      </c>
      <c r="F478" s="53" t="s">
        <v>639</v>
      </c>
      <c r="G478" s="53" t="s">
        <v>4914</v>
      </c>
      <c r="H478" s="53" t="s">
        <v>4913</v>
      </c>
      <c r="I478" s="58" t="s">
        <v>1700</v>
      </c>
      <c r="J478" s="58" t="s">
        <v>370</v>
      </c>
      <c r="K478" s="103" t="s">
        <v>4340</v>
      </c>
      <c r="L478" s="53" t="s">
        <v>170</v>
      </c>
      <c r="M478" s="68">
        <v>1</v>
      </c>
      <c r="N478" s="53" t="s">
        <v>150</v>
      </c>
      <c r="O478" s="201" t="s">
        <v>5036</v>
      </c>
      <c r="P478" s="53" t="s">
        <v>3895</v>
      </c>
      <c r="Q478" s="58"/>
      <c r="R478" s="53">
        <v>2018</v>
      </c>
      <c r="S478" s="53"/>
      <c r="T478" s="53"/>
      <c r="U478" s="53"/>
      <c r="V478" s="53" t="s">
        <v>583</v>
      </c>
      <c r="W478" s="53" t="s">
        <v>153</v>
      </c>
      <c r="X478" s="57" t="s">
        <v>4340</v>
      </c>
      <c r="Y478" s="53" t="s">
        <v>857</v>
      </c>
      <c r="Z478" s="53">
        <v>21.6</v>
      </c>
      <c r="AA478" s="58"/>
      <c r="AB478" s="256" t="s">
        <v>156</v>
      </c>
      <c r="AC478" s="93" t="s">
        <v>157</v>
      </c>
      <c r="AD478" s="96" t="s">
        <v>157</v>
      </c>
      <c r="AE478" s="93"/>
      <c r="AF478" s="159"/>
      <c r="AG478" s="93" t="s">
        <v>912</v>
      </c>
      <c r="AH478" s="96"/>
      <c r="AI478" s="93"/>
      <c r="AJ478" s="95" t="s">
        <v>1701</v>
      </c>
      <c r="AK478" s="92" t="s">
        <v>156</v>
      </c>
      <c r="AL478" s="263" t="s">
        <v>220</v>
      </c>
      <c r="AM478" s="94" t="s">
        <v>915</v>
      </c>
      <c r="AN478" s="95" t="s">
        <v>1702</v>
      </c>
      <c r="AO478" s="96" t="s">
        <v>164</v>
      </c>
      <c r="AP478" s="66"/>
      <c r="AQ478" s="58" t="s">
        <v>224</v>
      </c>
      <c r="AR478" s="38"/>
      <c r="AT478" s="40"/>
      <c r="AU478" s="40"/>
      <c r="AV478" s="54">
        <v>7340101</v>
      </c>
      <c r="AW478" s="53">
        <v>238</v>
      </c>
      <c r="AY478" s="40"/>
      <c r="AZ478" s="40"/>
      <c r="BI478" s="36"/>
      <c r="BJ478" s="36"/>
      <c r="BK478" s="37"/>
      <c r="BN478" s="16"/>
      <c r="BO478" s="16"/>
    </row>
    <row r="479" spans="1:67" s="67" customFormat="1" ht="15.95" customHeight="1" x14ac:dyDescent="0.25">
      <c r="A479" s="16"/>
      <c r="B479" s="55"/>
      <c r="C479" s="59"/>
      <c r="D479" s="53"/>
      <c r="E479" s="53"/>
      <c r="F479" s="49"/>
      <c r="G479" s="49"/>
      <c r="H479" s="49"/>
      <c r="I479" s="56" t="s">
        <v>1703</v>
      </c>
      <c r="J479" s="49"/>
      <c r="K479" s="103"/>
      <c r="L479" s="53"/>
      <c r="M479" s="53"/>
      <c r="N479" s="53"/>
      <c r="O479" s="343"/>
      <c r="P479" s="53"/>
      <c r="Q479" s="58"/>
      <c r="R479" s="53"/>
      <c r="S479" s="53"/>
      <c r="T479" s="53"/>
      <c r="U479" s="53"/>
      <c r="V479" s="53"/>
      <c r="W479" s="53"/>
      <c r="X479" s="57"/>
      <c r="Y479" s="59"/>
      <c r="Z479" s="53"/>
      <c r="AA479" s="58"/>
      <c r="AB479" s="275"/>
      <c r="AC479" s="276"/>
      <c r="AD479" s="277"/>
      <c r="AE479" s="276"/>
      <c r="AF479" s="159"/>
      <c r="AG479" s="276"/>
      <c r="AH479" s="277"/>
      <c r="AI479" s="276"/>
      <c r="AJ479" s="278"/>
      <c r="AK479" s="279"/>
      <c r="AL479" s="280"/>
      <c r="AM479" s="281"/>
      <c r="AN479" s="278"/>
      <c r="AO479" s="40"/>
      <c r="AP479" s="66"/>
      <c r="AQ479" s="58"/>
      <c r="AR479" s="38"/>
      <c r="AT479" s="40"/>
      <c r="AU479" s="40"/>
      <c r="AV479" s="54">
        <v>7340301</v>
      </c>
      <c r="AW479" s="53">
        <v>239</v>
      </c>
      <c r="AY479" s="40"/>
      <c r="AZ479" s="40"/>
      <c r="BI479" s="36"/>
      <c r="BJ479" s="36"/>
      <c r="BK479" s="37"/>
      <c r="BN479" s="16"/>
      <c r="BO479" s="16"/>
    </row>
    <row r="480" spans="1:67" s="67" customFormat="1" ht="15.95" customHeight="1" x14ac:dyDescent="0.25">
      <c r="A480" s="16"/>
      <c r="B480" s="68">
        <f>SUBTOTAL(103,$K$480:K480)</f>
        <v>1</v>
      </c>
      <c r="C480" s="53">
        <v>1</v>
      </c>
      <c r="D480" s="53" t="s">
        <v>158</v>
      </c>
      <c r="E480" s="53" t="s">
        <v>19</v>
      </c>
      <c r="F480" s="341" t="s">
        <v>105</v>
      </c>
      <c r="G480" s="53" t="s">
        <v>4916</v>
      </c>
      <c r="H480" s="53" t="s">
        <v>4915</v>
      </c>
      <c r="I480" s="58" t="s">
        <v>745</v>
      </c>
      <c r="J480" s="58" t="s">
        <v>1704</v>
      </c>
      <c r="K480" s="103" t="s">
        <v>4341</v>
      </c>
      <c r="L480" s="53" t="s">
        <v>170</v>
      </c>
      <c r="M480" s="68">
        <v>1</v>
      </c>
      <c r="N480" s="53" t="s">
        <v>150</v>
      </c>
      <c r="O480" s="58" t="s">
        <v>5037</v>
      </c>
      <c r="P480" s="53" t="s">
        <v>3895</v>
      </c>
      <c r="Q480" s="58" t="s">
        <v>56</v>
      </c>
      <c r="R480" s="53">
        <v>2011</v>
      </c>
      <c r="S480" s="53" t="s">
        <v>337</v>
      </c>
      <c r="T480" s="53"/>
      <c r="U480" s="53"/>
      <c r="V480" s="53" t="s">
        <v>423</v>
      </c>
      <c r="W480" s="53" t="s">
        <v>248</v>
      </c>
      <c r="X480" s="57" t="s">
        <v>4341</v>
      </c>
      <c r="Y480" s="53"/>
      <c r="Z480" s="53"/>
      <c r="AA480" s="58"/>
      <c r="AB480" s="76" t="s">
        <v>156</v>
      </c>
      <c r="AC480" s="58" t="s">
        <v>157</v>
      </c>
      <c r="AD480" s="58" t="s">
        <v>157</v>
      </c>
      <c r="AE480" s="58"/>
      <c r="AG480" s="281" t="s">
        <v>1705</v>
      </c>
      <c r="AH480" s="53" t="s">
        <v>155</v>
      </c>
      <c r="AI480" s="58" t="s">
        <v>1706</v>
      </c>
      <c r="AJ480" s="65" t="s">
        <v>1707</v>
      </c>
      <c r="AK480" s="68" t="s">
        <v>156</v>
      </c>
      <c r="AL480" s="58" t="s">
        <v>309</v>
      </c>
      <c r="AM480" s="64" t="s">
        <v>1708</v>
      </c>
      <c r="AN480" s="65" t="s">
        <v>1709</v>
      </c>
      <c r="AO480" s="53" t="s">
        <v>164</v>
      </c>
      <c r="AP480" s="64" t="s">
        <v>1710</v>
      </c>
      <c r="AQ480" s="64" t="s">
        <v>1279</v>
      </c>
      <c r="AU480" s="40"/>
      <c r="AV480" s="54">
        <v>7340301</v>
      </c>
      <c r="AW480" s="53">
        <v>240</v>
      </c>
      <c r="BJ480" s="40"/>
      <c r="BK480" s="40"/>
      <c r="BN480" s="16"/>
      <c r="BO480" s="16"/>
    </row>
    <row r="481" spans="1:67" s="67" customFormat="1" ht="15.95" customHeight="1" x14ac:dyDescent="0.25">
      <c r="A481" s="16"/>
      <c r="B481" s="68">
        <f>SUBTOTAL(103,$K$480:K481)</f>
        <v>2</v>
      </c>
      <c r="C481" s="282">
        <v>2</v>
      </c>
      <c r="D481" s="53" t="s">
        <v>158</v>
      </c>
      <c r="E481" s="68" t="s">
        <v>19</v>
      </c>
      <c r="F481" s="54" t="s">
        <v>105</v>
      </c>
      <c r="G481" s="53" t="s">
        <v>4916</v>
      </c>
      <c r="H481" s="53" t="s">
        <v>4917</v>
      </c>
      <c r="I481" s="58" t="s">
        <v>1711</v>
      </c>
      <c r="J481" s="58" t="s">
        <v>1712</v>
      </c>
      <c r="K481" s="103" t="s">
        <v>4342</v>
      </c>
      <c r="L481" s="53" t="s">
        <v>1067</v>
      </c>
      <c r="M481" s="68">
        <v>1</v>
      </c>
      <c r="N481" s="68" t="s">
        <v>574</v>
      </c>
      <c r="O481" s="58" t="s">
        <v>5037</v>
      </c>
      <c r="P481" s="53" t="s">
        <v>3895</v>
      </c>
      <c r="Q481" s="58" t="s">
        <v>281</v>
      </c>
      <c r="R481" s="53">
        <v>2012</v>
      </c>
      <c r="S481" s="68" t="s">
        <v>153</v>
      </c>
      <c r="T481" s="53" t="s">
        <v>1379</v>
      </c>
      <c r="U481" s="53"/>
      <c r="V481" s="53"/>
      <c r="W481" s="59"/>
      <c r="X481" s="57" t="s">
        <v>4342</v>
      </c>
      <c r="Y481" s="59"/>
      <c r="Z481" s="53"/>
      <c r="AA481" s="58"/>
      <c r="AB481" s="76" t="s">
        <v>988</v>
      </c>
      <c r="AC481" s="53" t="s">
        <v>157</v>
      </c>
      <c r="AD481" s="53"/>
      <c r="AE481" s="58"/>
      <c r="AF481" s="159"/>
      <c r="AG481" s="74" t="s">
        <v>1713</v>
      </c>
      <c r="AH481" s="53" t="s">
        <v>155</v>
      </c>
      <c r="AI481" s="58"/>
      <c r="AJ481" s="65" t="s">
        <v>1714</v>
      </c>
      <c r="AK481" s="68" t="s">
        <v>156</v>
      </c>
      <c r="AL481" s="59" t="s">
        <v>1715</v>
      </c>
      <c r="AM481" s="74" t="s">
        <v>1716</v>
      </c>
      <c r="AN481" s="65" t="s">
        <v>1717</v>
      </c>
      <c r="AO481" s="53" t="s">
        <v>164</v>
      </c>
      <c r="AP481" s="89" t="s">
        <v>743</v>
      </c>
      <c r="AQ481" s="58" t="s">
        <v>1090</v>
      </c>
      <c r="AR481" s="38"/>
      <c r="AT481" s="40"/>
      <c r="AU481" s="40"/>
      <c r="AV481" s="54">
        <v>7340301</v>
      </c>
      <c r="AW481" s="53">
        <v>241</v>
      </c>
      <c r="AY481" s="40"/>
      <c r="AZ481" s="40"/>
      <c r="BI481" s="36"/>
      <c r="BJ481" s="36"/>
      <c r="BK481" s="37"/>
      <c r="BN481" s="16"/>
      <c r="BO481" s="16"/>
    </row>
    <row r="482" spans="1:67" s="67" customFormat="1" ht="15.95" customHeight="1" x14ac:dyDescent="0.25">
      <c r="A482" s="16"/>
      <c r="B482" s="68">
        <f>SUBTOTAL(103,$K$480:K482)</f>
        <v>3</v>
      </c>
      <c r="C482" s="53">
        <v>3</v>
      </c>
      <c r="D482" s="53" t="s">
        <v>158</v>
      </c>
      <c r="E482" s="53" t="s">
        <v>19</v>
      </c>
      <c r="F482" s="54" t="s">
        <v>105</v>
      </c>
      <c r="G482" s="53" t="s">
        <v>4916</v>
      </c>
      <c r="H482" s="53" t="s">
        <v>4918</v>
      </c>
      <c r="I482" s="58" t="s">
        <v>439</v>
      </c>
      <c r="J482" s="58" t="s">
        <v>826</v>
      </c>
      <c r="K482" s="103" t="s">
        <v>4156</v>
      </c>
      <c r="L482" s="68" t="s">
        <v>170</v>
      </c>
      <c r="M482" s="68">
        <v>1</v>
      </c>
      <c r="N482" s="68" t="s">
        <v>150</v>
      </c>
      <c r="O482" s="58" t="s">
        <v>5037</v>
      </c>
      <c r="P482" s="53" t="s">
        <v>3895</v>
      </c>
      <c r="Q482" s="58" t="s">
        <v>1718</v>
      </c>
      <c r="R482" s="53">
        <v>2012</v>
      </c>
      <c r="S482" s="68" t="s">
        <v>248</v>
      </c>
      <c r="T482" s="53" t="s">
        <v>620</v>
      </c>
      <c r="U482" s="53"/>
      <c r="V482" s="53"/>
      <c r="W482" s="59"/>
      <c r="X482" s="57" t="s">
        <v>4156</v>
      </c>
      <c r="Y482" s="59"/>
      <c r="Z482" s="53"/>
      <c r="AA482" s="58"/>
      <c r="AB482" s="76" t="s">
        <v>156</v>
      </c>
      <c r="AC482" s="53" t="s">
        <v>157</v>
      </c>
      <c r="AD482" s="53"/>
      <c r="AE482" s="58"/>
      <c r="AF482" s="159"/>
      <c r="AG482" s="58" t="s">
        <v>1719</v>
      </c>
      <c r="AH482" s="53" t="s">
        <v>155</v>
      </c>
      <c r="AI482" s="58"/>
      <c r="AJ482" s="65" t="s">
        <v>1720</v>
      </c>
      <c r="AK482" s="68" t="s">
        <v>156</v>
      </c>
      <c r="AL482" s="59" t="s">
        <v>804</v>
      </c>
      <c r="AM482" s="64" t="s">
        <v>1721</v>
      </c>
      <c r="AN482" s="65" t="s">
        <v>1722</v>
      </c>
      <c r="AO482" s="53" t="s">
        <v>632</v>
      </c>
      <c r="AP482" s="64"/>
      <c r="AQ482" s="58" t="s">
        <v>1002</v>
      </c>
      <c r="AR482" s="38"/>
      <c r="AT482" s="40"/>
      <c r="AU482" s="40"/>
      <c r="AV482" s="54">
        <v>7340301</v>
      </c>
      <c r="AW482" s="53">
        <v>242</v>
      </c>
      <c r="AY482" s="40"/>
      <c r="AZ482" s="40"/>
      <c r="BI482" s="36"/>
      <c r="BJ482" s="36"/>
      <c r="BK482" s="37"/>
      <c r="BN482" s="16"/>
      <c r="BO482" s="16"/>
    </row>
    <row r="483" spans="1:67" s="67" customFormat="1" ht="15.95" customHeight="1" x14ac:dyDescent="0.25">
      <c r="A483" s="16"/>
      <c r="B483" s="68">
        <f>SUBTOTAL(103,$K$480:K483)</f>
        <v>4</v>
      </c>
      <c r="C483" s="282">
        <v>4</v>
      </c>
      <c r="D483" s="53" t="s">
        <v>158</v>
      </c>
      <c r="E483" s="68" t="s">
        <v>19</v>
      </c>
      <c r="F483" s="54" t="s">
        <v>105</v>
      </c>
      <c r="G483" s="53" t="s">
        <v>4916</v>
      </c>
      <c r="H483" s="53" t="s">
        <v>4919</v>
      </c>
      <c r="I483" s="58" t="s">
        <v>458</v>
      </c>
      <c r="J483" s="58" t="s">
        <v>342</v>
      </c>
      <c r="K483" s="103" t="s">
        <v>4343</v>
      </c>
      <c r="L483" s="68" t="s">
        <v>170</v>
      </c>
      <c r="M483" s="68">
        <v>1</v>
      </c>
      <c r="N483" s="68" t="s">
        <v>150</v>
      </c>
      <c r="O483" s="58" t="s">
        <v>5037</v>
      </c>
      <c r="P483" s="53" t="s">
        <v>3895</v>
      </c>
      <c r="Q483" s="58" t="s">
        <v>1723</v>
      </c>
      <c r="R483" s="53">
        <v>2021</v>
      </c>
      <c r="S483" s="68" t="s">
        <v>153</v>
      </c>
      <c r="T483" s="53" t="s">
        <v>583</v>
      </c>
      <c r="U483" s="53" t="s">
        <v>527</v>
      </c>
      <c r="V483" s="53" t="s">
        <v>518</v>
      </c>
      <c r="W483" s="59" t="s">
        <v>153</v>
      </c>
      <c r="X483" s="57" t="s">
        <v>4343</v>
      </c>
      <c r="Y483" s="59"/>
      <c r="Z483" s="53"/>
      <c r="AA483" s="58"/>
      <c r="AB483" s="160" t="s">
        <v>156</v>
      </c>
      <c r="AC483" s="40" t="s">
        <v>157</v>
      </c>
      <c r="AD483" s="40" t="s">
        <v>157</v>
      </c>
      <c r="AF483" s="159"/>
      <c r="AG483" s="66" t="s">
        <v>1724</v>
      </c>
      <c r="AH483" s="40" t="s">
        <v>155</v>
      </c>
      <c r="AJ483" s="161" t="s">
        <v>1725</v>
      </c>
      <c r="AK483" s="150" t="s">
        <v>156</v>
      </c>
      <c r="AL483" s="160" t="s">
        <v>229</v>
      </c>
      <c r="AM483" s="66" t="s">
        <v>1726</v>
      </c>
      <c r="AN483" s="161" t="s">
        <v>1727</v>
      </c>
      <c r="AO483" s="162" t="s">
        <v>164</v>
      </c>
      <c r="AP483" s="66"/>
      <c r="AQ483" s="58" t="s">
        <v>613</v>
      </c>
      <c r="AR483" s="38"/>
      <c r="AT483" s="40"/>
      <c r="AU483" s="40"/>
      <c r="AV483" s="40">
        <v>7340301</v>
      </c>
      <c r="AW483" s="53">
        <v>243</v>
      </c>
      <c r="AY483" s="40"/>
      <c r="AZ483" s="40"/>
      <c r="BI483" s="36"/>
      <c r="BJ483" s="36"/>
      <c r="BK483" s="37"/>
      <c r="BN483" s="16"/>
      <c r="BO483" s="16"/>
    </row>
    <row r="484" spans="1:67" s="67" customFormat="1" ht="15.95" customHeight="1" x14ac:dyDescent="0.25">
      <c r="A484" s="16"/>
      <c r="B484" s="68">
        <f>SUBTOTAL(103,$K$480:K484)</f>
        <v>5</v>
      </c>
      <c r="C484" s="53">
        <v>5</v>
      </c>
      <c r="D484" s="53" t="s">
        <v>158</v>
      </c>
      <c r="E484" s="53" t="s">
        <v>19</v>
      </c>
      <c r="F484" s="54" t="s">
        <v>105</v>
      </c>
      <c r="G484" s="53" t="s">
        <v>4916</v>
      </c>
      <c r="H484" s="53" t="s">
        <v>4920</v>
      </c>
      <c r="I484" s="58" t="s">
        <v>1728</v>
      </c>
      <c r="J484" s="58" t="s">
        <v>205</v>
      </c>
      <c r="K484" s="103" t="s">
        <v>3980</v>
      </c>
      <c r="L484" s="53" t="s">
        <v>170</v>
      </c>
      <c r="M484" s="68">
        <v>1</v>
      </c>
      <c r="N484" s="53" t="s">
        <v>150</v>
      </c>
      <c r="O484" s="58" t="s">
        <v>5037</v>
      </c>
      <c r="P484" s="53" t="s">
        <v>3895</v>
      </c>
      <c r="Q484" s="58" t="s">
        <v>1723</v>
      </c>
      <c r="R484" s="53">
        <v>2011</v>
      </c>
      <c r="S484" s="53" t="s">
        <v>236</v>
      </c>
      <c r="T484" s="53" t="s">
        <v>693</v>
      </c>
      <c r="U484" s="53"/>
      <c r="V484" s="53" t="s">
        <v>434</v>
      </c>
      <c r="W484" s="59" t="s">
        <v>153</v>
      </c>
      <c r="X484" s="57" t="s">
        <v>3980</v>
      </c>
      <c r="Y484" s="59"/>
      <c r="Z484" s="53"/>
      <c r="AA484" s="58"/>
      <c r="AB484" s="76" t="s">
        <v>156</v>
      </c>
      <c r="AC484" s="58" t="s">
        <v>157</v>
      </c>
      <c r="AD484" s="58" t="s">
        <v>157</v>
      </c>
      <c r="AE484" s="58"/>
      <c r="AF484" s="159"/>
      <c r="AG484" s="58" t="s">
        <v>1729</v>
      </c>
      <c r="AH484" s="53"/>
      <c r="AI484" s="58"/>
      <c r="AJ484" s="65" t="s">
        <v>1730</v>
      </c>
      <c r="AK484" s="68" t="s">
        <v>156</v>
      </c>
      <c r="AL484" s="58" t="s">
        <v>550</v>
      </c>
      <c r="AM484" s="64" t="s">
        <v>1731</v>
      </c>
      <c r="AN484" s="65" t="s">
        <v>1732</v>
      </c>
      <c r="AO484" s="53" t="s">
        <v>164</v>
      </c>
      <c r="AP484" s="66"/>
      <c r="AQ484" s="58" t="s">
        <v>224</v>
      </c>
      <c r="AR484" s="38"/>
      <c r="AT484" s="40"/>
      <c r="AU484" s="40"/>
      <c r="AV484" s="54">
        <v>7340301</v>
      </c>
      <c r="AW484" s="53">
        <v>244</v>
      </c>
      <c r="AY484" s="40"/>
      <c r="AZ484" s="40"/>
      <c r="BI484" s="36"/>
      <c r="BJ484" s="36"/>
      <c r="BK484" s="37"/>
      <c r="BN484" s="16"/>
      <c r="BO484" s="16"/>
    </row>
    <row r="485" spans="1:67" s="67" customFormat="1" ht="15.95" customHeight="1" x14ac:dyDescent="0.25">
      <c r="A485" s="16"/>
      <c r="B485" s="68">
        <f>SUBTOTAL(103,$K$480:K485)</f>
        <v>6</v>
      </c>
      <c r="C485" s="282">
        <v>6</v>
      </c>
      <c r="D485" s="53" t="s">
        <v>158</v>
      </c>
      <c r="E485" s="53" t="s">
        <v>19</v>
      </c>
      <c r="F485" s="54" t="s">
        <v>105</v>
      </c>
      <c r="G485" s="53" t="s">
        <v>4916</v>
      </c>
      <c r="H485" s="53" t="s">
        <v>4921</v>
      </c>
      <c r="I485" s="58" t="s">
        <v>524</v>
      </c>
      <c r="J485" s="58" t="s">
        <v>934</v>
      </c>
      <c r="K485" s="103" t="s">
        <v>4344</v>
      </c>
      <c r="L485" s="53" t="s">
        <v>170</v>
      </c>
      <c r="M485" s="68">
        <v>1</v>
      </c>
      <c r="N485" s="53" t="s">
        <v>150</v>
      </c>
      <c r="O485" s="58" t="s">
        <v>5037</v>
      </c>
      <c r="P485" s="53" t="s">
        <v>3895</v>
      </c>
      <c r="Q485" s="58" t="s">
        <v>56</v>
      </c>
      <c r="R485" s="53">
        <v>2012</v>
      </c>
      <c r="S485" s="53" t="s">
        <v>337</v>
      </c>
      <c r="T485" s="53" t="s">
        <v>1475</v>
      </c>
      <c r="U485" s="53"/>
      <c r="V485" s="53"/>
      <c r="W485" s="53"/>
      <c r="X485" s="57" t="s">
        <v>4344</v>
      </c>
      <c r="Y485" s="59"/>
      <c r="Z485" s="53"/>
      <c r="AA485" s="58"/>
      <c r="AB485" s="256" t="s">
        <v>156</v>
      </c>
      <c r="AC485" s="93" t="s">
        <v>157</v>
      </c>
      <c r="AD485" s="93"/>
      <c r="AE485" s="93"/>
      <c r="AG485" s="93" t="s">
        <v>1733</v>
      </c>
      <c r="AH485" s="92" t="s">
        <v>155</v>
      </c>
      <c r="AI485" s="93"/>
      <c r="AJ485" s="95" t="s">
        <v>1734</v>
      </c>
      <c r="AK485" s="92" t="s">
        <v>156</v>
      </c>
      <c r="AL485" s="263" t="s">
        <v>229</v>
      </c>
      <c r="AM485" s="94" t="s">
        <v>1735</v>
      </c>
      <c r="AN485" s="95" t="s">
        <v>1736</v>
      </c>
      <c r="AO485" s="96" t="s">
        <v>164</v>
      </c>
      <c r="AP485" s="94" t="s">
        <v>1737</v>
      </c>
      <c r="AQ485" s="93" t="s">
        <v>554</v>
      </c>
      <c r="AR485" s="38"/>
      <c r="AT485" s="40"/>
      <c r="AU485" s="40"/>
      <c r="AV485" s="54">
        <v>7340301</v>
      </c>
      <c r="AW485" s="53">
        <v>245</v>
      </c>
      <c r="AY485" s="40"/>
      <c r="AZ485" s="40"/>
      <c r="BI485" s="36"/>
      <c r="BJ485" s="36"/>
      <c r="BK485" s="37"/>
      <c r="BN485" s="16"/>
      <c r="BO485" s="16"/>
    </row>
    <row r="486" spans="1:67" s="67" customFormat="1" ht="15.95" customHeight="1" x14ac:dyDescent="0.25">
      <c r="A486" s="16"/>
      <c r="B486" s="68">
        <f>SUBTOTAL(103,$K$480:K486)</f>
        <v>7</v>
      </c>
      <c r="C486" s="53">
        <v>7</v>
      </c>
      <c r="D486" s="53" t="s">
        <v>158</v>
      </c>
      <c r="E486" s="53" t="s">
        <v>19</v>
      </c>
      <c r="F486" s="342" t="s">
        <v>105</v>
      </c>
      <c r="G486" s="53" t="s">
        <v>4916</v>
      </c>
      <c r="H486" s="53" t="s">
        <v>4922</v>
      </c>
      <c r="I486" s="73" t="s">
        <v>314</v>
      </c>
      <c r="J486" s="74" t="s">
        <v>370</v>
      </c>
      <c r="K486" s="75" t="s">
        <v>4345</v>
      </c>
      <c r="L486" s="59" t="s">
        <v>170</v>
      </c>
      <c r="M486" s="68">
        <v>1</v>
      </c>
      <c r="N486" s="59" t="s">
        <v>150</v>
      </c>
      <c r="O486" s="58" t="s">
        <v>5037</v>
      </c>
      <c r="P486" s="53" t="s">
        <v>3895</v>
      </c>
      <c r="Q486" s="73" t="s">
        <v>1738</v>
      </c>
      <c r="R486" s="59" t="s">
        <v>1739</v>
      </c>
      <c r="S486" s="59" t="s">
        <v>337</v>
      </c>
      <c r="T486" s="59" t="s">
        <v>1740</v>
      </c>
      <c r="U486" s="59"/>
      <c r="V486" s="59" t="s">
        <v>654</v>
      </c>
      <c r="W486" s="59" t="s">
        <v>248</v>
      </c>
      <c r="X486" s="75" t="s">
        <v>4345</v>
      </c>
      <c r="Y486" s="59"/>
      <c r="Z486" s="59"/>
      <c r="AA486" s="58"/>
      <c r="AB486" s="256" t="s">
        <v>156</v>
      </c>
      <c r="AC486" s="263" t="s">
        <v>157</v>
      </c>
      <c r="AD486" s="263" t="s">
        <v>157</v>
      </c>
      <c r="AE486" s="263"/>
      <c r="AF486" s="160"/>
      <c r="AG486" s="263" t="s">
        <v>1741</v>
      </c>
      <c r="AH486" s="263" t="s">
        <v>155</v>
      </c>
      <c r="AI486" s="263"/>
      <c r="AJ486" s="273" t="s">
        <v>1742</v>
      </c>
      <c r="AK486" s="92" t="s">
        <v>156</v>
      </c>
      <c r="AL486" s="263" t="s">
        <v>436</v>
      </c>
      <c r="AM486" s="266" t="s">
        <v>1743</v>
      </c>
      <c r="AN486" s="273" t="s">
        <v>1744</v>
      </c>
      <c r="AO486" s="263" t="s">
        <v>164</v>
      </c>
      <c r="AP486" s="94"/>
      <c r="AQ486" s="93" t="s">
        <v>180</v>
      </c>
      <c r="AR486" s="38"/>
      <c r="AT486" s="40"/>
      <c r="AU486" s="40"/>
      <c r="AV486" s="54">
        <v>7340301</v>
      </c>
      <c r="AW486" s="53">
        <v>246</v>
      </c>
      <c r="AY486" s="40"/>
      <c r="AZ486" s="40"/>
      <c r="BI486" s="36"/>
      <c r="BJ486" s="36"/>
      <c r="BK486" s="37"/>
      <c r="BN486" s="16"/>
      <c r="BO486" s="16"/>
    </row>
    <row r="487" spans="1:67" s="67" customFormat="1" ht="15.95" customHeight="1" x14ac:dyDescent="0.25">
      <c r="A487" s="16"/>
      <c r="B487" s="68">
        <f>SUBTOTAL(103,$K$480:K487)</f>
        <v>8</v>
      </c>
      <c r="C487" s="282">
        <v>8</v>
      </c>
      <c r="D487" s="53" t="s">
        <v>158</v>
      </c>
      <c r="E487" s="53" t="s">
        <v>19</v>
      </c>
      <c r="F487" s="342" t="s">
        <v>105</v>
      </c>
      <c r="G487" s="53" t="s">
        <v>4916</v>
      </c>
      <c r="H487" s="53" t="s">
        <v>4923</v>
      </c>
      <c r="I487" s="58" t="s">
        <v>1745</v>
      </c>
      <c r="J487" s="106" t="s">
        <v>370</v>
      </c>
      <c r="K487" s="103" t="s">
        <v>4346</v>
      </c>
      <c r="L487" s="68" t="s">
        <v>170</v>
      </c>
      <c r="M487" s="68">
        <v>1</v>
      </c>
      <c r="N487" s="68" t="s">
        <v>150</v>
      </c>
      <c r="O487" s="58" t="s">
        <v>5037</v>
      </c>
      <c r="P487" s="53" t="s">
        <v>3895</v>
      </c>
      <c r="Q487" s="58" t="s">
        <v>54</v>
      </c>
      <c r="R487" s="53">
        <v>2017</v>
      </c>
      <c r="S487" s="68" t="s">
        <v>337</v>
      </c>
      <c r="T487" s="53" t="s">
        <v>1746</v>
      </c>
      <c r="U487" s="53"/>
      <c r="V487" s="53"/>
      <c r="W487" s="53"/>
      <c r="X487" s="57" t="s">
        <v>4346</v>
      </c>
      <c r="Y487" s="59"/>
      <c r="Z487" s="53"/>
      <c r="AA487" s="58"/>
      <c r="AB487" s="256" t="s">
        <v>156</v>
      </c>
      <c r="AC487" s="96" t="s">
        <v>157</v>
      </c>
      <c r="AD487" s="96"/>
      <c r="AE487" s="93"/>
      <c r="AF487" s="159"/>
      <c r="AG487" s="93" t="s">
        <v>1747</v>
      </c>
      <c r="AH487" s="96" t="s">
        <v>155</v>
      </c>
      <c r="AI487" s="93"/>
      <c r="AJ487" s="95" t="s">
        <v>1748</v>
      </c>
      <c r="AK487" s="92" t="s">
        <v>156</v>
      </c>
      <c r="AL487" s="263" t="s">
        <v>229</v>
      </c>
      <c r="AM487" s="94" t="s">
        <v>287</v>
      </c>
      <c r="AN487" s="95" t="s">
        <v>1749</v>
      </c>
      <c r="AO487" s="96" t="s">
        <v>164</v>
      </c>
      <c r="AP487" s="94" t="s">
        <v>1750</v>
      </c>
      <c r="AQ487" s="93" t="s">
        <v>1160</v>
      </c>
      <c r="AR487" s="38"/>
      <c r="AT487" s="40"/>
      <c r="AU487" s="40"/>
      <c r="AV487" s="54">
        <v>7340301</v>
      </c>
      <c r="AW487" s="53">
        <v>247</v>
      </c>
      <c r="AY487" s="40"/>
      <c r="AZ487" s="40"/>
      <c r="BI487" s="36"/>
      <c r="BJ487" s="36"/>
      <c r="BK487" s="37"/>
      <c r="BN487" s="16"/>
      <c r="BO487" s="16"/>
    </row>
    <row r="488" spans="1:67" s="67" customFormat="1" ht="15.95" customHeight="1" x14ac:dyDescent="0.25">
      <c r="A488" s="16"/>
      <c r="B488" s="68">
        <f>SUBTOTAL(103,$K$480:K488)</f>
        <v>9</v>
      </c>
      <c r="C488" s="53">
        <v>9</v>
      </c>
      <c r="D488" s="53" t="s">
        <v>158</v>
      </c>
      <c r="E488" s="53" t="s">
        <v>19</v>
      </c>
      <c r="F488" s="54" t="s">
        <v>106</v>
      </c>
      <c r="G488" s="53" t="s">
        <v>4916</v>
      </c>
      <c r="H488" s="42" t="s">
        <v>4924</v>
      </c>
      <c r="I488" s="58" t="s">
        <v>1751</v>
      </c>
      <c r="J488" s="58" t="s">
        <v>676</v>
      </c>
      <c r="K488" s="103" t="s">
        <v>4347</v>
      </c>
      <c r="L488" s="53" t="s">
        <v>149</v>
      </c>
      <c r="M488" s="53">
        <v>0</v>
      </c>
      <c r="N488" s="53" t="s">
        <v>150</v>
      </c>
      <c r="O488" s="58" t="s">
        <v>5037</v>
      </c>
      <c r="P488" s="53" t="s">
        <v>3895</v>
      </c>
      <c r="Q488" s="58" t="s">
        <v>62</v>
      </c>
      <c r="R488" s="53">
        <v>2023</v>
      </c>
      <c r="S488" s="53" t="s">
        <v>153</v>
      </c>
      <c r="T488" s="53"/>
      <c r="U488" s="53" t="s">
        <v>778</v>
      </c>
      <c r="V488" s="53" t="s">
        <v>154</v>
      </c>
      <c r="W488" s="53" t="s">
        <v>153</v>
      </c>
      <c r="X488" s="57" t="s">
        <v>4347</v>
      </c>
      <c r="Y488" s="59"/>
      <c r="Z488" s="53"/>
      <c r="AA488" s="58"/>
      <c r="AB488" s="256" t="s">
        <v>156</v>
      </c>
      <c r="AC488" s="93" t="s">
        <v>157</v>
      </c>
      <c r="AD488" s="93" t="s">
        <v>157</v>
      </c>
      <c r="AE488" s="93"/>
      <c r="AG488" s="94" t="s">
        <v>1752</v>
      </c>
      <c r="AH488" s="96" t="s">
        <v>155</v>
      </c>
      <c r="AI488" s="93"/>
      <c r="AJ488" s="95" t="s">
        <v>1753</v>
      </c>
      <c r="AK488" s="92" t="s">
        <v>156</v>
      </c>
      <c r="AL488" s="93" t="s">
        <v>495</v>
      </c>
      <c r="AM488" s="94" t="s">
        <v>1754</v>
      </c>
      <c r="AN488" s="95" t="s">
        <v>1755</v>
      </c>
      <c r="AO488" s="96" t="s">
        <v>164</v>
      </c>
      <c r="AP488" s="94"/>
      <c r="AQ488" s="94" t="s">
        <v>1279</v>
      </c>
      <c r="AU488" s="40"/>
      <c r="AV488" s="54">
        <v>7340301</v>
      </c>
      <c r="AW488" s="53">
        <v>248</v>
      </c>
      <c r="BJ488" s="40"/>
      <c r="BK488" s="40"/>
      <c r="BN488" s="16"/>
      <c r="BO488" s="16"/>
    </row>
    <row r="489" spans="1:67" s="67" customFormat="1" ht="15.95" customHeight="1" x14ac:dyDescent="0.25">
      <c r="A489" s="16"/>
      <c r="B489" s="68">
        <f>SUBTOTAL(103,$K$480:K489)</f>
        <v>10</v>
      </c>
      <c r="C489" s="282">
        <v>10</v>
      </c>
      <c r="D489" s="53" t="s">
        <v>158</v>
      </c>
      <c r="E489" s="53" t="s">
        <v>19</v>
      </c>
      <c r="F489" s="54" t="s">
        <v>106</v>
      </c>
      <c r="G489" s="53" t="s">
        <v>4916</v>
      </c>
      <c r="H489" s="42" t="s">
        <v>4925</v>
      </c>
      <c r="I489" s="58" t="s">
        <v>1756</v>
      </c>
      <c r="J489" s="58" t="s">
        <v>837</v>
      </c>
      <c r="K489" s="103" t="s">
        <v>4348</v>
      </c>
      <c r="L489" s="53" t="s">
        <v>170</v>
      </c>
      <c r="M489" s="68">
        <v>1</v>
      </c>
      <c r="N489" s="53" t="s">
        <v>150</v>
      </c>
      <c r="O489" s="58" t="s">
        <v>5037</v>
      </c>
      <c r="P489" s="53" t="s">
        <v>3895</v>
      </c>
      <c r="Q489" s="58" t="s">
        <v>281</v>
      </c>
      <c r="R489" s="53">
        <v>2023</v>
      </c>
      <c r="S489" s="53" t="s">
        <v>153</v>
      </c>
      <c r="T489" s="53"/>
      <c r="U489" s="53" t="s">
        <v>1757</v>
      </c>
      <c r="V489" s="53"/>
      <c r="W489" s="53"/>
      <c r="X489" s="57" t="s">
        <v>4348</v>
      </c>
      <c r="Y489" s="53"/>
      <c r="Z489" s="53"/>
      <c r="AA489" s="58"/>
      <c r="AB489" s="256" t="s">
        <v>156</v>
      </c>
      <c r="AC489" s="93" t="s">
        <v>157</v>
      </c>
      <c r="AD489" s="93"/>
      <c r="AE489" s="93"/>
      <c r="AG489" s="94" t="s">
        <v>1752</v>
      </c>
      <c r="AH489" s="96" t="s">
        <v>155</v>
      </c>
      <c r="AI489" s="93"/>
      <c r="AJ489" s="95" t="s">
        <v>1758</v>
      </c>
      <c r="AK489" s="92" t="s">
        <v>1759</v>
      </c>
      <c r="AL489" s="93" t="s">
        <v>1760</v>
      </c>
      <c r="AM489" s="94" t="s">
        <v>1761</v>
      </c>
      <c r="AN489" s="95" t="s">
        <v>1762</v>
      </c>
      <c r="AO489" s="96" t="s">
        <v>164</v>
      </c>
      <c r="AP489" s="94" t="s">
        <v>1763</v>
      </c>
      <c r="AQ489" s="94" t="s">
        <v>1764</v>
      </c>
      <c r="AU489" s="40"/>
      <c r="AV489" s="54">
        <v>7340301</v>
      </c>
      <c r="AW489" s="53">
        <v>249</v>
      </c>
      <c r="BJ489" s="40"/>
      <c r="BK489" s="40"/>
      <c r="BN489" s="16"/>
      <c r="BO489" s="16"/>
    </row>
    <row r="490" spans="1:67" s="67" customFormat="1" ht="15.95" customHeight="1" x14ac:dyDescent="0.25">
      <c r="A490" s="16"/>
      <c r="B490" s="68">
        <f>SUBTOTAL(103,$K$480:K490)</f>
        <v>11</v>
      </c>
      <c r="C490" s="53">
        <v>11</v>
      </c>
      <c r="D490" s="53" t="s">
        <v>158</v>
      </c>
      <c r="E490" s="68" t="s">
        <v>19</v>
      </c>
      <c r="F490" s="54" t="s">
        <v>106</v>
      </c>
      <c r="G490" s="53" t="s">
        <v>4916</v>
      </c>
      <c r="H490" s="42" t="s">
        <v>4926</v>
      </c>
      <c r="I490" s="58" t="s">
        <v>1765</v>
      </c>
      <c r="J490" s="58" t="s">
        <v>304</v>
      </c>
      <c r="K490" s="103" t="s">
        <v>4349</v>
      </c>
      <c r="L490" s="68" t="s">
        <v>170</v>
      </c>
      <c r="M490" s="68">
        <v>1</v>
      </c>
      <c r="N490" s="68" t="s">
        <v>150</v>
      </c>
      <c r="O490" s="58" t="s">
        <v>5037</v>
      </c>
      <c r="P490" s="53" t="s">
        <v>3895</v>
      </c>
      <c r="Q490" s="58" t="s">
        <v>54</v>
      </c>
      <c r="R490" s="53">
        <v>2023</v>
      </c>
      <c r="S490" s="68" t="s">
        <v>236</v>
      </c>
      <c r="T490" s="53" t="s">
        <v>548</v>
      </c>
      <c r="U490" s="53" t="s">
        <v>1766</v>
      </c>
      <c r="V490" s="53" t="s">
        <v>779</v>
      </c>
      <c r="W490" s="59" t="s">
        <v>153</v>
      </c>
      <c r="X490" s="57" t="s">
        <v>4349</v>
      </c>
      <c r="Y490" s="59"/>
      <c r="Z490" s="53"/>
      <c r="AA490" s="58"/>
      <c r="AB490" s="256" t="s">
        <v>156</v>
      </c>
      <c r="AC490" s="96"/>
      <c r="AD490" s="96" t="s">
        <v>157</v>
      </c>
      <c r="AE490" s="93"/>
      <c r="AF490" s="159"/>
      <c r="AG490" s="93" t="s">
        <v>1767</v>
      </c>
      <c r="AH490" s="96"/>
      <c r="AI490" s="93"/>
      <c r="AJ490" s="95" t="s">
        <v>1768</v>
      </c>
      <c r="AK490" s="92" t="s">
        <v>156</v>
      </c>
      <c r="AL490" s="263" t="s">
        <v>220</v>
      </c>
      <c r="AM490" s="266" t="s">
        <v>1769</v>
      </c>
      <c r="AN490" s="95" t="s">
        <v>1770</v>
      </c>
      <c r="AO490" s="283" t="s">
        <v>164</v>
      </c>
      <c r="AP490" s="94" t="s">
        <v>192</v>
      </c>
      <c r="AQ490" s="93" t="s">
        <v>865</v>
      </c>
      <c r="AR490" s="38"/>
      <c r="AT490" s="40"/>
      <c r="AU490" s="40"/>
      <c r="AV490" s="54">
        <v>7340301</v>
      </c>
      <c r="AW490" s="53">
        <v>250</v>
      </c>
      <c r="AY490" s="40"/>
      <c r="AZ490" s="40"/>
      <c r="BI490" s="36"/>
      <c r="BJ490" s="36"/>
      <c r="BK490" s="37"/>
      <c r="BN490" s="16"/>
      <c r="BO490" s="16"/>
    </row>
    <row r="491" spans="1:67" s="67" customFormat="1" ht="15.95" customHeight="1" x14ac:dyDescent="0.25">
      <c r="A491" s="16"/>
      <c r="B491" s="68">
        <f>SUBTOTAL(103,$K$480:K491)</f>
        <v>12</v>
      </c>
      <c r="C491" s="282">
        <v>12</v>
      </c>
      <c r="D491" s="53" t="s">
        <v>158</v>
      </c>
      <c r="E491" s="53" t="s">
        <v>19</v>
      </c>
      <c r="F491" s="54" t="s">
        <v>106</v>
      </c>
      <c r="G491" s="53" t="s">
        <v>4916</v>
      </c>
      <c r="H491" s="42" t="s">
        <v>4927</v>
      </c>
      <c r="I491" s="58" t="s">
        <v>1771</v>
      </c>
      <c r="J491" s="58" t="s">
        <v>1772</v>
      </c>
      <c r="K491" s="103" t="s">
        <v>4136</v>
      </c>
      <c r="L491" s="53" t="s">
        <v>170</v>
      </c>
      <c r="M491" s="68">
        <v>1</v>
      </c>
      <c r="N491" s="53" t="s">
        <v>150</v>
      </c>
      <c r="O491" s="58" t="s">
        <v>5037</v>
      </c>
      <c r="P491" s="53" t="s">
        <v>3895</v>
      </c>
      <c r="Q491" s="58" t="s">
        <v>3849</v>
      </c>
      <c r="R491" s="53">
        <v>2023</v>
      </c>
      <c r="S491" s="53" t="s">
        <v>236</v>
      </c>
      <c r="T491" s="53"/>
      <c r="U491" s="53" t="s">
        <v>558</v>
      </c>
      <c r="V491" s="53" t="s">
        <v>173</v>
      </c>
      <c r="W491" s="53" t="s">
        <v>153</v>
      </c>
      <c r="X491" s="57" t="s">
        <v>4136</v>
      </c>
      <c r="Y491" s="53"/>
      <c r="Z491" s="53"/>
      <c r="AA491" s="58"/>
      <c r="AB491" s="256" t="s">
        <v>156</v>
      </c>
      <c r="AC491" s="93" t="s">
        <v>157</v>
      </c>
      <c r="AD491" s="93" t="s">
        <v>157</v>
      </c>
      <c r="AE491" s="93"/>
      <c r="AG491" s="94" t="s">
        <v>1773</v>
      </c>
      <c r="AH491" s="40" t="s">
        <v>155</v>
      </c>
      <c r="AJ491" s="95" t="s">
        <v>1774</v>
      </c>
      <c r="AK491" s="92" t="s">
        <v>156</v>
      </c>
      <c r="AL491" s="93" t="s">
        <v>1775</v>
      </c>
      <c r="AM491" s="94" t="s">
        <v>1776</v>
      </c>
      <c r="AN491" s="95" t="s">
        <v>1777</v>
      </c>
      <c r="AO491" s="96" t="s">
        <v>164</v>
      </c>
      <c r="AP491" s="94" t="s">
        <v>131</v>
      </c>
      <c r="AQ491" s="284"/>
      <c r="AU491" s="40"/>
      <c r="AV491" s="54">
        <v>7340301</v>
      </c>
      <c r="AW491" s="53">
        <v>251</v>
      </c>
      <c r="BJ491" s="40"/>
      <c r="BK491" s="40"/>
      <c r="BN491" s="16"/>
      <c r="BO491" s="16"/>
    </row>
    <row r="492" spans="1:67" s="67" customFormat="1" ht="15.95" customHeight="1" x14ac:dyDescent="0.25">
      <c r="A492" s="16"/>
      <c r="B492" s="68">
        <f>SUBTOTAL(103,$K$480:K492)</f>
        <v>13</v>
      </c>
      <c r="C492" s="53">
        <v>13</v>
      </c>
      <c r="D492" s="53" t="s">
        <v>158</v>
      </c>
      <c r="E492" s="53" t="s">
        <v>19</v>
      </c>
      <c r="F492" s="54" t="s">
        <v>106</v>
      </c>
      <c r="G492" s="53" t="s">
        <v>4916</v>
      </c>
      <c r="H492" s="42" t="s">
        <v>4928</v>
      </c>
      <c r="I492" s="58" t="s">
        <v>1149</v>
      </c>
      <c r="J492" s="58" t="s">
        <v>149</v>
      </c>
      <c r="K492" s="103" t="s">
        <v>4350</v>
      </c>
      <c r="L492" s="53" t="s">
        <v>149</v>
      </c>
      <c r="M492" s="53">
        <v>0</v>
      </c>
      <c r="N492" s="68" t="s">
        <v>150</v>
      </c>
      <c r="O492" s="58" t="s">
        <v>5037</v>
      </c>
      <c r="P492" s="53" t="s">
        <v>3895</v>
      </c>
      <c r="Q492" s="58" t="s">
        <v>54</v>
      </c>
      <c r="R492" s="53">
        <v>2011</v>
      </c>
      <c r="S492" s="68" t="s">
        <v>248</v>
      </c>
      <c r="T492" s="53" t="s">
        <v>1778</v>
      </c>
      <c r="U492" s="53"/>
      <c r="V492" s="53"/>
      <c r="W492" s="59"/>
      <c r="X492" s="57" t="s">
        <v>4350</v>
      </c>
      <c r="Y492" s="59"/>
      <c r="Z492" s="53"/>
      <c r="AA492" s="58"/>
      <c r="AB492" s="256" t="s">
        <v>156</v>
      </c>
      <c r="AC492" s="93" t="s">
        <v>157</v>
      </c>
      <c r="AD492" s="96"/>
      <c r="AE492" s="96"/>
      <c r="AF492" s="159"/>
      <c r="AG492" s="93" t="s">
        <v>1779</v>
      </c>
      <c r="AH492" s="40" t="s">
        <v>155</v>
      </c>
      <c r="AJ492" s="95" t="s">
        <v>1780</v>
      </c>
      <c r="AK492" s="92" t="s">
        <v>156</v>
      </c>
      <c r="AL492" s="263" t="s">
        <v>550</v>
      </c>
      <c r="AM492" s="94" t="s">
        <v>1542</v>
      </c>
      <c r="AN492" s="95" t="s">
        <v>1781</v>
      </c>
      <c r="AO492" s="96" t="s">
        <v>164</v>
      </c>
      <c r="AP492" s="93" t="s">
        <v>1782</v>
      </c>
      <c r="AQ492" s="93" t="s">
        <v>277</v>
      </c>
      <c r="AR492" s="38"/>
      <c r="AT492" s="40"/>
      <c r="AU492" s="40"/>
      <c r="AV492" s="54">
        <v>7340301</v>
      </c>
      <c r="AW492" s="53">
        <v>252</v>
      </c>
      <c r="AY492" s="40"/>
      <c r="AZ492" s="40"/>
      <c r="BI492" s="36"/>
      <c r="BJ492" s="36"/>
      <c r="BK492" s="37"/>
      <c r="BN492" s="16"/>
      <c r="BO492" s="16"/>
    </row>
    <row r="493" spans="1:67" s="67" customFormat="1" ht="15.95" customHeight="1" x14ac:dyDescent="0.25">
      <c r="A493" s="16"/>
      <c r="B493" s="68">
        <f>SUBTOTAL(103,$K$480:K493)</f>
        <v>14</v>
      </c>
      <c r="C493" s="282">
        <v>14</v>
      </c>
      <c r="D493" s="53" t="s">
        <v>158</v>
      </c>
      <c r="E493" s="53" t="s">
        <v>19</v>
      </c>
      <c r="F493" s="54" t="s">
        <v>106</v>
      </c>
      <c r="G493" s="53" t="s">
        <v>4916</v>
      </c>
      <c r="H493" s="42" t="s">
        <v>4929</v>
      </c>
      <c r="I493" s="58" t="s">
        <v>1783</v>
      </c>
      <c r="J493" s="58" t="s">
        <v>730</v>
      </c>
      <c r="K493" s="103" t="s">
        <v>4351</v>
      </c>
      <c r="L493" s="53" t="s">
        <v>170</v>
      </c>
      <c r="M493" s="68">
        <v>1</v>
      </c>
      <c r="N493" s="53" t="s">
        <v>150</v>
      </c>
      <c r="O493" s="58" t="s">
        <v>5037</v>
      </c>
      <c r="P493" s="53" t="s">
        <v>3895</v>
      </c>
      <c r="Q493" s="58" t="s">
        <v>93</v>
      </c>
      <c r="R493" s="53">
        <v>2023</v>
      </c>
      <c r="S493" s="53" t="s">
        <v>236</v>
      </c>
      <c r="T493" s="53" t="s">
        <v>1784</v>
      </c>
      <c r="U493" s="53"/>
      <c r="V493" s="53" t="s">
        <v>607</v>
      </c>
      <c r="W493" s="53" t="s">
        <v>236</v>
      </c>
      <c r="X493" s="57" t="s">
        <v>4351</v>
      </c>
      <c r="Y493" s="53"/>
      <c r="Z493" s="53"/>
      <c r="AA493" s="58"/>
      <c r="AB493" s="256" t="s">
        <v>156</v>
      </c>
      <c r="AC493" s="93" t="s">
        <v>157</v>
      </c>
      <c r="AD493" s="96" t="s">
        <v>157</v>
      </c>
      <c r="AG493" s="93" t="s">
        <v>363</v>
      </c>
      <c r="AH493" s="96" t="s">
        <v>155</v>
      </c>
      <c r="AI493" s="93"/>
      <c r="AJ493" s="95" t="s">
        <v>1785</v>
      </c>
      <c r="AK493" s="92" t="s">
        <v>156</v>
      </c>
      <c r="AL493" s="263" t="s">
        <v>229</v>
      </c>
      <c r="AM493" s="266" t="s">
        <v>1491</v>
      </c>
      <c r="AN493" s="268" t="s">
        <v>1786</v>
      </c>
      <c r="AO493" s="96" t="s">
        <v>164</v>
      </c>
      <c r="AQ493" s="93" t="s">
        <v>799</v>
      </c>
      <c r="AR493" s="38"/>
      <c r="AT493" s="40"/>
      <c r="AU493" s="40"/>
      <c r="AV493" s="54">
        <v>7340301</v>
      </c>
      <c r="AW493" s="53">
        <v>253</v>
      </c>
      <c r="AY493" s="40"/>
      <c r="AZ493" s="40"/>
      <c r="BI493" s="36"/>
      <c r="BJ493" s="36"/>
      <c r="BK493" s="37"/>
      <c r="BN493" s="16"/>
      <c r="BO493" s="16"/>
    </row>
    <row r="494" spans="1:67" s="67" customFormat="1" ht="15.95" customHeight="1" x14ac:dyDescent="0.25">
      <c r="A494" s="16"/>
      <c r="B494" s="68">
        <f>SUBTOTAL(103,$K$480:K494)</f>
        <v>15</v>
      </c>
      <c r="C494" s="53">
        <v>15</v>
      </c>
      <c r="D494" s="53" t="s">
        <v>158</v>
      </c>
      <c r="E494" s="53" t="s">
        <v>19</v>
      </c>
      <c r="F494" s="54" t="s">
        <v>106</v>
      </c>
      <c r="G494" s="53" t="s">
        <v>4916</v>
      </c>
      <c r="H494" s="42" t="s">
        <v>4930</v>
      </c>
      <c r="I494" s="58" t="s">
        <v>472</v>
      </c>
      <c r="J494" s="58" t="s">
        <v>183</v>
      </c>
      <c r="K494" s="103" t="s">
        <v>4352</v>
      </c>
      <c r="L494" s="53" t="s">
        <v>170</v>
      </c>
      <c r="M494" s="68">
        <v>1</v>
      </c>
      <c r="N494" s="53" t="s">
        <v>150</v>
      </c>
      <c r="O494" s="58" t="s">
        <v>5037</v>
      </c>
      <c r="P494" s="53" t="s">
        <v>3895</v>
      </c>
      <c r="Q494" s="58" t="s">
        <v>1787</v>
      </c>
      <c r="R494" s="53">
        <v>2012</v>
      </c>
      <c r="S494" s="53" t="s">
        <v>153</v>
      </c>
      <c r="T494" s="53"/>
      <c r="U494" s="53" t="s">
        <v>1405</v>
      </c>
      <c r="V494" s="53" t="s">
        <v>411</v>
      </c>
      <c r="W494" s="53" t="s">
        <v>153</v>
      </c>
      <c r="X494" s="57" t="s">
        <v>4352</v>
      </c>
      <c r="Y494" s="53"/>
      <c r="Z494" s="53"/>
      <c r="AA494" s="58"/>
      <c r="AB494" s="256" t="s">
        <v>156</v>
      </c>
      <c r="AC494" s="93" t="s">
        <v>157</v>
      </c>
      <c r="AD494" s="93" t="s">
        <v>157</v>
      </c>
      <c r="AG494" s="94" t="s">
        <v>228</v>
      </c>
      <c r="AH494" s="96" t="s">
        <v>155</v>
      </c>
      <c r="AI494" s="93"/>
      <c r="AJ494" s="95" t="s">
        <v>1788</v>
      </c>
      <c r="AK494" s="92" t="s">
        <v>156</v>
      </c>
      <c r="AL494" s="93" t="s">
        <v>229</v>
      </c>
      <c r="AM494" s="94" t="s">
        <v>1789</v>
      </c>
      <c r="AN494" s="95" t="s">
        <v>1790</v>
      </c>
      <c r="AO494" s="96" t="s">
        <v>164</v>
      </c>
      <c r="AP494" s="66"/>
      <c r="AQ494" s="284" t="s">
        <v>587</v>
      </c>
      <c r="AU494" s="40"/>
      <c r="AV494" s="54">
        <v>7340301</v>
      </c>
      <c r="AW494" s="53">
        <v>254</v>
      </c>
      <c r="BJ494" s="40"/>
      <c r="BK494" s="40"/>
      <c r="BN494" s="16"/>
      <c r="BO494" s="16"/>
    </row>
    <row r="495" spans="1:67" s="67" customFormat="1" ht="15.95" customHeight="1" x14ac:dyDescent="0.25">
      <c r="A495" s="16"/>
      <c r="B495" s="68">
        <f>SUBTOTAL(103,$K$480:K495)</f>
        <v>16</v>
      </c>
      <c r="C495" s="282">
        <v>16</v>
      </c>
      <c r="D495" s="53" t="s">
        <v>158</v>
      </c>
      <c r="E495" s="53" t="s">
        <v>19</v>
      </c>
      <c r="F495" s="54" t="s">
        <v>106</v>
      </c>
      <c r="G495" s="53" t="s">
        <v>4916</v>
      </c>
      <c r="H495" s="42" t="s">
        <v>4931</v>
      </c>
      <c r="I495" s="58" t="s">
        <v>843</v>
      </c>
      <c r="J495" s="58" t="s">
        <v>1467</v>
      </c>
      <c r="K495" s="103" t="s">
        <v>4353</v>
      </c>
      <c r="L495" s="53" t="s">
        <v>1067</v>
      </c>
      <c r="M495" s="68">
        <v>1</v>
      </c>
      <c r="N495" s="68" t="s">
        <v>574</v>
      </c>
      <c r="O495" s="58" t="s">
        <v>5037</v>
      </c>
      <c r="P495" s="53" t="s">
        <v>3895</v>
      </c>
      <c r="Q495" s="58" t="s">
        <v>46</v>
      </c>
      <c r="R495" s="53">
        <v>2016</v>
      </c>
      <c r="S495" s="68" t="s">
        <v>153</v>
      </c>
      <c r="T495" s="53" t="s">
        <v>172</v>
      </c>
      <c r="U495" s="53"/>
      <c r="V495" s="53"/>
      <c r="W495" s="53"/>
      <c r="X495" s="57" t="s">
        <v>4353</v>
      </c>
      <c r="Y495" s="59"/>
      <c r="Z495" s="53"/>
      <c r="AA495" s="58"/>
      <c r="AB495" s="256" t="s">
        <v>156</v>
      </c>
      <c r="AC495" s="96"/>
      <c r="AD495" s="96"/>
      <c r="AF495" s="159"/>
      <c r="AG495" s="93" t="s">
        <v>1406</v>
      </c>
      <c r="AH495" s="96" t="s">
        <v>155</v>
      </c>
      <c r="AI495" s="93"/>
      <c r="AJ495" s="95" t="s">
        <v>1791</v>
      </c>
      <c r="AK495" s="92" t="s">
        <v>156</v>
      </c>
      <c r="AL495" s="263" t="s">
        <v>189</v>
      </c>
      <c r="AM495" s="94" t="s">
        <v>1792</v>
      </c>
      <c r="AN495" s="95" t="s">
        <v>1793</v>
      </c>
      <c r="AO495" s="96" t="s">
        <v>164</v>
      </c>
      <c r="AP495" s="66"/>
      <c r="AQ495" s="93" t="s">
        <v>334</v>
      </c>
      <c r="AR495" s="38"/>
      <c r="AT495" s="40"/>
      <c r="AU495" s="40"/>
      <c r="AV495" s="54">
        <v>7340301</v>
      </c>
      <c r="AW495" s="53">
        <v>255</v>
      </c>
      <c r="AY495" s="40"/>
      <c r="AZ495" s="40"/>
      <c r="BI495" s="36"/>
      <c r="BJ495" s="36"/>
      <c r="BK495" s="37"/>
      <c r="BN495" s="16"/>
      <c r="BO495" s="16"/>
    </row>
    <row r="496" spans="1:67" s="67" customFormat="1" ht="15.95" customHeight="1" x14ac:dyDescent="0.25">
      <c r="A496" s="16"/>
      <c r="B496" s="68">
        <f>SUBTOTAL(103,$K$480:K496)</f>
        <v>17</v>
      </c>
      <c r="C496" s="53">
        <v>17</v>
      </c>
      <c r="D496" s="53" t="s">
        <v>158</v>
      </c>
      <c r="E496" s="68" t="s">
        <v>19</v>
      </c>
      <c r="F496" s="342" t="s">
        <v>104</v>
      </c>
      <c r="G496" s="53" t="s">
        <v>4916</v>
      </c>
      <c r="H496" s="76" t="s">
        <v>4932</v>
      </c>
      <c r="I496" s="73" t="s">
        <v>1794</v>
      </c>
      <c r="J496" s="74" t="s">
        <v>676</v>
      </c>
      <c r="K496" s="75" t="s">
        <v>4354</v>
      </c>
      <c r="L496" s="59" t="s">
        <v>170</v>
      </c>
      <c r="M496" s="68">
        <v>1</v>
      </c>
      <c r="N496" s="59" t="s">
        <v>150</v>
      </c>
      <c r="O496" s="58" t="s">
        <v>5037</v>
      </c>
      <c r="P496" s="53" t="s">
        <v>3895</v>
      </c>
      <c r="Q496" s="73" t="s">
        <v>56</v>
      </c>
      <c r="R496" s="59" t="s">
        <v>306</v>
      </c>
      <c r="S496" s="59" t="s">
        <v>248</v>
      </c>
      <c r="T496" s="59" t="s">
        <v>654</v>
      </c>
      <c r="U496" s="59"/>
      <c r="V496" s="59" t="s">
        <v>384</v>
      </c>
      <c r="W496" s="59" t="s">
        <v>153</v>
      </c>
      <c r="X496" s="75" t="s">
        <v>4354</v>
      </c>
      <c r="Y496" s="59" t="s">
        <v>1810</v>
      </c>
      <c r="Z496" s="59" t="s">
        <v>3850</v>
      </c>
      <c r="AA496" s="58"/>
      <c r="AB496" s="76" t="s">
        <v>156</v>
      </c>
      <c r="AC496" s="59" t="s">
        <v>157</v>
      </c>
      <c r="AD496" s="59" t="s">
        <v>157</v>
      </c>
      <c r="AE496" s="59"/>
      <c r="AF496" s="59"/>
      <c r="AG496" s="59" t="s">
        <v>1795</v>
      </c>
      <c r="AH496" s="59" t="s">
        <v>155</v>
      </c>
      <c r="AI496" s="59"/>
      <c r="AJ496" s="77" t="s">
        <v>1796</v>
      </c>
      <c r="AK496" s="68" t="s">
        <v>156</v>
      </c>
      <c r="AL496" s="71" t="s">
        <v>1178</v>
      </c>
      <c r="AM496" s="74" t="s">
        <v>1797</v>
      </c>
      <c r="AN496" s="78" t="s">
        <v>1798</v>
      </c>
      <c r="AO496" s="59" t="s">
        <v>164</v>
      </c>
      <c r="AP496" s="64"/>
      <c r="AQ496" s="58" t="s">
        <v>313</v>
      </c>
      <c r="AR496" s="41"/>
      <c r="AS496" s="58"/>
      <c r="AT496" s="53"/>
      <c r="AU496" s="54"/>
      <c r="AV496" s="54">
        <v>7340301</v>
      </c>
      <c r="AW496" s="53">
        <v>256</v>
      </c>
      <c r="AX496" s="60"/>
      <c r="AY496" s="40"/>
      <c r="AZ496" s="40"/>
      <c r="BI496" s="36"/>
      <c r="BJ496" s="36"/>
      <c r="BK496" s="37"/>
      <c r="BN496" s="16"/>
      <c r="BO496" s="16"/>
    </row>
    <row r="497" spans="1:67" s="67" customFormat="1" ht="15.95" customHeight="1" x14ac:dyDescent="0.25">
      <c r="A497" s="16"/>
      <c r="B497" s="68">
        <f>SUBTOTAL(103,$K$480:K497)</f>
        <v>18</v>
      </c>
      <c r="C497" s="282">
        <v>18</v>
      </c>
      <c r="D497" s="53" t="s">
        <v>158</v>
      </c>
      <c r="E497" s="53" t="s">
        <v>19</v>
      </c>
      <c r="F497" s="54" t="s">
        <v>104</v>
      </c>
      <c r="G497" s="53" t="s">
        <v>4916</v>
      </c>
      <c r="H497" s="76" t="s">
        <v>4933</v>
      </c>
      <c r="I497" s="58" t="s">
        <v>182</v>
      </c>
      <c r="J497" s="58" t="s">
        <v>1799</v>
      </c>
      <c r="K497" s="103" t="s">
        <v>4355</v>
      </c>
      <c r="L497" s="53" t="s">
        <v>170</v>
      </c>
      <c r="M497" s="68">
        <v>1</v>
      </c>
      <c r="N497" s="53" t="s">
        <v>150</v>
      </c>
      <c r="O497" s="58" t="s">
        <v>5037</v>
      </c>
      <c r="P497" s="53" t="s">
        <v>3895</v>
      </c>
      <c r="Q497" s="58" t="s">
        <v>1800</v>
      </c>
      <c r="R497" s="53">
        <v>2009</v>
      </c>
      <c r="S497" s="53" t="s">
        <v>337</v>
      </c>
      <c r="T497" s="53" t="s">
        <v>1013</v>
      </c>
      <c r="U497" s="53"/>
      <c r="V497" s="53" t="s">
        <v>518</v>
      </c>
      <c r="W497" s="53" t="s">
        <v>153</v>
      </c>
      <c r="X497" s="57" t="s">
        <v>4355</v>
      </c>
      <c r="Y497" s="53" t="s">
        <v>3848</v>
      </c>
      <c r="Z497" s="53">
        <v>18.7</v>
      </c>
      <c r="AA497" s="58"/>
      <c r="AB497" s="76" t="s">
        <v>156</v>
      </c>
      <c r="AC497" s="58" t="s">
        <v>157</v>
      </c>
      <c r="AD497" s="58" t="s">
        <v>157</v>
      </c>
      <c r="AE497" s="58"/>
      <c r="AF497" s="58"/>
      <c r="AG497" s="64" t="s">
        <v>1801</v>
      </c>
      <c r="AH497" s="53" t="s">
        <v>155</v>
      </c>
      <c r="AI497" s="58"/>
      <c r="AJ497" s="61" t="s">
        <v>1802</v>
      </c>
      <c r="AK497" s="68" t="s">
        <v>156</v>
      </c>
      <c r="AL497" s="63" t="s">
        <v>712</v>
      </c>
      <c r="AM497" s="64" t="s">
        <v>1803</v>
      </c>
      <c r="AN497" s="65" t="s">
        <v>1804</v>
      </c>
      <c r="AO497" s="53" t="s">
        <v>164</v>
      </c>
      <c r="AP497" s="64"/>
      <c r="AQ497" s="169"/>
      <c r="AR497" s="58"/>
      <c r="AS497" s="58"/>
      <c r="AT497" s="58"/>
      <c r="AU497" s="54"/>
      <c r="AV497" s="54">
        <v>7340301</v>
      </c>
      <c r="AW497" s="53">
        <v>257</v>
      </c>
      <c r="AX497" s="60"/>
      <c r="BJ497" s="40"/>
      <c r="BK497" s="40"/>
      <c r="BN497" s="16"/>
      <c r="BO497" s="16"/>
    </row>
    <row r="498" spans="1:67" s="67" customFormat="1" ht="15.95" customHeight="1" x14ac:dyDescent="0.25">
      <c r="A498" s="16"/>
      <c r="B498" s="68">
        <f>SUBTOTAL(103,$K$480:K498)</f>
        <v>19</v>
      </c>
      <c r="C498" s="53">
        <v>19</v>
      </c>
      <c r="D498" s="53" t="s">
        <v>158</v>
      </c>
      <c r="E498" s="53" t="s">
        <v>19</v>
      </c>
      <c r="F498" s="342" t="s">
        <v>104</v>
      </c>
      <c r="G498" s="53" t="s">
        <v>4916</v>
      </c>
      <c r="H498" s="76" t="s">
        <v>4934</v>
      </c>
      <c r="I498" s="73" t="s">
        <v>1805</v>
      </c>
      <c r="J498" s="74" t="s">
        <v>1806</v>
      </c>
      <c r="K498" s="75" t="s">
        <v>4356</v>
      </c>
      <c r="L498" s="59" t="s">
        <v>170</v>
      </c>
      <c r="M498" s="68">
        <v>1</v>
      </c>
      <c r="N498" s="59" t="s">
        <v>150</v>
      </c>
      <c r="O498" s="58" t="s">
        <v>5037</v>
      </c>
      <c r="P498" s="53" t="s">
        <v>3895</v>
      </c>
      <c r="Q498" s="73" t="s">
        <v>1723</v>
      </c>
      <c r="R498" s="59" t="s">
        <v>152</v>
      </c>
      <c r="S498" s="59" t="s">
        <v>153</v>
      </c>
      <c r="T498" s="59" t="s">
        <v>384</v>
      </c>
      <c r="U498" s="59"/>
      <c r="V498" s="59" t="s">
        <v>685</v>
      </c>
      <c r="W498" s="59" t="s">
        <v>818</v>
      </c>
      <c r="X498" s="75" t="s">
        <v>4356</v>
      </c>
      <c r="Y498" s="59" t="s">
        <v>1969</v>
      </c>
      <c r="Z498" s="59" t="s">
        <v>3851</v>
      </c>
      <c r="AA498" s="58"/>
      <c r="AB498" s="76" t="s">
        <v>156</v>
      </c>
      <c r="AC498" s="58" t="s">
        <v>157</v>
      </c>
      <c r="AD498" s="59" t="s">
        <v>157</v>
      </c>
      <c r="AE498" s="59"/>
      <c r="AF498" s="59"/>
      <c r="AG498" s="59" t="s">
        <v>1807</v>
      </c>
      <c r="AH498" s="59" t="s">
        <v>155</v>
      </c>
      <c r="AI498" s="59"/>
      <c r="AJ498" s="77" t="s">
        <v>1808</v>
      </c>
      <c r="AK498" s="68" t="s">
        <v>156</v>
      </c>
      <c r="AL498" s="58" t="s">
        <v>229</v>
      </c>
      <c r="AM498" s="64" t="s">
        <v>1346</v>
      </c>
      <c r="AN498" s="78" t="s">
        <v>1809</v>
      </c>
      <c r="AO498" s="59" t="s">
        <v>164</v>
      </c>
      <c r="AP498" s="64"/>
      <c r="AQ498" s="80" t="s">
        <v>368</v>
      </c>
      <c r="AR498" s="274"/>
      <c r="AS498" s="58"/>
      <c r="AT498" s="53"/>
      <c r="AU498" s="54"/>
      <c r="AV498" s="54">
        <v>7340301</v>
      </c>
      <c r="AW498" s="53">
        <v>258</v>
      </c>
      <c r="AX498" s="60"/>
      <c r="AY498" s="40"/>
      <c r="AZ498" s="40"/>
      <c r="BI498" s="36"/>
      <c r="BJ498" s="36"/>
      <c r="BK498" s="37"/>
      <c r="BN498" s="16"/>
      <c r="BO498" s="16"/>
    </row>
    <row r="499" spans="1:67" s="67" customFormat="1" ht="15.95" customHeight="1" x14ac:dyDescent="0.25">
      <c r="A499" s="16"/>
      <c r="B499" s="68">
        <f>SUBTOTAL(103,$K$480:K499)</f>
        <v>20</v>
      </c>
      <c r="C499" s="282">
        <v>20</v>
      </c>
      <c r="D499" s="53" t="s">
        <v>158</v>
      </c>
      <c r="E499" s="68" t="s">
        <v>19</v>
      </c>
      <c r="F499" s="342" t="s">
        <v>639</v>
      </c>
      <c r="G499" s="53" t="s">
        <v>4916</v>
      </c>
      <c r="H499" s="76" t="s">
        <v>4935</v>
      </c>
      <c r="I499" s="58" t="s">
        <v>182</v>
      </c>
      <c r="J499" s="58" t="s">
        <v>565</v>
      </c>
      <c r="K499" s="103" t="s">
        <v>4357</v>
      </c>
      <c r="L499" s="68" t="s">
        <v>170</v>
      </c>
      <c r="M499" s="68">
        <v>1</v>
      </c>
      <c r="N499" s="68" t="s">
        <v>150</v>
      </c>
      <c r="O499" s="58" t="s">
        <v>5037</v>
      </c>
      <c r="P499" s="53" t="s">
        <v>3895</v>
      </c>
      <c r="Q499" s="58"/>
      <c r="R499" s="53">
        <v>2012</v>
      </c>
      <c r="S499" s="68"/>
      <c r="T499" s="53"/>
      <c r="U499" s="53"/>
      <c r="V499" s="53" t="s">
        <v>434</v>
      </c>
      <c r="W499" s="59" t="s">
        <v>153</v>
      </c>
      <c r="X499" s="57" t="s">
        <v>4357</v>
      </c>
      <c r="Y499" s="59" t="s">
        <v>1810</v>
      </c>
      <c r="Z499" s="53" t="s">
        <v>1811</v>
      </c>
      <c r="AA499" s="58"/>
      <c r="AB499" s="76" t="s">
        <v>156</v>
      </c>
      <c r="AC499" s="53" t="s">
        <v>157</v>
      </c>
      <c r="AD499" s="53" t="s">
        <v>157</v>
      </c>
      <c r="AE499" s="58"/>
      <c r="AF499" s="148"/>
      <c r="AG499" s="74" t="s">
        <v>1812</v>
      </c>
      <c r="AH499" s="53"/>
      <c r="AI499" s="58"/>
      <c r="AJ499" s="61" t="s">
        <v>1813</v>
      </c>
      <c r="AK499" s="68" t="s">
        <v>156</v>
      </c>
      <c r="AL499" s="71" t="s">
        <v>264</v>
      </c>
      <c r="AM499" s="64" t="s">
        <v>1814</v>
      </c>
      <c r="AN499" s="65" t="s">
        <v>1815</v>
      </c>
      <c r="AO499" s="53" t="s">
        <v>164</v>
      </c>
      <c r="AP499" s="64"/>
      <c r="AQ499" s="58" t="s">
        <v>968</v>
      </c>
      <c r="AR499" s="41"/>
      <c r="AS499" s="58"/>
      <c r="AT499" s="53"/>
      <c r="AU499" s="54"/>
      <c r="AV499" s="54">
        <v>7340301</v>
      </c>
      <c r="AW499" s="53">
        <v>259</v>
      </c>
      <c r="AX499" s="60"/>
      <c r="AY499" s="40"/>
      <c r="AZ499" s="40"/>
      <c r="BI499" s="36"/>
      <c r="BJ499" s="36"/>
      <c r="BK499" s="37"/>
      <c r="BN499" s="16"/>
      <c r="BO499" s="16"/>
    </row>
    <row r="500" spans="1:67" s="67" customFormat="1" ht="15.95" customHeight="1" x14ac:dyDescent="0.25">
      <c r="A500" s="16"/>
      <c r="B500" s="68">
        <f>SUBTOTAL(103,$K$480:K500)</f>
        <v>21</v>
      </c>
      <c r="C500" s="53">
        <v>21</v>
      </c>
      <c r="D500" s="53" t="s">
        <v>158</v>
      </c>
      <c r="E500" s="68" t="s">
        <v>19</v>
      </c>
      <c r="F500" s="54" t="s">
        <v>639</v>
      </c>
      <c r="G500" s="53" t="s">
        <v>4916</v>
      </c>
      <c r="H500" s="76" t="s">
        <v>4936</v>
      </c>
      <c r="I500" s="58" t="s">
        <v>314</v>
      </c>
      <c r="J500" s="58" t="s">
        <v>459</v>
      </c>
      <c r="K500" s="75" t="s">
        <v>4358</v>
      </c>
      <c r="L500" s="59" t="s">
        <v>170</v>
      </c>
      <c r="M500" s="68">
        <v>1</v>
      </c>
      <c r="N500" s="59" t="s">
        <v>150</v>
      </c>
      <c r="O500" s="58" t="s">
        <v>5037</v>
      </c>
      <c r="P500" s="53" t="s">
        <v>3895</v>
      </c>
      <c r="Q500" s="58"/>
      <c r="R500" s="53">
        <v>2019</v>
      </c>
      <c r="S500" s="68"/>
      <c r="T500" s="53"/>
      <c r="U500" s="53"/>
      <c r="V500" s="53" t="s">
        <v>154</v>
      </c>
      <c r="W500" s="53" t="s">
        <v>153</v>
      </c>
      <c r="X500" s="75" t="s">
        <v>4358</v>
      </c>
      <c r="Y500" s="59" t="s">
        <v>686</v>
      </c>
      <c r="Z500" s="53" t="s">
        <v>1816</v>
      </c>
      <c r="AA500" s="58"/>
      <c r="AB500" s="76" t="s">
        <v>156</v>
      </c>
      <c r="AC500" s="53" t="s">
        <v>157</v>
      </c>
      <c r="AD500" s="53" t="s">
        <v>157</v>
      </c>
      <c r="AE500" s="58"/>
      <c r="AF500" s="148"/>
      <c r="AG500" s="58" t="s">
        <v>839</v>
      </c>
      <c r="AH500" s="53"/>
      <c r="AI500" s="58"/>
      <c r="AJ500" s="167" t="s">
        <v>1817</v>
      </c>
      <c r="AK500" s="62" t="s">
        <v>156</v>
      </c>
      <c r="AL500" s="71" t="s">
        <v>1818</v>
      </c>
      <c r="AM500" s="79" t="s">
        <v>1819</v>
      </c>
      <c r="AN500" s="157" t="s">
        <v>1820</v>
      </c>
      <c r="AO500" s="71" t="s">
        <v>164</v>
      </c>
      <c r="AP500" s="64"/>
      <c r="AQ500" s="58" t="s">
        <v>313</v>
      </c>
      <c r="AR500" s="41"/>
      <c r="AS500" s="58"/>
      <c r="AT500" s="53"/>
      <c r="AU500" s="54"/>
      <c r="AV500" s="54">
        <v>7340301</v>
      </c>
      <c r="AW500" s="53">
        <v>260</v>
      </c>
      <c r="AX500" s="60"/>
      <c r="AY500" s="40"/>
      <c r="AZ500" s="40"/>
      <c r="BI500" s="36"/>
      <c r="BJ500" s="36"/>
      <c r="BK500" s="37"/>
      <c r="BN500" s="16"/>
      <c r="BO500" s="16"/>
    </row>
    <row r="501" spans="1:67" s="67" customFormat="1" ht="15.95" customHeight="1" x14ac:dyDescent="0.25">
      <c r="A501" s="16"/>
      <c r="B501" s="68">
        <f>SUBTOTAL(103,$K$480:K501)</f>
        <v>22</v>
      </c>
      <c r="C501" s="282">
        <v>22</v>
      </c>
      <c r="D501" s="53" t="s">
        <v>158</v>
      </c>
      <c r="E501" s="68" t="s">
        <v>19</v>
      </c>
      <c r="F501" s="54" t="s">
        <v>639</v>
      </c>
      <c r="G501" s="53" t="s">
        <v>4916</v>
      </c>
      <c r="H501" s="76" t="s">
        <v>4937</v>
      </c>
      <c r="I501" s="58" t="s">
        <v>1821</v>
      </c>
      <c r="J501" s="58" t="s">
        <v>1426</v>
      </c>
      <c r="K501" s="103" t="s">
        <v>4359</v>
      </c>
      <c r="L501" s="68" t="s">
        <v>170</v>
      </c>
      <c r="M501" s="68">
        <v>1</v>
      </c>
      <c r="N501" s="68" t="s">
        <v>509</v>
      </c>
      <c r="O501" s="58" t="s">
        <v>5037</v>
      </c>
      <c r="P501" s="53" t="s">
        <v>3895</v>
      </c>
      <c r="Q501" s="58"/>
      <c r="R501" s="53">
        <v>2021</v>
      </c>
      <c r="S501" s="68"/>
      <c r="T501" s="53"/>
      <c r="U501" s="53"/>
      <c r="V501" s="53" t="s">
        <v>779</v>
      </c>
      <c r="W501" s="53" t="s">
        <v>153</v>
      </c>
      <c r="X501" s="57" t="s">
        <v>4359</v>
      </c>
      <c r="Y501" s="53" t="s">
        <v>1695</v>
      </c>
      <c r="Z501" s="53" t="s">
        <v>1822</v>
      </c>
      <c r="AA501" s="58"/>
      <c r="AB501" s="76" t="s">
        <v>156</v>
      </c>
      <c r="AC501" s="53" t="s">
        <v>157</v>
      </c>
      <c r="AD501" s="53" t="s">
        <v>157</v>
      </c>
      <c r="AE501" s="58"/>
      <c r="AF501" s="148"/>
      <c r="AG501" s="58" t="s">
        <v>1823</v>
      </c>
      <c r="AH501" s="53"/>
      <c r="AI501" s="58"/>
      <c r="AJ501" s="167" t="s">
        <v>1824</v>
      </c>
      <c r="AK501" s="62" t="s">
        <v>156</v>
      </c>
      <c r="AL501" s="71" t="s">
        <v>387</v>
      </c>
      <c r="AM501" s="102" t="s">
        <v>1825</v>
      </c>
      <c r="AN501" s="157" t="s">
        <v>1826</v>
      </c>
      <c r="AO501" s="152" t="s">
        <v>632</v>
      </c>
      <c r="AP501" s="66"/>
      <c r="AQ501" s="58" t="s">
        <v>1002</v>
      </c>
      <c r="AR501" s="41"/>
      <c r="AS501" s="58"/>
      <c r="AT501" s="53"/>
      <c r="AU501" s="54"/>
      <c r="AV501" s="54">
        <v>7340301</v>
      </c>
      <c r="AW501" s="53">
        <v>261</v>
      </c>
      <c r="AX501" s="60"/>
      <c r="AY501" s="40"/>
      <c r="AZ501" s="40"/>
      <c r="BI501" s="36"/>
      <c r="BJ501" s="36"/>
      <c r="BK501" s="37"/>
      <c r="BN501" s="16"/>
      <c r="BO501" s="16"/>
    </row>
    <row r="502" spans="1:67" s="67" customFormat="1" ht="15.95" customHeight="1" x14ac:dyDescent="0.25">
      <c r="A502" s="16"/>
      <c r="B502" s="68">
        <f>SUBTOTAL(103,$K$480:K502)</f>
        <v>23</v>
      </c>
      <c r="C502" s="53">
        <v>23</v>
      </c>
      <c r="D502" s="53" t="s">
        <v>158</v>
      </c>
      <c r="E502" s="53" t="s">
        <v>19</v>
      </c>
      <c r="F502" s="54" t="s">
        <v>639</v>
      </c>
      <c r="G502" s="53" t="s">
        <v>4916</v>
      </c>
      <c r="H502" s="76" t="s">
        <v>4938</v>
      </c>
      <c r="I502" s="58" t="s">
        <v>1115</v>
      </c>
      <c r="J502" s="58" t="s">
        <v>400</v>
      </c>
      <c r="K502" s="103" t="s">
        <v>4360</v>
      </c>
      <c r="L502" s="53" t="s">
        <v>170</v>
      </c>
      <c r="M502" s="68">
        <v>1</v>
      </c>
      <c r="N502" s="53" t="s">
        <v>150</v>
      </c>
      <c r="O502" s="58" t="s">
        <v>5037</v>
      </c>
      <c r="P502" s="53" t="s">
        <v>3895</v>
      </c>
      <c r="Q502" s="58"/>
      <c r="R502" s="53">
        <v>2019</v>
      </c>
      <c r="S502" s="53"/>
      <c r="T502" s="53"/>
      <c r="U502" s="53"/>
      <c r="V502" s="53" t="s">
        <v>583</v>
      </c>
      <c r="W502" s="53" t="s">
        <v>153</v>
      </c>
      <c r="X502" s="57" t="s">
        <v>4360</v>
      </c>
      <c r="Y502" s="53" t="s">
        <v>857</v>
      </c>
      <c r="Z502" s="53">
        <v>19.100000000000001</v>
      </c>
      <c r="AA502" s="58"/>
      <c r="AB502" s="76" t="s">
        <v>156</v>
      </c>
      <c r="AC502" s="58" t="s">
        <v>157</v>
      </c>
      <c r="AD502" s="58" t="s">
        <v>157</v>
      </c>
      <c r="AE502" s="58"/>
      <c r="AF502" s="58"/>
      <c r="AG502" s="64" t="s">
        <v>1827</v>
      </c>
      <c r="AH502" s="53"/>
      <c r="AI502" s="58"/>
      <c r="AJ502" s="167" t="s">
        <v>1828</v>
      </c>
      <c r="AK502" s="62" t="s">
        <v>156</v>
      </c>
      <c r="AL502" s="63" t="s">
        <v>712</v>
      </c>
      <c r="AM502" s="102" t="s">
        <v>1829</v>
      </c>
      <c r="AN502" s="157" t="s">
        <v>1830</v>
      </c>
      <c r="AO502" s="152" t="s">
        <v>164</v>
      </c>
      <c r="AP502" s="64" t="s">
        <v>1831</v>
      </c>
      <c r="AQ502" s="169" t="s">
        <v>728</v>
      </c>
      <c r="AR502" s="58"/>
      <c r="AS502" s="58"/>
      <c r="AT502" s="58"/>
      <c r="AU502" s="54"/>
      <c r="AV502" s="54">
        <v>7340301</v>
      </c>
      <c r="AW502" s="53">
        <v>262</v>
      </c>
      <c r="AX502" s="60"/>
      <c r="BJ502" s="40"/>
      <c r="BK502" s="40"/>
      <c r="BN502" s="16"/>
      <c r="BO502" s="16"/>
    </row>
    <row r="503" spans="1:67" s="67" customFormat="1" ht="15.95" customHeight="1" x14ac:dyDescent="0.25">
      <c r="A503" s="16"/>
      <c r="B503" s="55"/>
      <c r="C503" s="59"/>
      <c r="D503" s="53"/>
      <c r="E503" s="68"/>
      <c r="F503" s="49"/>
      <c r="G503" s="49"/>
      <c r="H503" s="49"/>
      <c r="I503" s="56" t="s">
        <v>1832</v>
      </c>
      <c r="J503" s="49"/>
      <c r="K503" s="103"/>
      <c r="L503" s="68"/>
      <c r="M503" s="68"/>
      <c r="N503" s="68"/>
      <c r="O503" s="58"/>
      <c r="P503" s="53"/>
      <c r="Q503" s="58"/>
      <c r="R503" s="53"/>
      <c r="S503" s="68"/>
      <c r="T503" s="53"/>
      <c r="U503" s="53"/>
      <c r="V503" s="53"/>
      <c r="W503" s="53"/>
      <c r="X503" s="57"/>
      <c r="Y503" s="53"/>
      <c r="Z503" s="53"/>
      <c r="AA503" s="58"/>
      <c r="AB503" s="76"/>
      <c r="AC503" s="53"/>
      <c r="AD503" s="53"/>
      <c r="AE503" s="58"/>
      <c r="AF503" s="148"/>
      <c r="AG503" s="58"/>
      <c r="AH503" s="53"/>
      <c r="AI503" s="58"/>
      <c r="AJ503" s="167"/>
      <c r="AK503" s="62"/>
      <c r="AL503" s="71"/>
      <c r="AM503" s="102"/>
      <c r="AN503" s="157"/>
      <c r="AO503" s="152"/>
      <c r="AP503" s="64"/>
      <c r="AQ503" s="58"/>
      <c r="AR503" s="41"/>
      <c r="AS503" s="58"/>
      <c r="AT503" s="53"/>
      <c r="AU503" s="54"/>
      <c r="AV503" s="54">
        <v>7380101</v>
      </c>
      <c r="AW503" s="53">
        <v>263</v>
      </c>
      <c r="AX503" s="60"/>
      <c r="AY503" s="40"/>
      <c r="AZ503" s="40"/>
      <c r="BI503" s="36"/>
      <c r="BJ503" s="36"/>
      <c r="BK503" s="37"/>
      <c r="BN503" s="16"/>
      <c r="BO503" s="16"/>
    </row>
    <row r="504" spans="1:67" s="67" customFormat="1" ht="15.95" customHeight="1" x14ac:dyDescent="0.25">
      <c r="A504" s="16"/>
      <c r="B504" s="68">
        <f>SUBTOTAL(103,$K$504:K504)</f>
        <v>1</v>
      </c>
      <c r="C504" s="59" t="s">
        <v>146</v>
      </c>
      <c r="D504" s="53" t="s">
        <v>158</v>
      </c>
      <c r="E504" s="53" t="s">
        <v>19</v>
      </c>
      <c r="F504" s="53" t="s">
        <v>105</v>
      </c>
      <c r="G504" s="53" t="s">
        <v>4964</v>
      </c>
      <c r="H504" s="53" t="s">
        <v>4939</v>
      </c>
      <c r="I504" s="58" t="s">
        <v>1833</v>
      </c>
      <c r="J504" s="58" t="s">
        <v>1834</v>
      </c>
      <c r="K504" s="103" t="s">
        <v>4361</v>
      </c>
      <c r="L504" s="53" t="s">
        <v>149</v>
      </c>
      <c r="M504" s="53">
        <v>0</v>
      </c>
      <c r="N504" s="53" t="s">
        <v>150</v>
      </c>
      <c r="O504" s="58" t="s">
        <v>5038</v>
      </c>
      <c r="P504" s="53" t="s">
        <v>3896</v>
      </c>
      <c r="Q504" s="58" t="s">
        <v>1835</v>
      </c>
      <c r="R504" s="53">
        <v>2022</v>
      </c>
      <c r="S504" s="68" t="s">
        <v>236</v>
      </c>
      <c r="T504" s="53" t="s">
        <v>647</v>
      </c>
      <c r="U504" s="53"/>
      <c r="V504" s="53" t="s">
        <v>548</v>
      </c>
      <c r="W504" s="53" t="s">
        <v>153</v>
      </c>
      <c r="X504" s="57" t="s">
        <v>4361</v>
      </c>
      <c r="Y504" s="59"/>
      <c r="Z504" s="53"/>
      <c r="AA504" s="58"/>
      <c r="AB504" s="76" t="s">
        <v>156</v>
      </c>
      <c r="AC504" s="58" t="s">
        <v>157</v>
      </c>
      <c r="AD504" s="58" t="s">
        <v>157</v>
      </c>
      <c r="AE504" s="58"/>
      <c r="AF504" s="148"/>
      <c r="AG504" s="58" t="s">
        <v>1836</v>
      </c>
      <c r="AH504" s="53" t="s">
        <v>155</v>
      </c>
      <c r="AI504" s="58"/>
      <c r="AJ504" s="167" t="s">
        <v>1837</v>
      </c>
      <c r="AK504" s="62" t="s">
        <v>156</v>
      </c>
      <c r="AL504" s="63" t="s">
        <v>366</v>
      </c>
      <c r="AM504" s="102" t="s">
        <v>1838</v>
      </c>
      <c r="AN504" s="157" t="s">
        <v>1839</v>
      </c>
      <c r="AO504" s="152">
        <v>200</v>
      </c>
      <c r="AP504" s="64"/>
      <c r="AQ504" s="80" t="s">
        <v>836</v>
      </c>
      <c r="AR504" s="41"/>
      <c r="AS504" s="58"/>
      <c r="AT504" s="53"/>
      <c r="AU504" s="54"/>
      <c r="AV504" s="54">
        <v>7380101</v>
      </c>
      <c r="AW504" s="53">
        <v>264</v>
      </c>
      <c r="AX504" s="60"/>
      <c r="AY504" s="40"/>
      <c r="AZ504" s="40"/>
      <c r="BI504" s="36"/>
      <c r="BJ504" s="36"/>
      <c r="BK504" s="37"/>
      <c r="BN504" s="16"/>
      <c r="BO504" s="16"/>
    </row>
    <row r="505" spans="1:67" s="67" customFormat="1" ht="15.95" customHeight="1" x14ac:dyDescent="0.25">
      <c r="A505" s="16"/>
      <c r="B505" s="68">
        <f>SUBTOTAL(103,$K$504:K505)</f>
        <v>2</v>
      </c>
      <c r="C505" s="59" t="s">
        <v>167</v>
      </c>
      <c r="D505" s="53" t="s">
        <v>158</v>
      </c>
      <c r="E505" s="53" t="s">
        <v>19</v>
      </c>
      <c r="F505" s="59" t="s">
        <v>105</v>
      </c>
      <c r="G505" s="53" t="s">
        <v>4964</v>
      </c>
      <c r="H505" s="53" t="s">
        <v>4940</v>
      </c>
      <c r="I505" s="73" t="s">
        <v>1840</v>
      </c>
      <c r="J505" s="74" t="s">
        <v>1670</v>
      </c>
      <c r="K505" s="75" t="s">
        <v>4362</v>
      </c>
      <c r="L505" s="59" t="s">
        <v>149</v>
      </c>
      <c r="M505" s="53">
        <v>0</v>
      </c>
      <c r="N505" s="59" t="s">
        <v>150</v>
      </c>
      <c r="O505" s="58" t="s">
        <v>5038</v>
      </c>
      <c r="P505" s="53" t="s">
        <v>3896</v>
      </c>
      <c r="Q505" s="73" t="s">
        <v>1841</v>
      </c>
      <c r="R505" s="59" t="s">
        <v>1842</v>
      </c>
      <c r="S505" s="59" t="s">
        <v>337</v>
      </c>
      <c r="T505" s="59"/>
      <c r="U505" s="59"/>
      <c r="V505" s="59"/>
      <c r="W505" s="59"/>
      <c r="X505" s="75" t="s">
        <v>4362</v>
      </c>
      <c r="Y505" s="59"/>
      <c r="Z505" s="59"/>
      <c r="AA505" s="58"/>
      <c r="AB505" s="76" t="s">
        <v>156</v>
      </c>
      <c r="AC505" s="59" t="s">
        <v>157</v>
      </c>
      <c r="AD505" s="59"/>
      <c r="AE505" s="59"/>
      <c r="AF505" s="59"/>
      <c r="AG505" s="59" t="s">
        <v>1843</v>
      </c>
      <c r="AH505" s="59"/>
      <c r="AI505" s="59"/>
      <c r="AJ505" s="166" t="s">
        <v>1844</v>
      </c>
      <c r="AK505" s="62" t="s">
        <v>156</v>
      </c>
      <c r="AL505" s="71" t="s">
        <v>550</v>
      </c>
      <c r="AM505" s="178" t="s">
        <v>1845</v>
      </c>
      <c r="AN505" s="155" t="s">
        <v>1846</v>
      </c>
      <c r="AO505" s="71" t="s">
        <v>164</v>
      </c>
      <c r="AP505" s="64" t="s">
        <v>1847</v>
      </c>
      <c r="AQ505" s="58" t="s">
        <v>166</v>
      </c>
      <c r="AR505" s="41"/>
      <c r="AS505" s="58"/>
      <c r="AT505" s="53"/>
      <c r="AU505" s="54"/>
      <c r="AV505" s="54">
        <v>7380101</v>
      </c>
      <c r="AW505" s="53">
        <v>265</v>
      </c>
      <c r="AX505" s="60"/>
      <c r="AY505" s="40"/>
      <c r="AZ505" s="40"/>
      <c r="BI505" s="36"/>
      <c r="BJ505" s="36"/>
      <c r="BK505" s="37"/>
      <c r="BN505" s="16"/>
      <c r="BO505" s="16"/>
    </row>
    <row r="506" spans="1:67" s="67" customFormat="1" ht="15.95" customHeight="1" x14ac:dyDescent="0.25">
      <c r="A506" s="16"/>
      <c r="B506" s="68">
        <f>SUBTOTAL(103,$K$504:K506)</f>
        <v>3</v>
      </c>
      <c r="C506" s="59" t="s">
        <v>181</v>
      </c>
      <c r="D506" s="53" t="s">
        <v>158</v>
      </c>
      <c r="E506" s="53" t="s">
        <v>19</v>
      </c>
      <c r="F506" s="53" t="s">
        <v>106</v>
      </c>
      <c r="G506" s="53" t="s">
        <v>4964</v>
      </c>
      <c r="H506" s="53" t="s">
        <v>4941</v>
      </c>
      <c r="I506" s="58" t="s">
        <v>1848</v>
      </c>
      <c r="J506" s="58" t="s">
        <v>676</v>
      </c>
      <c r="K506" s="103" t="s">
        <v>4363</v>
      </c>
      <c r="L506" s="53" t="s">
        <v>170</v>
      </c>
      <c r="M506" s="68">
        <v>1</v>
      </c>
      <c r="N506" s="53" t="s">
        <v>150</v>
      </c>
      <c r="O506" s="58" t="s">
        <v>5038</v>
      </c>
      <c r="P506" s="53" t="s">
        <v>3896</v>
      </c>
      <c r="Q506" s="58" t="s">
        <v>56</v>
      </c>
      <c r="R506" s="53">
        <v>2018</v>
      </c>
      <c r="S506" s="68" t="s">
        <v>337</v>
      </c>
      <c r="T506" s="53"/>
      <c r="U506" s="53"/>
      <c r="V506" s="53" t="s">
        <v>1849</v>
      </c>
      <c r="W506" s="53" t="s">
        <v>248</v>
      </c>
      <c r="X506" s="57" t="s">
        <v>4363</v>
      </c>
      <c r="Y506" s="59"/>
      <c r="Z506" s="53"/>
      <c r="AA506" s="58"/>
      <c r="AB506" s="76" t="s">
        <v>156</v>
      </c>
      <c r="AC506" s="58" t="s">
        <v>157</v>
      </c>
      <c r="AD506" s="58" t="s">
        <v>157</v>
      </c>
      <c r="AE506" s="58"/>
      <c r="AF506" s="148"/>
      <c r="AG506" s="58" t="s">
        <v>228</v>
      </c>
      <c r="AH506" s="53" t="s">
        <v>19</v>
      </c>
      <c r="AI506" s="58"/>
      <c r="AJ506" s="167" t="s">
        <v>1850</v>
      </c>
      <c r="AK506" s="62" t="s">
        <v>156</v>
      </c>
      <c r="AL506" s="63" t="s">
        <v>229</v>
      </c>
      <c r="AM506" s="102" t="s">
        <v>1851</v>
      </c>
      <c r="AN506" s="157" t="s">
        <v>1852</v>
      </c>
      <c r="AO506" s="152" t="s">
        <v>164</v>
      </c>
      <c r="AP506" s="64" t="s">
        <v>1853</v>
      </c>
      <c r="AQ506" s="58" t="s">
        <v>224</v>
      </c>
      <c r="AR506" s="41"/>
      <c r="AS506" s="58"/>
      <c r="AT506" s="53"/>
      <c r="AU506" s="54"/>
      <c r="AV506" s="54">
        <v>7380101</v>
      </c>
      <c r="AW506" s="53">
        <v>266</v>
      </c>
      <c r="AX506" s="60"/>
      <c r="AY506" s="40"/>
      <c r="AZ506" s="40"/>
      <c r="BI506" s="36"/>
      <c r="BJ506" s="36"/>
      <c r="BK506" s="37"/>
      <c r="BN506" s="16"/>
      <c r="BO506" s="16"/>
    </row>
    <row r="507" spans="1:67" s="67" customFormat="1" ht="15.95" customHeight="1" x14ac:dyDescent="0.25">
      <c r="A507" s="16"/>
      <c r="B507" s="68">
        <f>SUBTOTAL(103,$K$504:K507)</f>
        <v>4</v>
      </c>
      <c r="C507" s="59" t="s">
        <v>194</v>
      </c>
      <c r="D507" s="53" t="s">
        <v>158</v>
      </c>
      <c r="E507" s="53" t="s">
        <v>19</v>
      </c>
      <c r="F507" s="53" t="s">
        <v>106</v>
      </c>
      <c r="G507" s="53" t="s">
        <v>4964</v>
      </c>
      <c r="H507" s="53" t="s">
        <v>4942</v>
      </c>
      <c r="I507" s="58" t="s">
        <v>1854</v>
      </c>
      <c r="J507" s="58" t="s">
        <v>676</v>
      </c>
      <c r="K507" s="103" t="s">
        <v>4364</v>
      </c>
      <c r="L507" s="53" t="s">
        <v>149</v>
      </c>
      <c r="M507" s="53">
        <v>0</v>
      </c>
      <c r="N507" s="53" t="s">
        <v>150</v>
      </c>
      <c r="O507" s="58" t="s">
        <v>5038</v>
      </c>
      <c r="P507" s="53" t="s">
        <v>3896</v>
      </c>
      <c r="Q507" s="58" t="s">
        <v>56</v>
      </c>
      <c r="R507" s="53">
        <v>2014</v>
      </c>
      <c r="S507" s="53" t="s">
        <v>248</v>
      </c>
      <c r="T507" s="53"/>
      <c r="U507" s="53" t="s">
        <v>1496</v>
      </c>
      <c r="V507" s="191"/>
      <c r="W507" s="53"/>
      <c r="X507" s="57" t="s">
        <v>4364</v>
      </c>
      <c r="Y507" s="53"/>
      <c r="Z507" s="53"/>
      <c r="AA507" s="58"/>
      <c r="AB507" s="76" t="s">
        <v>156</v>
      </c>
      <c r="AC507" s="58" t="s">
        <v>157</v>
      </c>
      <c r="AD507" s="58"/>
      <c r="AE507" s="58"/>
      <c r="AF507" s="58"/>
      <c r="AG507" s="58" t="s">
        <v>1855</v>
      </c>
      <c r="AH507" s="53" t="s">
        <v>155</v>
      </c>
      <c r="AI507" s="58"/>
      <c r="AJ507" s="167" t="s">
        <v>1856</v>
      </c>
      <c r="AK507" s="62" t="s">
        <v>156</v>
      </c>
      <c r="AL507" s="63" t="s">
        <v>347</v>
      </c>
      <c r="AM507" s="102" t="s">
        <v>1857</v>
      </c>
      <c r="AN507" s="157" t="s">
        <v>1858</v>
      </c>
      <c r="AO507" s="152" t="s">
        <v>164</v>
      </c>
      <c r="AP507" s="64" t="s">
        <v>1544</v>
      </c>
      <c r="AQ507" s="58" t="s">
        <v>267</v>
      </c>
      <c r="AR507" s="41"/>
      <c r="AS507" s="58"/>
      <c r="AT507" s="53"/>
      <c r="AU507" s="54"/>
      <c r="AV507" s="54">
        <v>7380101</v>
      </c>
      <c r="AW507" s="53">
        <v>267</v>
      </c>
      <c r="AX507" s="60"/>
      <c r="AY507" s="40"/>
      <c r="AZ507" s="40"/>
      <c r="BI507" s="36"/>
      <c r="BJ507" s="36"/>
      <c r="BK507" s="37"/>
      <c r="BN507" s="16"/>
      <c r="BO507" s="16"/>
    </row>
    <row r="508" spans="1:67" s="67" customFormat="1" ht="15.95" customHeight="1" x14ac:dyDescent="0.25">
      <c r="A508" s="16"/>
      <c r="B508" s="68">
        <f>SUBTOTAL(103,$K$504:K508)</f>
        <v>5</v>
      </c>
      <c r="C508" s="59" t="s">
        <v>203</v>
      </c>
      <c r="D508" s="53" t="s">
        <v>158</v>
      </c>
      <c r="E508" s="53" t="s">
        <v>19</v>
      </c>
      <c r="F508" s="53" t="s">
        <v>106</v>
      </c>
      <c r="G508" s="53" t="s">
        <v>4964</v>
      </c>
      <c r="H508" s="53" t="s">
        <v>4943</v>
      </c>
      <c r="I508" s="58" t="s">
        <v>1859</v>
      </c>
      <c r="J508" s="58" t="s">
        <v>1108</v>
      </c>
      <c r="K508" s="103" t="s">
        <v>4365</v>
      </c>
      <c r="L508" s="53" t="s">
        <v>149</v>
      </c>
      <c r="M508" s="53">
        <v>0</v>
      </c>
      <c r="N508" s="68" t="s">
        <v>150</v>
      </c>
      <c r="O508" s="58" t="s">
        <v>5038</v>
      </c>
      <c r="P508" s="53" t="s">
        <v>3896</v>
      </c>
      <c r="Q508" s="58" t="s">
        <v>1860</v>
      </c>
      <c r="R508" s="53">
        <v>2013</v>
      </c>
      <c r="S508" s="68" t="s">
        <v>248</v>
      </c>
      <c r="T508" s="53" t="s">
        <v>249</v>
      </c>
      <c r="U508" s="53"/>
      <c r="V508" s="53" t="s">
        <v>453</v>
      </c>
      <c r="W508" s="59" t="s">
        <v>153</v>
      </c>
      <c r="X508" s="57" t="s">
        <v>4365</v>
      </c>
      <c r="Y508" s="59"/>
      <c r="Z508" s="53"/>
      <c r="AA508" s="58"/>
      <c r="AB508" s="76" t="s">
        <v>156</v>
      </c>
      <c r="AC508" s="58" t="s">
        <v>157</v>
      </c>
      <c r="AD508" s="53" t="s">
        <v>157</v>
      </c>
      <c r="AE508" s="53"/>
      <c r="AF508" s="148"/>
      <c r="AG508" s="58" t="s">
        <v>1861</v>
      </c>
      <c r="AH508" s="53" t="s">
        <v>155</v>
      </c>
      <c r="AI508" s="64" t="s">
        <v>1862</v>
      </c>
      <c r="AJ508" s="61" t="s">
        <v>1863</v>
      </c>
      <c r="AK508" s="68" t="s">
        <v>156</v>
      </c>
      <c r="AL508" s="71" t="s">
        <v>220</v>
      </c>
      <c r="AM508" s="64" t="s">
        <v>1864</v>
      </c>
      <c r="AN508" s="65" t="s">
        <v>1865</v>
      </c>
      <c r="AO508" s="53" t="s">
        <v>164</v>
      </c>
      <c r="AP508" s="58"/>
      <c r="AQ508" s="58" t="s">
        <v>334</v>
      </c>
      <c r="AR508" s="41"/>
      <c r="AS508" s="58"/>
      <c r="AT508" s="53"/>
      <c r="AU508" s="54"/>
      <c r="AV508" s="54">
        <v>7380101</v>
      </c>
      <c r="AW508" s="53">
        <v>268</v>
      </c>
      <c r="AX508" s="60"/>
      <c r="AY508" s="40"/>
      <c r="AZ508" s="40"/>
      <c r="BI508" s="36"/>
      <c r="BJ508" s="36"/>
      <c r="BK508" s="37"/>
      <c r="BN508" s="16"/>
      <c r="BO508" s="16"/>
    </row>
    <row r="509" spans="1:67" s="67" customFormat="1" ht="15.95" customHeight="1" x14ac:dyDescent="0.25">
      <c r="A509" s="16"/>
      <c r="B509" s="68">
        <f>SUBTOTAL(103,$K$504:K509)</f>
        <v>6</v>
      </c>
      <c r="C509" s="59" t="s">
        <v>212</v>
      </c>
      <c r="D509" s="53" t="s">
        <v>158</v>
      </c>
      <c r="E509" s="53" t="s">
        <v>19</v>
      </c>
      <c r="F509" s="53" t="s">
        <v>106</v>
      </c>
      <c r="G509" s="53" t="s">
        <v>4964</v>
      </c>
      <c r="H509" s="53" t="s">
        <v>4944</v>
      </c>
      <c r="I509" s="58" t="s">
        <v>1866</v>
      </c>
      <c r="J509" s="58" t="s">
        <v>1867</v>
      </c>
      <c r="K509" s="103" t="s">
        <v>4366</v>
      </c>
      <c r="L509" s="53" t="s">
        <v>149</v>
      </c>
      <c r="M509" s="53">
        <v>0</v>
      </c>
      <c r="N509" s="53" t="s">
        <v>150</v>
      </c>
      <c r="O509" s="58" t="s">
        <v>5038</v>
      </c>
      <c r="P509" s="53" t="s">
        <v>3896</v>
      </c>
      <c r="Q509" s="58" t="s">
        <v>1868</v>
      </c>
      <c r="R509" s="53">
        <v>2009</v>
      </c>
      <c r="S509" s="53" t="s">
        <v>153</v>
      </c>
      <c r="T509" s="53" t="s">
        <v>1869</v>
      </c>
      <c r="U509" s="53"/>
      <c r="V509" s="53"/>
      <c r="W509" s="53"/>
      <c r="X509" s="57" t="s">
        <v>4366</v>
      </c>
      <c r="Y509" s="53"/>
      <c r="Z509" s="53"/>
      <c r="AA509" s="58"/>
      <c r="AB509" s="76" t="s">
        <v>156</v>
      </c>
      <c r="AC509" s="58" t="s">
        <v>157</v>
      </c>
      <c r="AD509" s="58"/>
      <c r="AE509" s="58"/>
      <c r="AF509" s="58"/>
      <c r="AG509" s="64" t="s">
        <v>1870</v>
      </c>
      <c r="AH509" s="53" t="s">
        <v>155</v>
      </c>
      <c r="AI509" s="58"/>
      <c r="AJ509" s="167" t="s">
        <v>1871</v>
      </c>
      <c r="AK509" s="62" t="s">
        <v>156</v>
      </c>
      <c r="AL509" s="63" t="s">
        <v>712</v>
      </c>
      <c r="AM509" s="102" t="s">
        <v>713</v>
      </c>
      <c r="AN509" s="157" t="s">
        <v>1872</v>
      </c>
      <c r="AO509" s="152" t="s">
        <v>164</v>
      </c>
      <c r="AP509" s="64" t="s">
        <v>743</v>
      </c>
      <c r="AQ509" s="169" t="s">
        <v>728</v>
      </c>
      <c r="AR509" s="58"/>
      <c r="AS509" s="58"/>
      <c r="AT509" s="58"/>
      <c r="AU509" s="54"/>
      <c r="AV509" s="54">
        <v>7380101</v>
      </c>
      <c r="AW509" s="53">
        <v>269</v>
      </c>
      <c r="AX509" s="60"/>
      <c r="BJ509" s="40"/>
      <c r="BK509" s="40"/>
      <c r="BN509" s="16"/>
      <c r="BO509" s="16"/>
    </row>
    <row r="510" spans="1:67" s="67" customFormat="1" ht="15.95" customHeight="1" x14ac:dyDescent="0.25">
      <c r="A510" s="16"/>
      <c r="B510" s="68">
        <f>SUBTOTAL(103,$K$504:K510)</f>
        <v>7</v>
      </c>
      <c r="C510" s="59" t="s">
        <v>225</v>
      </c>
      <c r="D510" s="53" t="s">
        <v>158</v>
      </c>
      <c r="E510" s="53" t="s">
        <v>19</v>
      </c>
      <c r="F510" s="53" t="s">
        <v>106</v>
      </c>
      <c r="G510" s="53" t="s">
        <v>4964</v>
      </c>
      <c r="H510" s="53" t="s">
        <v>4945</v>
      </c>
      <c r="I510" s="58" t="s">
        <v>1267</v>
      </c>
      <c r="J510" s="58" t="s">
        <v>1873</v>
      </c>
      <c r="K510" s="103" t="s">
        <v>4367</v>
      </c>
      <c r="L510" s="53" t="s">
        <v>149</v>
      </c>
      <c r="M510" s="53">
        <v>0</v>
      </c>
      <c r="N510" s="68" t="s">
        <v>150</v>
      </c>
      <c r="O510" s="58" t="s">
        <v>5038</v>
      </c>
      <c r="P510" s="53" t="s">
        <v>3896</v>
      </c>
      <c r="Q510" s="58" t="s">
        <v>1874</v>
      </c>
      <c r="R510" s="53">
        <v>2014</v>
      </c>
      <c r="S510" s="68" t="s">
        <v>337</v>
      </c>
      <c r="T510" s="53" t="s">
        <v>1248</v>
      </c>
      <c r="U510" s="53"/>
      <c r="V510" s="53" t="s">
        <v>654</v>
      </c>
      <c r="W510" s="59" t="s">
        <v>248</v>
      </c>
      <c r="X510" s="57" t="s">
        <v>4367</v>
      </c>
      <c r="Y510" s="59"/>
      <c r="Z510" s="53"/>
      <c r="AA510" s="58"/>
      <c r="AB510" s="76" t="s">
        <v>156</v>
      </c>
      <c r="AC510" s="58" t="s">
        <v>157</v>
      </c>
      <c r="AD510" s="53" t="s">
        <v>157</v>
      </c>
      <c r="AE510" s="53"/>
      <c r="AF510" s="148"/>
      <c r="AG510" s="58" t="s">
        <v>1620</v>
      </c>
      <c r="AH510" s="53" t="s">
        <v>155</v>
      </c>
      <c r="AI510" s="58"/>
      <c r="AJ510" s="167" t="s">
        <v>1875</v>
      </c>
      <c r="AK510" s="62" t="s">
        <v>156</v>
      </c>
      <c r="AL510" s="71" t="s">
        <v>220</v>
      </c>
      <c r="AM510" s="102" t="s">
        <v>1876</v>
      </c>
      <c r="AN510" s="157" t="s">
        <v>1877</v>
      </c>
      <c r="AO510" s="152" t="s">
        <v>164</v>
      </c>
      <c r="AP510" s="64"/>
      <c r="AQ510" s="58" t="s">
        <v>334</v>
      </c>
      <c r="AR510" s="41"/>
      <c r="AS510" s="58"/>
      <c r="AT510" s="53"/>
      <c r="AU510" s="54"/>
      <c r="AV510" s="54">
        <v>7380101</v>
      </c>
      <c r="AW510" s="53">
        <v>270</v>
      </c>
      <c r="AX510" s="60"/>
      <c r="AY510" s="40"/>
      <c r="AZ510" s="40"/>
      <c r="BI510" s="36"/>
      <c r="BJ510" s="36"/>
      <c r="BK510" s="37"/>
      <c r="BN510" s="16"/>
      <c r="BO510" s="16"/>
    </row>
    <row r="511" spans="1:67" s="67" customFormat="1" ht="15.95" customHeight="1" x14ac:dyDescent="0.25">
      <c r="A511" s="16"/>
      <c r="B511" s="68">
        <f>SUBTOTAL(103,$K$504:K511)</f>
        <v>8</v>
      </c>
      <c r="C511" s="59" t="s">
        <v>233</v>
      </c>
      <c r="D511" s="53" t="s">
        <v>158</v>
      </c>
      <c r="E511" s="53" t="s">
        <v>19</v>
      </c>
      <c r="F511" s="53" t="s">
        <v>106</v>
      </c>
      <c r="G511" s="53" t="s">
        <v>4964</v>
      </c>
      <c r="H511" s="53" t="s">
        <v>4946</v>
      </c>
      <c r="I511" s="58" t="s">
        <v>1878</v>
      </c>
      <c r="J511" s="58" t="s">
        <v>1879</v>
      </c>
      <c r="K511" s="103" t="s">
        <v>4261</v>
      </c>
      <c r="L511" s="53" t="s">
        <v>170</v>
      </c>
      <c r="M511" s="68">
        <v>1</v>
      </c>
      <c r="N511" s="53" t="s">
        <v>150</v>
      </c>
      <c r="O511" s="58" t="s">
        <v>5038</v>
      </c>
      <c r="P511" s="53" t="s">
        <v>3896</v>
      </c>
      <c r="Q511" s="58" t="s">
        <v>1342</v>
      </c>
      <c r="R511" s="53">
        <v>2025</v>
      </c>
      <c r="S511" s="53" t="s">
        <v>153</v>
      </c>
      <c r="T511" s="53" t="s">
        <v>1880</v>
      </c>
      <c r="U511" s="53"/>
      <c r="V511" s="53" t="s">
        <v>548</v>
      </c>
      <c r="W511" s="53" t="s">
        <v>153</v>
      </c>
      <c r="X511" s="57" t="s">
        <v>4261</v>
      </c>
      <c r="Y511" s="53"/>
      <c r="Z511" s="53"/>
      <c r="AA511" s="58"/>
      <c r="AB511" s="76" t="s">
        <v>156</v>
      </c>
      <c r="AC511" s="58" t="s">
        <v>157</v>
      </c>
      <c r="AD511" s="58" t="s">
        <v>157</v>
      </c>
      <c r="AE511" s="58"/>
      <c r="AF511" s="58"/>
      <c r="AG511" s="58" t="s">
        <v>1249</v>
      </c>
      <c r="AH511" s="53" t="s">
        <v>155</v>
      </c>
      <c r="AI511" s="58"/>
      <c r="AJ511" s="167" t="s">
        <v>1881</v>
      </c>
      <c r="AK511" s="62" t="s">
        <v>156</v>
      </c>
      <c r="AL511" s="63" t="s">
        <v>347</v>
      </c>
      <c r="AM511" s="79" t="s">
        <v>1882</v>
      </c>
      <c r="AN511" s="157" t="s">
        <v>1883</v>
      </c>
      <c r="AO511" s="152" t="s">
        <v>164</v>
      </c>
      <c r="AP511" s="64"/>
      <c r="AQ511" s="58" t="s">
        <v>975</v>
      </c>
      <c r="AR511" s="41"/>
      <c r="AS511" s="58"/>
      <c r="AT511" s="53"/>
      <c r="AU511" s="54"/>
      <c r="AV511" s="54">
        <v>7380101</v>
      </c>
      <c r="AW511" s="53">
        <v>271</v>
      </c>
      <c r="AX511" s="60"/>
      <c r="AY511" s="40"/>
      <c r="AZ511" s="40"/>
      <c r="BI511" s="36"/>
      <c r="BJ511" s="36"/>
      <c r="BK511" s="37"/>
      <c r="BN511" s="16"/>
      <c r="BO511" s="16"/>
    </row>
    <row r="512" spans="1:67" s="67" customFormat="1" ht="15.95" customHeight="1" x14ac:dyDescent="0.25">
      <c r="A512" s="16"/>
      <c r="B512" s="68">
        <f>SUBTOTAL(103,$K$504:K512)</f>
        <v>9</v>
      </c>
      <c r="C512" s="59" t="s">
        <v>244</v>
      </c>
      <c r="D512" s="53" t="s">
        <v>158</v>
      </c>
      <c r="E512" s="53" t="s">
        <v>19</v>
      </c>
      <c r="F512" s="53" t="s">
        <v>106</v>
      </c>
      <c r="G512" s="53" t="s">
        <v>4964</v>
      </c>
      <c r="H512" s="53" t="s">
        <v>4947</v>
      </c>
      <c r="I512" s="58" t="s">
        <v>1570</v>
      </c>
      <c r="J512" s="58" t="s">
        <v>291</v>
      </c>
      <c r="K512" s="103" t="s">
        <v>4368</v>
      </c>
      <c r="L512" s="53" t="s">
        <v>170</v>
      </c>
      <c r="M512" s="68">
        <v>1</v>
      </c>
      <c r="N512" s="53" t="s">
        <v>150</v>
      </c>
      <c r="O512" s="58" t="s">
        <v>5038</v>
      </c>
      <c r="P512" s="53" t="s">
        <v>3896</v>
      </c>
      <c r="Q512" s="58" t="s">
        <v>56</v>
      </c>
      <c r="R512" s="53">
        <v>2018</v>
      </c>
      <c r="S512" s="68" t="s">
        <v>337</v>
      </c>
      <c r="T512" s="53" t="s">
        <v>1422</v>
      </c>
      <c r="U512" s="53"/>
      <c r="V512" s="53" t="s">
        <v>518</v>
      </c>
      <c r="W512" s="59" t="s">
        <v>153</v>
      </c>
      <c r="X512" s="57" t="s">
        <v>4368</v>
      </c>
      <c r="Y512" s="59"/>
      <c r="Z512" s="53"/>
      <c r="AA512" s="58"/>
      <c r="AB512" s="76" t="s">
        <v>156</v>
      </c>
      <c r="AC512" s="58" t="s">
        <v>157</v>
      </c>
      <c r="AD512" s="53" t="s">
        <v>157</v>
      </c>
      <c r="AE512" s="58"/>
      <c r="AF512" s="148"/>
      <c r="AG512" s="59" t="s">
        <v>228</v>
      </c>
      <c r="AH512" s="53" t="s">
        <v>19</v>
      </c>
      <c r="AI512" s="58"/>
      <c r="AJ512" s="167" t="s">
        <v>1884</v>
      </c>
      <c r="AK512" s="62" t="s">
        <v>156</v>
      </c>
      <c r="AL512" s="63" t="s">
        <v>309</v>
      </c>
      <c r="AM512" s="102" t="s">
        <v>1885</v>
      </c>
      <c r="AN512" s="157" t="s">
        <v>1886</v>
      </c>
      <c r="AO512" s="152" t="s">
        <v>164</v>
      </c>
      <c r="AP512" s="66"/>
      <c r="AQ512" s="67" t="s">
        <v>224</v>
      </c>
      <c r="AR512" s="41"/>
      <c r="AS512" s="58"/>
      <c r="AT512" s="53"/>
      <c r="AU512" s="54"/>
      <c r="AV512" s="54">
        <v>7380101</v>
      </c>
      <c r="AW512" s="53">
        <v>272</v>
      </c>
      <c r="AX512" s="60"/>
      <c r="AY512" s="40"/>
      <c r="AZ512" s="40"/>
      <c r="BI512" s="36"/>
      <c r="BJ512" s="36"/>
      <c r="BK512" s="37"/>
      <c r="BN512" s="16"/>
      <c r="BO512" s="16"/>
    </row>
    <row r="513" spans="1:67" s="67" customFormat="1" ht="15.95" customHeight="1" x14ac:dyDescent="0.25">
      <c r="A513" s="16"/>
      <c r="B513" s="68">
        <f>SUBTOTAL(103,$K$504:K513)</f>
        <v>10</v>
      </c>
      <c r="C513" s="59" t="s">
        <v>257</v>
      </c>
      <c r="D513" s="53" t="s">
        <v>158</v>
      </c>
      <c r="E513" s="53" t="s">
        <v>19</v>
      </c>
      <c r="F513" s="53" t="s">
        <v>106</v>
      </c>
      <c r="G513" s="53" t="s">
        <v>4964</v>
      </c>
      <c r="H513" s="53" t="s">
        <v>4948</v>
      </c>
      <c r="I513" s="58" t="s">
        <v>182</v>
      </c>
      <c r="J513" s="58" t="s">
        <v>291</v>
      </c>
      <c r="K513" s="103" t="s">
        <v>4369</v>
      </c>
      <c r="L513" s="53" t="s">
        <v>170</v>
      </c>
      <c r="M513" s="68">
        <v>1</v>
      </c>
      <c r="N513" s="53" t="s">
        <v>150</v>
      </c>
      <c r="O513" s="58" t="s">
        <v>5038</v>
      </c>
      <c r="P513" s="53" t="s">
        <v>3896</v>
      </c>
      <c r="Q513" s="58" t="s">
        <v>1887</v>
      </c>
      <c r="R513" s="53">
        <v>2016</v>
      </c>
      <c r="S513" s="53" t="s">
        <v>153</v>
      </c>
      <c r="T513" s="53" t="s">
        <v>1888</v>
      </c>
      <c r="U513" s="53"/>
      <c r="V513" s="53"/>
      <c r="W513" s="53"/>
      <c r="X513" s="57" t="s">
        <v>4369</v>
      </c>
      <c r="Y513" s="53"/>
      <c r="Z513" s="53"/>
      <c r="AA513" s="58"/>
      <c r="AB513" s="76" t="s">
        <v>156</v>
      </c>
      <c r="AC513" s="58" t="s">
        <v>157</v>
      </c>
      <c r="AD513" s="58"/>
      <c r="AE513" s="58"/>
      <c r="AF513" s="58"/>
      <c r="AG513" s="64" t="s">
        <v>1889</v>
      </c>
      <c r="AH513" s="53" t="s">
        <v>19</v>
      </c>
      <c r="AI513" s="58" t="s">
        <v>1890</v>
      </c>
      <c r="AJ513" s="167" t="s">
        <v>1891</v>
      </c>
      <c r="AK513" s="62" t="s">
        <v>156</v>
      </c>
      <c r="AL513" s="63" t="s">
        <v>483</v>
      </c>
      <c r="AM513" s="102" t="s">
        <v>1892</v>
      </c>
      <c r="AN513" s="157" t="s">
        <v>1893</v>
      </c>
      <c r="AO513" s="152" t="s">
        <v>164</v>
      </c>
      <c r="AP513" s="66"/>
      <c r="AQ513" s="66" t="s">
        <v>1764</v>
      </c>
      <c r="AR513" s="58"/>
      <c r="AS513" s="58"/>
      <c r="AT513" s="58"/>
      <c r="AU513" s="54"/>
      <c r="AV513" s="54">
        <v>7380101</v>
      </c>
      <c r="AW513" s="53">
        <v>273</v>
      </c>
      <c r="AX513" s="60"/>
      <c r="BJ513" s="40"/>
      <c r="BK513" s="40"/>
      <c r="BN513" s="16"/>
      <c r="BO513" s="16"/>
    </row>
    <row r="514" spans="1:67" s="67" customFormat="1" ht="15.95" customHeight="1" x14ac:dyDescent="0.25">
      <c r="A514" s="16"/>
      <c r="B514" s="68">
        <f>SUBTOTAL(103,$K$504:K514)</f>
        <v>11</v>
      </c>
      <c r="C514" s="59" t="s">
        <v>268</v>
      </c>
      <c r="D514" s="53" t="s">
        <v>158</v>
      </c>
      <c r="E514" s="53" t="s">
        <v>19</v>
      </c>
      <c r="F514" s="53" t="s">
        <v>106</v>
      </c>
      <c r="G514" s="53" t="s">
        <v>4964</v>
      </c>
      <c r="H514" s="53" t="s">
        <v>4949</v>
      </c>
      <c r="I514" s="58" t="s">
        <v>182</v>
      </c>
      <c r="J514" s="58" t="s">
        <v>473</v>
      </c>
      <c r="K514" s="103" t="s">
        <v>4370</v>
      </c>
      <c r="L514" s="53" t="s">
        <v>170</v>
      </c>
      <c r="M514" s="68">
        <v>1</v>
      </c>
      <c r="N514" s="53" t="s">
        <v>150</v>
      </c>
      <c r="O514" s="58" t="s">
        <v>5038</v>
      </c>
      <c r="P514" s="53" t="s">
        <v>3896</v>
      </c>
      <c r="Q514" s="58" t="s">
        <v>56</v>
      </c>
      <c r="R514" s="53">
        <v>2012</v>
      </c>
      <c r="S514" s="53" t="s">
        <v>153</v>
      </c>
      <c r="T514" s="53"/>
      <c r="U514" s="53" t="s">
        <v>1894</v>
      </c>
      <c r="V514" s="53" t="s">
        <v>654</v>
      </c>
      <c r="W514" s="53" t="s">
        <v>248</v>
      </c>
      <c r="X514" s="57" t="s">
        <v>4370</v>
      </c>
      <c r="Y514" s="59"/>
      <c r="Z514" s="53"/>
      <c r="AA514" s="58"/>
      <c r="AB514" s="76" t="s">
        <v>156</v>
      </c>
      <c r="AC514" s="58" t="s">
        <v>157</v>
      </c>
      <c r="AD514" s="53" t="s">
        <v>157</v>
      </c>
      <c r="AE514" s="53"/>
      <c r="AF514" s="148"/>
      <c r="AG514" s="74" t="s">
        <v>1895</v>
      </c>
      <c r="AH514" s="53" t="s">
        <v>155</v>
      </c>
      <c r="AI514" s="58"/>
      <c r="AJ514" s="167" t="s">
        <v>1896</v>
      </c>
      <c r="AK514" s="62" t="s">
        <v>156</v>
      </c>
      <c r="AL514" s="63" t="s">
        <v>347</v>
      </c>
      <c r="AM514" s="122" t="s">
        <v>1897</v>
      </c>
      <c r="AN514" s="157" t="s">
        <v>1898</v>
      </c>
      <c r="AO514" s="152" t="s">
        <v>164</v>
      </c>
      <c r="AP514" s="66"/>
      <c r="AQ514" s="67" t="s">
        <v>449</v>
      </c>
      <c r="AR514" s="41"/>
      <c r="AS514" s="58"/>
      <c r="AT514" s="53"/>
      <c r="AU514" s="54"/>
      <c r="AV514" s="54">
        <v>7380101</v>
      </c>
      <c r="AW514" s="53">
        <v>274</v>
      </c>
      <c r="AX514" s="60"/>
      <c r="AY514" s="40"/>
      <c r="AZ514" s="40"/>
      <c r="BI514" s="36"/>
      <c r="BJ514" s="36"/>
      <c r="BK514" s="37"/>
      <c r="BN514" s="16"/>
      <c r="BO514" s="16"/>
    </row>
    <row r="515" spans="1:67" s="67" customFormat="1" ht="15.95" customHeight="1" x14ac:dyDescent="0.25">
      <c r="A515" s="16"/>
      <c r="B515" s="68">
        <f>SUBTOTAL(103,$K$504:K515)</f>
        <v>12</v>
      </c>
      <c r="C515" s="59" t="s">
        <v>278</v>
      </c>
      <c r="D515" s="53" t="s">
        <v>158</v>
      </c>
      <c r="E515" s="53" t="s">
        <v>19</v>
      </c>
      <c r="F515" s="59" t="s">
        <v>106</v>
      </c>
      <c r="G515" s="53" t="s">
        <v>4964</v>
      </c>
      <c r="H515" s="53" t="s">
        <v>4950</v>
      </c>
      <c r="I515" s="58" t="s">
        <v>1899</v>
      </c>
      <c r="J515" s="58" t="s">
        <v>1384</v>
      </c>
      <c r="K515" s="103" t="s">
        <v>4371</v>
      </c>
      <c r="L515" s="68" t="s">
        <v>149</v>
      </c>
      <c r="M515" s="53">
        <v>0</v>
      </c>
      <c r="N515" s="68" t="s">
        <v>150</v>
      </c>
      <c r="O515" s="58" t="s">
        <v>5038</v>
      </c>
      <c r="P515" s="53" t="s">
        <v>3896</v>
      </c>
      <c r="Q515" s="58" t="s">
        <v>56</v>
      </c>
      <c r="R515" s="53">
        <v>2011</v>
      </c>
      <c r="S515" s="53" t="s">
        <v>337</v>
      </c>
      <c r="T515" s="53" t="s">
        <v>1900</v>
      </c>
      <c r="U515" s="53"/>
      <c r="V515" s="53"/>
      <c r="W515" s="53"/>
      <c r="X515" s="57" t="s">
        <v>4371</v>
      </c>
      <c r="Y515" s="59"/>
      <c r="Z515" s="53"/>
      <c r="AA515" s="58"/>
      <c r="AB515" s="76" t="s">
        <v>156</v>
      </c>
      <c r="AC515" s="58" t="s">
        <v>157</v>
      </c>
      <c r="AD515" s="58"/>
      <c r="AE515" s="58"/>
      <c r="AF515" s="58"/>
      <c r="AG515" s="58" t="s">
        <v>228</v>
      </c>
      <c r="AH515" s="53" t="s">
        <v>19</v>
      </c>
      <c r="AI515" s="58"/>
      <c r="AJ515" s="167" t="s">
        <v>1901</v>
      </c>
      <c r="AK515" s="62" t="s">
        <v>156</v>
      </c>
      <c r="AL515" s="63" t="s">
        <v>229</v>
      </c>
      <c r="AM515" s="79" t="s">
        <v>1902</v>
      </c>
      <c r="AN515" s="157" t="s">
        <v>1903</v>
      </c>
      <c r="AO515" s="152" t="s">
        <v>164</v>
      </c>
      <c r="AP515" s="66" t="s">
        <v>1904</v>
      </c>
      <c r="AQ515" s="67" t="s">
        <v>554</v>
      </c>
      <c r="AR515" s="41"/>
      <c r="AS515" s="58"/>
      <c r="AT515" s="53"/>
      <c r="AU515" s="54"/>
      <c r="AV515" s="54">
        <v>7380101</v>
      </c>
      <c r="AW515" s="53">
        <v>275</v>
      </c>
      <c r="AX515" s="60"/>
      <c r="AY515" s="40"/>
      <c r="AZ515" s="40"/>
      <c r="BI515" s="36"/>
      <c r="BJ515" s="36"/>
      <c r="BK515" s="37"/>
      <c r="BN515" s="16"/>
      <c r="BO515" s="16"/>
    </row>
    <row r="516" spans="1:67" s="67" customFormat="1" ht="15.95" customHeight="1" x14ac:dyDescent="0.25">
      <c r="A516" s="16"/>
      <c r="B516" s="68">
        <f>SUBTOTAL(103,$K$504:K516)</f>
        <v>13</v>
      </c>
      <c r="C516" s="59" t="s">
        <v>390</v>
      </c>
      <c r="D516" s="53" t="s">
        <v>158</v>
      </c>
      <c r="E516" s="53" t="s">
        <v>19</v>
      </c>
      <c r="F516" s="53" t="s">
        <v>106</v>
      </c>
      <c r="G516" s="53" t="s">
        <v>4964</v>
      </c>
      <c r="H516" s="53" t="s">
        <v>4951</v>
      </c>
      <c r="I516" s="58" t="s">
        <v>1395</v>
      </c>
      <c r="J516" s="58" t="s">
        <v>1454</v>
      </c>
      <c r="K516" s="103" t="s">
        <v>4372</v>
      </c>
      <c r="L516" s="53" t="s">
        <v>149</v>
      </c>
      <c r="M516" s="53">
        <v>0</v>
      </c>
      <c r="N516" s="53" t="s">
        <v>150</v>
      </c>
      <c r="O516" s="58" t="s">
        <v>5038</v>
      </c>
      <c r="P516" s="53" t="s">
        <v>3896</v>
      </c>
      <c r="Q516" s="58" t="s">
        <v>1905</v>
      </c>
      <c r="R516" s="53">
        <v>2012</v>
      </c>
      <c r="S516" s="68" t="s">
        <v>153</v>
      </c>
      <c r="T516" s="53" t="s">
        <v>1906</v>
      </c>
      <c r="U516" s="53"/>
      <c r="V516" s="53" t="s">
        <v>583</v>
      </c>
      <c r="W516" s="59" t="s">
        <v>153</v>
      </c>
      <c r="X516" s="57" t="s">
        <v>4372</v>
      </c>
      <c r="Y516" s="59"/>
      <c r="Z516" s="53"/>
      <c r="AA516" s="58"/>
      <c r="AB516" s="76" t="s">
        <v>156</v>
      </c>
      <c r="AC516" s="58" t="s">
        <v>157</v>
      </c>
      <c r="AD516" s="58" t="s">
        <v>157</v>
      </c>
      <c r="AE516" s="58"/>
      <c r="AF516" s="148"/>
      <c r="AG516" s="58" t="s">
        <v>1861</v>
      </c>
      <c r="AH516" s="53" t="s">
        <v>155</v>
      </c>
      <c r="AI516" s="64" t="s">
        <v>1907</v>
      </c>
      <c r="AJ516" s="167" t="s">
        <v>1908</v>
      </c>
      <c r="AK516" s="62" t="s">
        <v>156</v>
      </c>
      <c r="AL516" s="63" t="s">
        <v>220</v>
      </c>
      <c r="AM516" s="102" t="s">
        <v>1909</v>
      </c>
      <c r="AN516" s="157" t="s">
        <v>1910</v>
      </c>
      <c r="AO516" s="152" t="s">
        <v>164</v>
      </c>
      <c r="AP516" s="67" t="s">
        <v>1314</v>
      </c>
      <c r="AQ516" s="84" t="s">
        <v>224</v>
      </c>
      <c r="AR516" s="41"/>
      <c r="AS516" s="58"/>
      <c r="AT516" s="53"/>
      <c r="AU516" s="54"/>
      <c r="AV516" s="54">
        <v>7380101</v>
      </c>
      <c r="AW516" s="53">
        <v>276</v>
      </c>
      <c r="AX516" s="60"/>
      <c r="AY516" s="40"/>
      <c r="AZ516" s="40"/>
      <c r="BI516" s="36"/>
      <c r="BJ516" s="36"/>
      <c r="BK516" s="37"/>
      <c r="BN516" s="16"/>
      <c r="BO516" s="16"/>
    </row>
    <row r="517" spans="1:67" s="67" customFormat="1" ht="15.95" customHeight="1" x14ac:dyDescent="0.25">
      <c r="A517" s="16"/>
      <c r="B517" s="68">
        <f>SUBTOTAL(103,$K$504:K517)</f>
        <v>14</v>
      </c>
      <c r="C517" s="59" t="s">
        <v>398</v>
      </c>
      <c r="D517" s="53" t="s">
        <v>158</v>
      </c>
      <c r="E517" s="53" t="s">
        <v>19</v>
      </c>
      <c r="F517" s="53" t="s">
        <v>106</v>
      </c>
      <c r="G517" s="53" t="s">
        <v>4964</v>
      </c>
      <c r="H517" s="53" t="s">
        <v>4952</v>
      </c>
      <c r="I517" s="58" t="s">
        <v>1395</v>
      </c>
      <c r="J517" s="58" t="s">
        <v>1911</v>
      </c>
      <c r="K517" s="103" t="s">
        <v>4373</v>
      </c>
      <c r="L517" s="53" t="s">
        <v>149</v>
      </c>
      <c r="M517" s="53">
        <v>0</v>
      </c>
      <c r="N517" s="53" t="s">
        <v>150</v>
      </c>
      <c r="O517" s="58" t="s">
        <v>5038</v>
      </c>
      <c r="P517" s="53" t="s">
        <v>3896</v>
      </c>
      <c r="Q517" s="58" t="s">
        <v>1433</v>
      </c>
      <c r="R517" s="53">
        <v>2009</v>
      </c>
      <c r="S517" s="53" t="s">
        <v>248</v>
      </c>
      <c r="T517" s="53" t="s">
        <v>1849</v>
      </c>
      <c r="U517" s="53"/>
      <c r="V517" s="53"/>
      <c r="W517" s="53"/>
      <c r="X517" s="57" t="s">
        <v>4373</v>
      </c>
      <c r="Y517" s="53"/>
      <c r="Z517" s="53"/>
      <c r="AA517" s="58"/>
      <c r="AB517" s="76" t="s">
        <v>156</v>
      </c>
      <c r="AC517" s="58"/>
      <c r="AD517" s="58"/>
      <c r="AE517" s="58"/>
      <c r="AF517" s="58"/>
      <c r="AG517" s="64" t="s">
        <v>206</v>
      </c>
      <c r="AH517" s="53" t="s">
        <v>155</v>
      </c>
      <c r="AI517" s="58"/>
      <c r="AJ517" s="167" t="s">
        <v>1912</v>
      </c>
      <c r="AK517" s="62" t="s">
        <v>156</v>
      </c>
      <c r="AL517" s="63" t="s">
        <v>712</v>
      </c>
      <c r="AM517" s="102" t="s">
        <v>1913</v>
      </c>
      <c r="AN517" s="157" t="s">
        <v>1914</v>
      </c>
      <c r="AO517" s="152" t="s">
        <v>164</v>
      </c>
      <c r="AP517" s="66" t="s">
        <v>223</v>
      </c>
      <c r="AQ517" s="88" t="s">
        <v>728</v>
      </c>
      <c r="AR517" s="58"/>
      <c r="AS517" s="58"/>
      <c r="AT517" s="58"/>
      <c r="AU517" s="54"/>
      <c r="AV517" s="54">
        <v>7380101</v>
      </c>
      <c r="AW517" s="53">
        <v>277</v>
      </c>
      <c r="AX517" s="60"/>
      <c r="BJ517" s="40"/>
      <c r="BK517" s="40"/>
      <c r="BN517" s="16"/>
      <c r="BO517" s="16"/>
    </row>
    <row r="518" spans="1:67" s="67" customFormat="1" ht="15.95" customHeight="1" x14ac:dyDescent="0.25">
      <c r="A518" s="16"/>
      <c r="B518" s="68">
        <f>SUBTOTAL(103,$K$504:K518)</f>
        <v>15</v>
      </c>
      <c r="C518" s="59" t="s">
        <v>407</v>
      </c>
      <c r="D518" s="53" t="s">
        <v>158</v>
      </c>
      <c r="E518" s="53" t="s">
        <v>19</v>
      </c>
      <c r="F518" s="53" t="s">
        <v>106</v>
      </c>
      <c r="G518" s="53" t="s">
        <v>4964</v>
      </c>
      <c r="H518" s="53" t="s">
        <v>4953</v>
      </c>
      <c r="I518" s="58" t="s">
        <v>472</v>
      </c>
      <c r="J518" s="58" t="s">
        <v>737</v>
      </c>
      <c r="K518" s="103" t="s">
        <v>4374</v>
      </c>
      <c r="L518" s="53" t="s">
        <v>170</v>
      </c>
      <c r="M518" s="68">
        <v>1</v>
      </c>
      <c r="N518" s="53" t="s">
        <v>150</v>
      </c>
      <c r="O518" s="58" t="s">
        <v>5038</v>
      </c>
      <c r="P518" s="53" t="s">
        <v>3896</v>
      </c>
      <c r="Q518" s="58" t="s">
        <v>56</v>
      </c>
      <c r="R518" s="53">
        <v>2010</v>
      </c>
      <c r="S518" s="53" t="s">
        <v>248</v>
      </c>
      <c r="T518" s="53"/>
      <c r="U518" s="53"/>
      <c r="V518" s="53" t="s">
        <v>401</v>
      </c>
      <c r="W518" s="53" t="s">
        <v>248</v>
      </c>
      <c r="X518" s="57" t="s">
        <v>4374</v>
      </c>
      <c r="Y518" s="59"/>
      <c r="Z518" s="53"/>
      <c r="AA518" s="58"/>
      <c r="AB518" s="76" t="s">
        <v>156</v>
      </c>
      <c r="AC518" s="58" t="s">
        <v>157</v>
      </c>
      <c r="AD518" s="53" t="s">
        <v>157</v>
      </c>
      <c r="AE518" s="53"/>
      <c r="AF518" s="148"/>
      <c r="AG518" s="59" t="s">
        <v>363</v>
      </c>
      <c r="AH518" s="53" t="s">
        <v>19</v>
      </c>
      <c r="AI518" s="58" t="s">
        <v>1477</v>
      </c>
      <c r="AJ518" s="167" t="s">
        <v>1915</v>
      </c>
      <c r="AK518" s="62" t="s">
        <v>156</v>
      </c>
      <c r="AL518" s="63" t="s">
        <v>347</v>
      </c>
      <c r="AM518" s="63" t="s">
        <v>1916</v>
      </c>
      <c r="AN518" s="157" t="s">
        <v>1917</v>
      </c>
      <c r="AO518" s="152" t="s">
        <v>164</v>
      </c>
      <c r="AP518" s="66" t="s">
        <v>1918</v>
      </c>
      <c r="AQ518" s="67" t="s">
        <v>449</v>
      </c>
      <c r="AR518" s="41"/>
      <c r="AS518" s="58"/>
      <c r="AT518" s="53"/>
      <c r="AU518" s="54"/>
      <c r="AV518" s="54">
        <v>7380101</v>
      </c>
      <c r="AW518" s="53">
        <v>278</v>
      </c>
      <c r="AX518" s="60"/>
      <c r="AY518" s="40"/>
      <c r="AZ518" s="40"/>
      <c r="BI518" s="36"/>
      <c r="BJ518" s="36"/>
      <c r="BK518" s="37"/>
      <c r="BN518" s="16"/>
      <c r="BO518" s="16"/>
    </row>
    <row r="519" spans="1:67" s="67" customFormat="1" ht="15.95" customHeight="1" x14ac:dyDescent="0.25">
      <c r="A519" s="16"/>
      <c r="B519" s="68">
        <f>SUBTOTAL(103,$K$504:K519)</f>
        <v>16</v>
      </c>
      <c r="C519" s="59" t="s">
        <v>415</v>
      </c>
      <c r="D519" s="53" t="s">
        <v>158</v>
      </c>
      <c r="E519" s="53" t="s">
        <v>19</v>
      </c>
      <c r="F519" s="53" t="s">
        <v>106</v>
      </c>
      <c r="G519" s="53" t="s">
        <v>4964</v>
      </c>
      <c r="H519" s="53" t="s">
        <v>4954</v>
      </c>
      <c r="I519" s="58" t="s">
        <v>933</v>
      </c>
      <c r="J519" s="58" t="s">
        <v>1467</v>
      </c>
      <c r="K519" s="103" t="s">
        <v>4375</v>
      </c>
      <c r="L519" s="53" t="s">
        <v>170</v>
      </c>
      <c r="M519" s="68">
        <v>1</v>
      </c>
      <c r="N519" s="53" t="s">
        <v>150</v>
      </c>
      <c r="O519" s="58" t="s">
        <v>5038</v>
      </c>
      <c r="P519" s="53" t="s">
        <v>3896</v>
      </c>
      <c r="Q519" s="58" t="s">
        <v>281</v>
      </c>
      <c r="R519" s="53">
        <v>2014</v>
      </c>
      <c r="S519" s="53" t="s">
        <v>153</v>
      </c>
      <c r="T519" s="53" t="s">
        <v>1919</v>
      </c>
      <c r="U519" s="53"/>
      <c r="V519" s="53"/>
      <c r="W519" s="53"/>
      <c r="X519" s="57" t="s">
        <v>4375</v>
      </c>
      <c r="Y519" s="59"/>
      <c r="Z519" s="53"/>
      <c r="AA519" s="58"/>
      <c r="AB519" s="76" t="s">
        <v>156</v>
      </c>
      <c r="AC519" s="58"/>
      <c r="AD519" s="58"/>
      <c r="AE519" s="58"/>
      <c r="AF519" s="148"/>
      <c r="AG519" s="58" t="s">
        <v>1920</v>
      </c>
      <c r="AH519" s="53" t="s">
        <v>155</v>
      </c>
      <c r="AI519" s="58"/>
      <c r="AJ519" s="167" t="s">
        <v>1921</v>
      </c>
      <c r="AK519" s="62" t="s">
        <v>156</v>
      </c>
      <c r="AL519" s="63" t="s">
        <v>1922</v>
      </c>
      <c r="AM519" s="102" t="s">
        <v>1923</v>
      </c>
      <c r="AN519" s="157" t="s">
        <v>1924</v>
      </c>
      <c r="AO519" s="152" t="s">
        <v>164</v>
      </c>
      <c r="AP519" s="66" t="s">
        <v>1925</v>
      </c>
      <c r="AQ519" s="84" t="s">
        <v>1132</v>
      </c>
      <c r="AR519" s="41"/>
      <c r="AS519" s="58"/>
      <c r="AT519" s="53"/>
      <c r="AU519" s="54"/>
      <c r="AV519" s="54">
        <v>7380101</v>
      </c>
      <c r="AW519" s="53">
        <v>279</v>
      </c>
      <c r="AX519" s="60"/>
      <c r="AY519" s="40"/>
      <c r="AZ519" s="40"/>
      <c r="BI519" s="36"/>
      <c r="BJ519" s="36"/>
      <c r="BK519" s="37"/>
      <c r="BN519" s="16"/>
      <c r="BO519" s="16"/>
    </row>
    <row r="520" spans="1:67" s="67" customFormat="1" ht="15.95" customHeight="1" x14ac:dyDescent="0.25">
      <c r="A520" s="16"/>
      <c r="B520" s="68">
        <f>SUBTOTAL(103,$K$504:K520)</f>
        <v>17</v>
      </c>
      <c r="C520" s="59" t="s">
        <v>543</v>
      </c>
      <c r="D520" s="53" t="s">
        <v>158</v>
      </c>
      <c r="E520" s="53" t="s">
        <v>19</v>
      </c>
      <c r="F520" s="53" t="s">
        <v>106</v>
      </c>
      <c r="G520" s="53" t="s">
        <v>4964</v>
      </c>
      <c r="H520" s="53" t="s">
        <v>4955</v>
      </c>
      <c r="I520" s="58" t="s">
        <v>1228</v>
      </c>
      <c r="J520" s="58" t="s">
        <v>1527</v>
      </c>
      <c r="K520" s="103" t="s">
        <v>4376</v>
      </c>
      <c r="L520" s="53" t="s">
        <v>149</v>
      </c>
      <c r="M520" s="53">
        <v>0</v>
      </c>
      <c r="N520" s="53" t="s">
        <v>150</v>
      </c>
      <c r="O520" s="58" t="s">
        <v>5038</v>
      </c>
      <c r="P520" s="53" t="s">
        <v>3896</v>
      </c>
      <c r="Q520" s="58" t="s">
        <v>1926</v>
      </c>
      <c r="R520" s="53">
        <v>2009</v>
      </c>
      <c r="S520" s="53" t="s">
        <v>153</v>
      </c>
      <c r="T520" s="53"/>
      <c r="U520" s="53"/>
      <c r="V520" s="53"/>
      <c r="W520" s="53"/>
      <c r="X520" s="57" t="s">
        <v>4376</v>
      </c>
      <c r="Y520" s="53"/>
      <c r="Z520" s="53"/>
      <c r="AA520" s="58"/>
      <c r="AB520" s="76" t="s">
        <v>156</v>
      </c>
      <c r="AC520" s="58" t="s">
        <v>157</v>
      </c>
      <c r="AD520" s="58"/>
      <c r="AE520" s="58"/>
      <c r="AF520" s="58"/>
      <c r="AG520" s="64" t="s">
        <v>228</v>
      </c>
      <c r="AH520" s="53" t="s">
        <v>1337</v>
      </c>
      <c r="AI520" s="58"/>
      <c r="AJ520" s="167" t="s">
        <v>1927</v>
      </c>
      <c r="AK520" s="62" t="s">
        <v>156</v>
      </c>
      <c r="AL520" s="63" t="s">
        <v>189</v>
      </c>
      <c r="AM520" s="102" t="s">
        <v>1792</v>
      </c>
      <c r="AN520" s="157" t="s">
        <v>1928</v>
      </c>
      <c r="AO520" s="152" t="s">
        <v>835</v>
      </c>
      <c r="AP520" s="66" t="s">
        <v>1929</v>
      </c>
      <c r="AQ520" s="88"/>
      <c r="AR520" s="58"/>
      <c r="AS520" s="58"/>
      <c r="AT520" s="58"/>
      <c r="AU520" s="54"/>
      <c r="AV520" s="54">
        <v>7380101</v>
      </c>
      <c r="AW520" s="53">
        <v>280</v>
      </c>
      <c r="AX520" s="60"/>
      <c r="BJ520" s="40"/>
      <c r="BK520" s="40"/>
      <c r="BN520" s="16"/>
      <c r="BO520" s="16"/>
    </row>
    <row r="521" spans="1:67" s="67" customFormat="1" ht="15.95" customHeight="1" x14ac:dyDescent="0.25">
      <c r="A521" s="16"/>
      <c r="B521" s="68">
        <f>SUBTOTAL(103,$K$504:K521)</f>
        <v>18</v>
      </c>
      <c r="C521" s="59" t="s">
        <v>555</v>
      </c>
      <c r="D521" s="53" t="s">
        <v>158</v>
      </c>
      <c r="E521" s="53" t="s">
        <v>19</v>
      </c>
      <c r="F521" s="53" t="s">
        <v>106</v>
      </c>
      <c r="G521" s="53" t="s">
        <v>4964</v>
      </c>
      <c r="H521" s="53" t="s">
        <v>4956</v>
      </c>
      <c r="I521" s="58" t="s">
        <v>1930</v>
      </c>
      <c r="J521" s="58" t="s">
        <v>280</v>
      </c>
      <c r="K521" s="103" t="s">
        <v>4377</v>
      </c>
      <c r="L521" s="53" t="s">
        <v>149</v>
      </c>
      <c r="M521" s="53">
        <v>0</v>
      </c>
      <c r="N521" s="53" t="s">
        <v>150</v>
      </c>
      <c r="O521" s="58" t="s">
        <v>5038</v>
      </c>
      <c r="P521" s="53" t="s">
        <v>3896</v>
      </c>
      <c r="Q521" s="58" t="s">
        <v>54</v>
      </c>
      <c r="R521" s="53">
        <v>2025</v>
      </c>
      <c r="S521" s="53" t="s">
        <v>248</v>
      </c>
      <c r="T521" s="53" t="s">
        <v>1931</v>
      </c>
      <c r="U521" s="53"/>
      <c r="V521" s="53" t="s">
        <v>654</v>
      </c>
      <c r="W521" s="53" t="s">
        <v>248</v>
      </c>
      <c r="X521" s="57" t="s">
        <v>4377</v>
      </c>
      <c r="Y521" s="53"/>
      <c r="Z521" s="53"/>
      <c r="AA521" s="58"/>
      <c r="AB521" s="76" t="s">
        <v>156</v>
      </c>
      <c r="AC521" s="58" t="s">
        <v>157</v>
      </c>
      <c r="AD521" s="58" t="s">
        <v>157</v>
      </c>
      <c r="AE521" s="58"/>
      <c r="AF521" s="58"/>
      <c r="AG521" s="58" t="s">
        <v>228</v>
      </c>
      <c r="AH521" s="53" t="s">
        <v>155</v>
      </c>
      <c r="AI521" s="58"/>
      <c r="AJ521" s="167" t="s">
        <v>1932</v>
      </c>
      <c r="AK521" s="62" t="s">
        <v>156</v>
      </c>
      <c r="AL521" s="71" t="s">
        <v>229</v>
      </c>
      <c r="AM521" s="178" t="s">
        <v>1902</v>
      </c>
      <c r="AN521" s="285" t="s">
        <v>1933</v>
      </c>
      <c r="AO521" s="152" t="s">
        <v>164</v>
      </c>
      <c r="AP521" s="66" t="s">
        <v>1934</v>
      </c>
      <c r="AQ521" s="67" t="s">
        <v>334</v>
      </c>
      <c r="AR521" s="41"/>
      <c r="AS521" s="58"/>
      <c r="AT521" s="53"/>
      <c r="AU521" s="54"/>
      <c r="AV521" s="54">
        <v>7380101</v>
      </c>
      <c r="AW521" s="53">
        <v>281</v>
      </c>
      <c r="AX521" s="60"/>
      <c r="AY521" s="40"/>
      <c r="AZ521" s="40"/>
      <c r="BI521" s="36"/>
      <c r="BJ521" s="36"/>
      <c r="BK521" s="37"/>
      <c r="BN521" s="16"/>
      <c r="BO521" s="16"/>
    </row>
    <row r="522" spans="1:67" s="67" customFormat="1" ht="15.95" customHeight="1" x14ac:dyDescent="0.25">
      <c r="A522" s="16"/>
      <c r="B522" s="68">
        <f>SUBTOTAL(103,$K$504:K522)</f>
        <v>19</v>
      </c>
      <c r="C522" s="59" t="s">
        <v>563</v>
      </c>
      <c r="D522" s="53" t="s">
        <v>158</v>
      </c>
      <c r="E522" s="53" t="s">
        <v>19</v>
      </c>
      <c r="F522" s="53" t="s">
        <v>106</v>
      </c>
      <c r="G522" s="53" t="s">
        <v>4964</v>
      </c>
      <c r="H522" s="53" t="s">
        <v>4957</v>
      </c>
      <c r="I522" s="58" t="s">
        <v>1935</v>
      </c>
      <c r="J522" s="58" t="s">
        <v>1018</v>
      </c>
      <c r="K522" s="103" t="s">
        <v>4378</v>
      </c>
      <c r="L522" s="53" t="s">
        <v>149</v>
      </c>
      <c r="M522" s="53">
        <v>0</v>
      </c>
      <c r="N522" s="53" t="s">
        <v>150</v>
      </c>
      <c r="O522" s="58" t="s">
        <v>5038</v>
      </c>
      <c r="P522" s="53" t="s">
        <v>3896</v>
      </c>
      <c r="Q522" s="58" t="s">
        <v>1874</v>
      </c>
      <c r="R522" s="53">
        <v>2015</v>
      </c>
      <c r="S522" s="53" t="s">
        <v>337</v>
      </c>
      <c r="T522" s="53"/>
      <c r="U522" s="53"/>
      <c r="V522" s="53"/>
      <c r="W522" s="53"/>
      <c r="X522" s="57" t="s">
        <v>4378</v>
      </c>
      <c r="Y522" s="59"/>
      <c r="Z522" s="53"/>
      <c r="AA522" s="58"/>
      <c r="AB522" s="76" t="s">
        <v>156</v>
      </c>
      <c r="AC522" s="58"/>
      <c r="AD522" s="53"/>
      <c r="AE522" s="58"/>
      <c r="AF522" s="148"/>
      <c r="AG522" s="58" t="s">
        <v>206</v>
      </c>
      <c r="AH522" s="53" t="s">
        <v>19</v>
      </c>
      <c r="AI522" s="58"/>
      <c r="AJ522" s="167" t="s">
        <v>1936</v>
      </c>
      <c r="AK522" s="62" t="s">
        <v>156</v>
      </c>
      <c r="AL522" s="63" t="s">
        <v>229</v>
      </c>
      <c r="AM522" s="102" t="s">
        <v>1251</v>
      </c>
      <c r="AN522" s="157" t="s">
        <v>1937</v>
      </c>
      <c r="AO522" s="152" t="s">
        <v>164</v>
      </c>
      <c r="AP522" s="66" t="s">
        <v>1938</v>
      </c>
      <c r="AQ522" s="67" t="s">
        <v>224</v>
      </c>
      <c r="AR522" s="41"/>
      <c r="AS522" s="58"/>
      <c r="AT522" s="53"/>
      <c r="AU522" s="54"/>
      <c r="AV522" s="54">
        <v>7380101</v>
      </c>
      <c r="AW522" s="53">
        <v>282</v>
      </c>
      <c r="AX522" s="60"/>
      <c r="AY522" s="40"/>
      <c r="AZ522" s="40"/>
      <c r="BI522" s="36"/>
      <c r="BJ522" s="36"/>
      <c r="BK522" s="37"/>
      <c r="BN522" s="16"/>
      <c r="BO522" s="16"/>
    </row>
    <row r="523" spans="1:67" s="67" customFormat="1" ht="15.95" customHeight="1" x14ac:dyDescent="0.25">
      <c r="A523" s="16"/>
      <c r="B523" s="68">
        <f>SUBTOTAL(103,$K$504:K523)</f>
        <v>20</v>
      </c>
      <c r="C523" s="59" t="s">
        <v>572</v>
      </c>
      <c r="D523" s="53" t="s">
        <v>158</v>
      </c>
      <c r="E523" s="68" t="s">
        <v>19</v>
      </c>
      <c r="F523" s="59" t="s">
        <v>106</v>
      </c>
      <c r="G523" s="53" t="s">
        <v>4964</v>
      </c>
      <c r="H523" s="53" t="s">
        <v>4958</v>
      </c>
      <c r="I523" s="73" t="s">
        <v>439</v>
      </c>
      <c r="J523" s="74" t="s">
        <v>1799</v>
      </c>
      <c r="K523" s="75" t="s">
        <v>4379</v>
      </c>
      <c r="L523" s="59" t="s">
        <v>170</v>
      </c>
      <c r="M523" s="68">
        <v>1</v>
      </c>
      <c r="N523" s="59" t="s">
        <v>150</v>
      </c>
      <c r="O523" s="58" t="s">
        <v>5038</v>
      </c>
      <c r="P523" s="53" t="s">
        <v>3896</v>
      </c>
      <c r="Q523" s="73" t="s">
        <v>56</v>
      </c>
      <c r="R523" s="59" t="s">
        <v>1939</v>
      </c>
      <c r="S523" s="59" t="s">
        <v>337</v>
      </c>
      <c r="T523" s="59" t="s">
        <v>1940</v>
      </c>
      <c r="U523" s="59"/>
      <c r="V523" s="59"/>
      <c r="W523" s="59"/>
      <c r="X523" s="75" t="s">
        <v>4379</v>
      </c>
      <c r="Y523" s="59"/>
      <c r="Z523" s="59"/>
      <c r="AA523" s="58"/>
      <c r="AB523" s="76" t="s">
        <v>156</v>
      </c>
      <c r="AC523" s="59" t="s">
        <v>157</v>
      </c>
      <c r="AD523" s="59"/>
      <c r="AE523" s="59"/>
      <c r="AF523" s="59"/>
      <c r="AG523" s="59" t="s">
        <v>228</v>
      </c>
      <c r="AH523" s="53" t="s">
        <v>19</v>
      </c>
      <c r="AI523" s="59"/>
      <c r="AJ523" s="166" t="s">
        <v>1941</v>
      </c>
      <c r="AK523" s="62" t="s">
        <v>156</v>
      </c>
      <c r="AL523" s="71" t="s">
        <v>436</v>
      </c>
      <c r="AM523" s="178" t="s">
        <v>463</v>
      </c>
      <c r="AN523" s="155" t="s">
        <v>1942</v>
      </c>
      <c r="AO523" s="71" t="s">
        <v>164</v>
      </c>
      <c r="AP523" s="66" t="s">
        <v>743</v>
      </c>
      <c r="AQ523" s="67" t="s">
        <v>180</v>
      </c>
      <c r="AR523" s="41"/>
      <c r="AS523" s="58"/>
      <c r="AT523" s="53"/>
      <c r="AU523" s="54"/>
      <c r="AV523" s="54">
        <v>7380101</v>
      </c>
      <c r="AW523" s="53">
        <v>283</v>
      </c>
      <c r="AX523" s="60"/>
      <c r="AY523" s="40"/>
      <c r="AZ523" s="40"/>
      <c r="BI523" s="36"/>
      <c r="BJ523" s="36"/>
      <c r="BK523" s="37"/>
      <c r="BN523" s="16"/>
      <c r="BO523" s="16"/>
    </row>
    <row r="524" spans="1:67" s="67" customFormat="1" ht="15.95" customHeight="1" x14ac:dyDescent="0.25">
      <c r="A524" s="16"/>
      <c r="B524" s="68">
        <f>SUBTOTAL(103,$K$504:K524)</f>
        <v>21</v>
      </c>
      <c r="C524" s="59" t="s">
        <v>581</v>
      </c>
      <c r="D524" s="53" t="s">
        <v>158</v>
      </c>
      <c r="E524" s="53" t="s">
        <v>19</v>
      </c>
      <c r="F524" s="53" t="s">
        <v>106</v>
      </c>
      <c r="G524" s="53" t="s">
        <v>4964</v>
      </c>
      <c r="H524" s="53" t="s">
        <v>4959</v>
      </c>
      <c r="I524" s="58" t="s">
        <v>531</v>
      </c>
      <c r="J524" s="58" t="s">
        <v>627</v>
      </c>
      <c r="K524" s="103" t="s">
        <v>4380</v>
      </c>
      <c r="L524" s="53" t="s">
        <v>170</v>
      </c>
      <c r="M524" s="68">
        <v>1</v>
      </c>
      <c r="N524" s="68" t="s">
        <v>509</v>
      </c>
      <c r="O524" s="58" t="s">
        <v>5038</v>
      </c>
      <c r="P524" s="53" t="s">
        <v>3896</v>
      </c>
      <c r="Q524" s="58" t="s">
        <v>93</v>
      </c>
      <c r="R524" s="53">
        <v>2010</v>
      </c>
      <c r="S524" s="68" t="s">
        <v>153</v>
      </c>
      <c r="T524" s="53" t="s">
        <v>1019</v>
      </c>
      <c r="U524" s="53"/>
      <c r="V524" s="53" t="s">
        <v>154</v>
      </c>
      <c r="W524" s="59" t="s">
        <v>153</v>
      </c>
      <c r="X524" s="57" t="s">
        <v>4380</v>
      </c>
      <c r="Y524" s="59"/>
      <c r="Z524" s="53"/>
      <c r="AA524" s="58"/>
      <c r="AB524" s="76" t="s">
        <v>156</v>
      </c>
      <c r="AC524" s="58" t="s">
        <v>157</v>
      </c>
      <c r="AD524" s="53" t="s">
        <v>157</v>
      </c>
      <c r="AE524" s="53"/>
      <c r="AF524" s="148"/>
      <c r="AG524" s="59" t="s">
        <v>295</v>
      </c>
      <c r="AH524" s="53" t="s">
        <v>155</v>
      </c>
      <c r="AI524" s="58"/>
      <c r="AJ524" s="167" t="s">
        <v>1943</v>
      </c>
      <c r="AK524" s="62" t="s">
        <v>156</v>
      </c>
      <c r="AL524" s="71" t="s">
        <v>1321</v>
      </c>
      <c r="AM524" s="102" t="s">
        <v>1944</v>
      </c>
      <c r="AN524" s="157" t="s">
        <v>1945</v>
      </c>
      <c r="AO524" s="71" t="s">
        <v>164</v>
      </c>
      <c r="AP524" s="66" t="s">
        <v>1946</v>
      </c>
      <c r="AQ524" s="67" t="s">
        <v>334</v>
      </c>
      <c r="AR524" s="41"/>
      <c r="AS524" s="58"/>
      <c r="AT524" s="53"/>
      <c r="AU524" s="54"/>
      <c r="AV524" s="54">
        <v>7380101</v>
      </c>
      <c r="AW524" s="53">
        <v>284</v>
      </c>
      <c r="AX524" s="60"/>
      <c r="AY524" s="40"/>
      <c r="AZ524" s="40"/>
      <c r="BI524" s="36"/>
      <c r="BJ524" s="36"/>
      <c r="BK524" s="37"/>
      <c r="BN524" s="16"/>
      <c r="BO524" s="16"/>
    </row>
    <row r="525" spans="1:67" s="67" customFormat="1" ht="15.95" customHeight="1" x14ac:dyDescent="0.25">
      <c r="A525" s="16"/>
      <c r="B525" s="68">
        <f>SUBTOTAL(103,$K$504:K525)</f>
        <v>22</v>
      </c>
      <c r="C525" s="59" t="s">
        <v>588</v>
      </c>
      <c r="D525" s="53" t="s">
        <v>158</v>
      </c>
      <c r="E525" s="53" t="s">
        <v>19</v>
      </c>
      <c r="F525" s="53" t="s">
        <v>106</v>
      </c>
      <c r="G525" s="53" t="s">
        <v>4964</v>
      </c>
      <c r="H525" s="53" t="s">
        <v>4960</v>
      </c>
      <c r="I525" s="58" t="s">
        <v>420</v>
      </c>
      <c r="J525" s="58" t="s">
        <v>370</v>
      </c>
      <c r="K525" s="103" t="s">
        <v>4381</v>
      </c>
      <c r="L525" s="53" t="s">
        <v>170</v>
      </c>
      <c r="M525" s="68">
        <v>1</v>
      </c>
      <c r="N525" s="53" t="s">
        <v>150</v>
      </c>
      <c r="O525" s="58" t="s">
        <v>5038</v>
      </c>
      <c r="P525" s="53" t="s">
        <v>3896</v>
      </c>
      <c r="Q525" s="58" t="s">
        <v>56</v>
      </c>
      <c r="R525" s="53">
        <v>2020</v>
      </c>
      <c r="S525" s="53" t="s">
        <v>153</v>
      </c>
      <c r="T525" s="53"/>
      <c r="U525" s="53" t="s">
        <v>1947</v>
      </c>
      <c r="V525" s="53" t="s">
        <v>1013</v>
      </c>
      <c r="W525" s="53" t="s">
        <v>248</v>
      </c>
      <c r="X525" s="57" t="s">
        <v>4381</v>
      </c>
      <c r="Y525" s="59"/>
      <c r="Z525" s="53"/>
      <c r="AA525" s="58"/>
      <c r="AB525" s="76" t="s">
        <v>156</v>
      </c>
      <c r="AC525" s="58" t="s">
        <v>157</v>
      </c>
      <c r="AD525" s="58" t="s">
        <v>157</v>
      </c>
      <c r="AE525" s="58"/>
      <c r="AF525" s="58"/>
      <c r="AG525" s="59" t="s">
        <v>1263</v>
      </c>
      <c r="AH525" s="68" t="s">
        <v>19</v>
      </c>
      <c r="AI525" s="58"/>
      <c r="AJ525" s="167" t="s">
        <v>1948</v>
      </c>
      <c r="AK525" s="62" t="s">
        <v>156</v>
      </c>
      <c r="AL525" s="71" t="s">
        <v>366</v>
      </c>
      <c r="AM525" s="79" t="s">
        <v>1949</v>
      </c>
      <c r="AN525" s="157" t="s">
        <v>1950</v>
      </c>
      <c r="AO525" s="152" t="s">
        <v>164</v>
      </c>
      <c r="AP525" s="66"/>
      <c r="AQ525" s="67" t="s">
        <v>975</v>
      </c>
      <c r="AR525" s="41"/>
      <c r="AS525" s="58"/>
      <c r="AT525" s="53"/>
      <c r="AU525" s="54"/>
      <c r="AV525" s="54">
        <v>7380101</v>
      </c>
      <c r="AW525" s="53">
        <v>285</v>
      </c>
      <c r="AX525" s="60"/>
      <c r="AY525" s="40"/>
      <c r="AZ525" s="40"/>
      <c r="BI525" s="36"/>
      <c r="BJ525" s="36"/>
      <c r="BK525" s="37"/>
      <c r="BN525" s="16"/>
      <c r="BO525" s="16"/>
    </row>
    <row r="526" spans="1:67" s="67" customFormat="1" ht="15.95" customHeight="1" x14ac:dyDescent="0.25">
      <c r="A526" s="16"/>
      <c r="B526" s="68">
        <f>SUBTOTAL(103,$K$504:K526)</f>
        <v>23</v>
      </c>
      <c r="C526" s="59" t="s">
        <v>594</v>
      </c>
      <c r="D526" s="53" t="s">
        <v>158</v>
      </c>
      <c r="E526" s="68" t="s">
        <v>19</v>
      </c>
      <c r="F526" s="53" t="s">
        <v>104</v>
      </c>
      <c r="G526" s="53" t="s">
        <v>4964</v>
      </c>
      <c r="H526" s="53" t="s">
        <v>4961</v>
      </c>
      <c r="I526" s="58" t="s">
        <v>1951</v>
      </c>
      <c r="J526" s="58" t="s">
        <v>342</v>
      </c>
      <c r="K526" s="103" t="s">
        <v>4382</v>
      </c>
      <c r="L526" s="53" t="s">
        <v>170</v>
      </c>
      <c r="M526" s="68">
        <v>1</v>
      </c>
      <c r="N526" s="68" t="s">
        <v>150</v>
      </c>
      <c r="O526" s="58" t="s">
        <v>5038</v>
      </c>
      <c r="P526" s="53" t="s">
        <v>3896</v>
      </c>
      <c r="Q526" s="58" t="s">
        <v>1952</v>
      </c>
      <c r="R526" s="53">
        <v>2018</v>
      </c>
      <c r="S526" s="68" t="s">
        <v>236</v>
      </c>
      <c r="T526" s="53" t="s">
        <v>685</v>
      </c>
      <c r="U526" s="53"/>
      <c r="V526" s="53" t="s">
        <v>607</v>
      </c>
      <c r="W526" s="53" t="s">
        <v>236</v>
      </c>
      <c r="X526" s="57" t="s">
        <v>4382</v>
      </c>
      <c r="Y526" s="59" t="s">
        <v>1971</v>
      </c>
      <c r="Z526" s="53">
        <v>22.4</v>
      </c>
      <c r="AA526" s="58"/>
      <c r="AB526" s="76" t="s">
        <v>156</v>
      </c>
      <c r="AC526" s="58" t="s">
        <v>157</v>
      </c>
      <c r="AD526" s="58" t="s">
        <v>157</v>
      </c>
      <c r="AE526" s="58"/>
      <c r="AF526" s="148"/>
      <c r="AG526" s="58" t="s">
        <v>1953</v>
      </c>
      <c r="AH526" s="53" t="s">
        <v>155</v>
      </c>
      <c r="AI526" s="58"/>
      <c r="AJ526" s="167" t="s">
        <v>1954</v>
      </c>
      <c r="AK526" s="62" t="s">
        <v>156</v>
      </c>
      <c r="AL526" s="71" t="s">
        <v>220</v>
      </c>
      <c r="AM526" s="178" t="s">
        <v>1955</v>
      </c>
      <c r="AN526" s="157" t="s">
        <v>1956</v>
      </c>
      <c r="AO526" s="62" t="s">
        <v>164</v>
      </c>
      <c r="AP526" s="66"/>
      <c r="AQ526" s="67" t="s">
        <v>515</v>
      </c>
      <c r="AR526" s="41"/>
      <c r="AS526" s="58"/>
      <c r="AT526" s="53"/>
      <c r="AU526" s="54"/>
      <c r="AV526" s="54">
        <v>7380101</v>
      </c>
      <c r="AW526" s="53">
        <v>286</v>
      </c>
      <c r="AX526" s="60"/>
      <c r="AY526" s="40"/>
      <c r="AZ526" s="40"/>
      <c r="BI526" s="36"/>
      <c r="BJ526" s="36"/>
      <c r="BK526" s="37"/>
      <c r="BN526" s="16"/>
      <c r="BO526" s="16"/>
    </row>
    <row r="527" spans="1:67" s="67" customFormat="1" ht="15.95" customHeight="1" x14ac:dyDescent="0.25">
      <c r="A527" s="16"/>
      <c r="B527" s="68">
        <f>SUBTOTAL(103,$K$504:K527)</f>
        <v>24</v>
      </c>
      <c r="C527" s="59" t="s">
        <v>599</v>
      </c>
      <c r="D527" s="53" t="s">
        <v>158</v>
      </c>
      <c r="E527" s="53" t="s">
        <v>19</v>
      </c>
      <c r="F527" s="53" t="s">
        <v>104</v>
      </c>
      <c r="G527" s="53" t="s">
        <v>4964</v>
      </c>
      <c r="H527" s="53" t="s">
        <v>4962</v>
      </c>
      <c r="I527" s="58" t="s">
        <v>1957</v>
      </c>
      <c r="J527" s="58" t="s">
        <v>352</v>
      </c>
      <c r="K527" s="103" t="s">
        <v>4383</v>
      </c>
      <c r="L527" s="53" t="s">
        <v>149</v>
      </c>
      <c r="M527" s="53">
        <v>0</v>
      </c>
      <c r="N527" s="53" t="s">
        <v>150</v>
      </c>
      <c r="O527" s="58" t="s">
        <v>5038</v>
      </c>
      <c r="P527" s="53" t="s">
        <v>3896</v>
      </c>
      <c r="Q527" s="58" t="s">
        <v>1378</v>
      </c>
      <c r="R527" s="53">
        <v>2014</v>
      </c>
      <c r="S527" s="53" t="s">
        <v>153</v>
      </c>
      <c r="T527" s="53" t="s">
        <v>548</v>
      </c>
      <c r="U527" s="53"/>
      <c r="V527" s="53"/>
      <c r="W527" s="53"/>
      <c r="X527" s="57" t="s">
        <v>4383</v>
      </c>
      <c r="Y527" s="53" t="s">
        <v>1971</v>
      </c>
      <c r="Z527" s="53">
        <v>14.3</v>
      </c>
      <c r="AA527" s="58"/>
      <c r="AB527" s="76" t="s">
        <v>156</v>
      </c>
      <c r="AC527" s="58" t="s">
        <v>157</v>
      </c>
      <c r="AD527" s="58" t="s">
        <v>157</v>
      </c>
      <c r="AE527" s="58"/>
      <c r="AF527" s="58"/>
      <c r="AG527" s="64" t="s">
        <v>1958</v>
      </c>
      <c r="AH527" s="53" t="s">
        <v>155</v>
      </c>
      <c r="AI527" s="58"/>
      <c r="AJ527" s="167" t="s">
        <v>1959</v>
      </c>
      <c r="AK527" s="62" t="s">
        <v>156</v>
      </c>
      <c r="AL527" s="63" t="s">
        <v>1960</v>
      </c>
      <c r="AM527" s="102" t="s">
        <v>1961</v>
      </c>
      <c r="AN527" s="157" t="s">
        <v>1962</v>
      </c>
      <c r="AO527" s="152" t="s">
        <v>164</v>
      </c>
      <c r="AP527" s="66" t="s">
        <v>405</v>
      </c>
      <c r="AQ527" s="88"/>
      <c r="AR527" s="58"/>
      <c r="AS527" s="58"/>
      <c r="AT527" s="58"/>
      <c r="AU527" s="54"/>
      <c r="AV527" s="54">
        <v>7380101</v>
      </c>
      <c r="AW527" s="53">
        <v>287</v>
      </c>
      <c r="AX527" s="60"/>
      <c r="BJ527" s="40"/>
      <c r="BK527" s="40"/>
      <c r="BN527" s="16"/>
      <c r="BO527" s="16"/>
    </row>
    <row r="528" spans="1:67" s="67" customFormat="1" ht="15.95" customHeight="1" x14ac:dyDescent="0.25">
      <c r="A528" s="16"/>
      <c r="B528" s="68">
        <f>SUBTOTAL(103,$K$504:K528)</f>
        <v>25</v>
      </c>
      <c r="C528" s="59" t="s">
        <v>605</v>
      </c>
      <c r="D528" s="53" t="s">
        <v>158</v>
      </c>
      <c r="E528" s="68" t="s">
        <v>19</v>
      </c>
      <c r="F528" s="53" t="s">
        <v>104</v>
      </c>
      <c r="G528" s="53" t="s">
        <v>4964</v>
      </c>
      <c r="H528" s="53" t="s">
        <v>4963</v>
      </c>
      <c r="I528" s="58" t="s">
        <v>1267</v>
      </c>
      <c r="J528" s="58" t="s">
        <v>1963</v>
      </c>
      <c r="K528" s="103" t="s">
        <v>4384</v>
      </c>
      <c r="L528" s="68" t="s">
        <v>149</v>
      </c>
      <c r="M528" s="53">
        <v>0</v>
      </c>
      <c r="N528" s="68" t="s">
        <v>150</v>
      </c>
      <c r="O528" s="58" t="s">
        <v>5038</v>
      </c>
      <c r="P528" s="53" t="s">
        <v>3896</v>
      </c>
      <c r="Q528" s="58" t="s">
        <v>1964</v>
      </c>
      <c r="R528" s="53">
        <v>2016</v>
      </c>
      <c r="S528" s="68" t="s">
        <v>337</v>
      </c>
      <c r="T528" s="53" t="s">
        <v>434</v>
      </c>
      <c r="U528" s="53"/>
      <c r="V528" s="53" t="s">
        <v>1849</v>
      </c>
      <c r="W528" s="59" t="s">
        <v>248</v>
      </c>
      <c r="X528" s="57" t="s">
        <v>4384</v>
      </c>
      <c r="Y528" s="59" t="s">
        <v>3852</v>
      </c>
      <c r="Z528" s="53">
        <v>18.2</v>
      </c>
      <c r="AA528" s="58"/>
      <c r="AB528" s="76" t="s">
        <v>156</v>
      </c>
      <c r="AC528" s="53" t="s">
        <v>157</v>
      </c>
      <c r="AD528" s="53" t="s">
        <v>157</v>
      </c>
      <c r="AE528" s="58"/>
      <c r="AF528" s="148"/>
      <c r="AG528" s="74" t="s">
        <v>1965</v>
      </c>
      <c r="AH528" s="53" t="s">
        <v>155</v>
      </c>
      <c r="AI528" s="58"/>
      <c r="AJ528" s="167" t="s">
        <v>1966</v>
      </c>
      <c r="AK528" s="62" t="s">
        <v>156</v>
      </c>
      <c r="AL528" s="71" t="s">
        <v>229</v>
      </c>
      <c r="AM528" s="102" t="s">
        <v>1265</v>
      </c>
      <c r="AN528" s="157" t="s">
        <v>1967</v>
      </c>
      <c r="AO528" s="152" t="s">
        <v>164</v>
      </c>
      <c r="AP528" s="66" t="s">
        <v>498</v>
      </c>
      <c r="AQ528" s="67" t="s">
        <v>1090</v>
      </c>
      <c r="AR528" s="41"/>
      <c r="AS528" s="58"/>
      <c r="AT528" s="53"/>
      <c r="AU528" s="54"/>
      <c r="AV528" s="54">
        <v>7380101</v>
      </c>
      <c r="AW528" s="53">
        <v>288</v>
      </c>
      <c r="AX528" s="60"/>
      <c r="AY528" s="40"/>
      <c r="AZ528" s="40"/>
      <c r="BI528" s="36"/>
      <c r="BJ528" s="36"/>
      <c r="BK528" s="37"/>
      <c r="BN528" s="16"/>
      <c r="BO528" s="16"/>
    </row>
    <row r="529" spans="1:67" s="67" customFormat="1" ht="15.95" customHeight="1" x14ac:dyDescent="0.25">
      <c r="A529" s="16"/>
      <c r="B529" s="55"/>
      <c r="C529" s="55"/>
      <c r="D529" s="53"/>
      <c r="E529" s="68"/>
      <c r="F529" s="49"/>
      <c r="G529" s="49"/>
      <c r="H529" s="49"/>
      <c r="I529" s="56" t="s">
        <v>145</v>
      </c>
      <c r="J529" s="49"/>
      <c r="K529" s="103"/>
      <c r="L529" s="53"/>
      <c r="M529" s="53"/>
      <c r="N529" s="53"/>
      <c r="O529" s="58"/>
      <c r="P529" s="53"/>
      <c r="Q529" s="58"/>
      <c r="R529" s="53"/>
      <c r="S529" s="53"/>
      <c r="T529" s="53"/>
      <c r="U529" s="53"/>
      <c r="V529" s="53"/>
      <c r="W529" s="53"/>
      <c r="X529" s="57"/>
      <c r="Y529" s="53"/>
      <c r="Z529" s="53"/>
      <c r="AA529" s="58"/>
      <c r="AB529" s="76"/>
      <c r="AC529" s="58"/>
      <c r="AD529" s="58"/>
      <c r="AE529" s="58"/>
      <c r="AF529" s="58"/>
      <c r="AG529" s="58"/>
      <c r="AH529" s="53"/>
      <c r="AI529" s="58"/>
      <c r="AJ529" s="167"/>
      <c r="AK529" s="62"/>
      <c r="AL529" s="71"/>
      <c r="AM529" s="83"/>
      <c r="AN529" s="285"/>
      <c r="AO529" s="152"/>
      <c r="AP529" s="66"/>
      <c r="AR529" s="41"/>
      <c r="AS529" s="58"/>
      <c r="AT529" s="53"/>
      <c r="AU529" s="54"/>
      <c r="AV529" s="54">
        <v>7480201</v>
      </c>
      <c r="AW529" s="53">
        <v>2</v>
      </c>
      <c r="AX529" s="60"/>
      <c r="AY529" s="40"/>
      <c r="AZ529" s="40"/>
      <c r="BI529" s="36"/>
      <c r="BJ529" s="36"/>
      <c r="BK529" s="37"/>
      <c r="BN529" s="16"/>
      <c r="BO529" s="16"/>
    </row>
    <row r="530" spans="1:67" s="67" customFormat="1" ht="15.95" customHeight="1" x14ac:dyDescent="0.25">
      <c r="A530" s="16"/>
      <c r="B530" s="68">
        <f>SUBTOTAL(103,$K$530:K530)</f>
        <v>1</v>
      </c>
      <c r="C530" s="59" t="s">
        <v>146</v>
      </c>
      <c r="D530" s="53" t="s">
        <v>158</v>
      </c>
      <c r="E530" s="68" t="s">
        <v>155</v>
      </c>
      <c r="F530" s="59" t="s">
        <v>105</v>
      </c>
      <c r="G530" s="59" t="s">
        <v>4965</v>
      </c>
      <c r="H530" s="59" t="s">
        <v>4966</v>
      </c>
      <c r="I530" s="73" t="s">
        <v>147</v>
      </c>
      <c r="J530" s="74" t="s">
        <v>148</v>
      </c>
      <c r="K530" s="75" t="s">
        <v>4385</v>
      </c>
      <c r="L530" s="59" t="s">
        <v>149</v>
      </c>
      <c r="M530" s="53">
        <v>0</v>
      </c>
      <c r="N530" s="59" t="s">
        <v>150</v>
      </c>
      <c r="O530" s="73" t="s">
        <v>5039</v>
      </c>
      <c r="P530" s="59" t="s">
        <v>3897</v>
      </c>
      <c r="Q530" s="73" t="s">
        <v>151</v>
      </c>
      <c r="R530" s="59" t="s">
        <v>152</v>
      </c>
      <c r="S530" s="59" t="s">
        <v>153</v>
      </c>
      <c r="T530" s="59"/>
      <c r="U530" s="59"/>
      <c r="V530" s="59" t="s">
        <v>154</v>
      </c>
      <c r="W530" s="59" t="s">
        <v>153</v>
      </c>
      <c r="X530" s="75" t="s">
        <v>4385</v>
      </c>
      <c r="Y530" s="59"/>
      <c r="Z530" s="59"/>
      <c r="AA530" s="58"/>
      <c r="AB530" s="76" t="s">
        <v>156</v>
      </c>
      <c r="AC530" s="59" t="s">
        <v>157</v>
      </c>
      <c r="AD530" s="59" t="s">
        <v>157</v>
      </c>
      <c r="AE530" s="59"/>
      <c r="AF530" s="59"/>
      <c r="AG530" s="59" t="s">
        <v>159</v>
      </c>
      <c r="AH530" s="59"/>
      <c r="AI530" s="59"/>
      <c r="AJ530" s="166" t="s">
        <v>160</v>
      </c>
      <c r="AK530" s="62" t="s">
        <v>156</v>
      </c>
      <c r="AL530" s="71" t="s">
        <v>161</v>
      </c>
      <c r="AM530" s="83" t="s">
        <v>162</v>
      </c>
      <c r="AN530" s="155" t="s">
        <v>163</v>
      </c>
      <c r="AO530" s="71" t="s">
        <v>164</v>
      </c>
      <c r="AP530" s="66" t="s">
        <v>165</v>
      </c>
      <c r="AQ530" s="67" t="s">
        <v>166</v>
      </c>
      <c r="AR530" s="41"/>
      <c r="AS530" s="58"/>
      <c r="AT530" s="53"/>
      <c r="AU530" s="54"/>
      <c r="AV530" s="54">
        <v>7480201</v>
      </c>
      <c r="AW530" s="53">
        <v>3</v>
      </c>
      <c r="AX530" s="60"/>
      <c r="AY530" s="40"/>
      <c r="AZ530" s="40"/>
      <c r="BI530" s="36"/>
      <c r="BJ530" s="36"/>
      <c r="BK530" s="37"/>
      <c r="BN530" s="16"/>
      <c r="BO530" s="16"/>
    </row>
    <row r="531" spans="1:67" s="67" customFormat="1" ht="15.95" customHeight="1" x14ac:dyDescent="0.25">
      <c r="A531" s="16"/>
      <c r="B531" s="68">
        <f>SUBTOTAL(103,$K$530:K531)</f>
        <v>2</v>
      </c>
      <c r="C531" s="59" t="s">
        <v>167</v>
      </c>
      <c r="D531" s="53" t="s">
        <v>158</v>
      </c>
      <c r="E531" s="68" t="s">
        <v>155</v>
      </c>
      <c r="F531" s="68" t="s">
        <v>105</v>
      </c>
      <c r="G531" s="59" t="s">
        <v>4965</v>
      </c>
      <c r="H531" s="59" t="s">
        <v>4967</v>
      </c>
      <c r="I531" s="58" t="s">
        <v>168</v>
      </c>
      <c r="J531" s="58" t="s">
        <v>169</v>
      </c>
      <c r="K531" s="234" t="s">
        <v>4386</v>
      </c>
      <c r="L531" s="59" t="s">
        <v>170</v>
      </c>
      <c r="M531" s="68">
        <v>1</v>
      </c>
      <c r="N531" s="59" t="s">
        <v>150</v>
      </c>
      <c r="O531" s="73" t="s">
        <v>5039</v>
      </c>
      <c r="P531" s="59" t="s">
        <v>3897</v>
      </c>
      <c r="Q531" s="82" t="s">
        <v>171</v>
      </c>
      <c r="R531" s="53">
        <v>2013</v>
      </c>
      <c r="S531" s="59" t="s">
        <v>153</v>
      </c>
      <c r="T531" s="68" t="s">
        <v>172</v>
      </c>
      <c r="U531" s="68"/>
      <c r="V531" s="68" t="s">
        <v>173</v>
      </c>
      <c r="W531" s="59" t="s">
        <v>153</v>
      </c>
      <c r="X531" s="81" t="s">
        <v>4386</v>
      </c>
      <c r="Y531" s="59"/>
      <c r="Z531" s="53"/>
      <c r="AA531" s="58"/>
      <c r="AB531" s="76" t="s">
        <v>156</v>
      </c>
      <c r="AC531" s="59" t="s">
        <v>157</v>
      </c>
      <c r="AD531" s="59" t="s">
        <v>157</v>
      </c>
      <c r="AE531" s="58"/>
      <c r="AF531" s="148"/>
      <c r="AG531" s="58" t="s">
        <v>174</v>
      </c>
      <c r="AH531" s="59" t="s">
        <v>155</v>
      </c>
      <c r="AI531" s="58"/>
      <c r="AJ531" s="61" t="s">
        <v>175</v>
      </c>
      <c r="AK531" s="68" t="s">
        <v>156</v>
      </c>
      <c r="AL531" s="59" t="s">
        <v>176</v>
      </c>
      <c r="AM531" s="64" t="s">
        <v>177</v>
      </c>
      <c r="AN531" s="65" t="s">
        <v>178</v>
      </c>
      <c r="AO531" s="72" t="s">
        <v>164</v>
      </c>
      <c r="AP531" s="66" t="s">
        <v>179</v>
      </c>
      <c r="AQ531" s="67" t="s">
        <v>180</v>
      </c>
      <c r="AR531" s="41"/>
      <c r="AS531" s="58"/>
      <c r="AT531" s="53"/>
      <c r="AU531" s="54"/>
      <c r="AV531" s="54">
        <v>7480201</v>
      </c>
      <c r="AW531" s="53">
        <v>4</v>
      </c>
      <c r="AX531" s="60"/>
      <c r="AY531" s="40"/>
      <c r="AZ531" s="40"/>
      <c r="BI531" s="36"/>
      <c r="BJ531" s="36"/>
      <c r="BK531" s="37"/>
      <c r="BN531" s="16"/>
      <c r="BO531" s="16"/>
    </row>
    <row r="532" spans="1:67" s="67" customFormat="1" ht="15.95" customHeight="1" x14ac:dyDescent="0.25">
      <c r="A532" s="16"/>
      <c r="B532" s="68">
        <f>SUBTOTAL(103,$K$530:K532)</f>
        <v>3</v>
      </c>
      <c r="C532" s="59" t="s">
        <v>181</v>
      </c>
      <c r="D532" s="53" t="s">
        <v>158</v>
      </c>
      <c r="E532" s="59" t="s">
        <v>155</v>
      </c>
      <c r="F532" s="59" t="s">
        <v>105</v>
      </c>
      <c r="G532" s="59" t="s">
        <v>4965</v>
      </c>
      <c r="H532" s="59" t="s">
        <v>4968</v>
      </c>
      <c r="I532" s="73" t="s">
        <v>182</v>
      </c>
      <c r="J532" s="74" t="s">
        <v>183</v>
      </c>
      <c r="K532" s="75" t="s">
        <v>4387</v>
      </c>
      <c r="L532" s="59" t="s">
        <v>170</v>
      </c>
      <c r="M532" s="68">
        <v>1</v>
      </c>
      <c r="N532" s="59" t="s">
        <v>150</v>
      </c>
      <c r="O532" s="73" t="s">
        <v>5039</v>
      </c>
      <c r="P532" s="59" t="s">
        <v>3897</v>
      </c>
      <c r="Q532" s="73" t="s">
        <v>66</v>
      </c>
      <c r="R532" s="59" t="s">
        <v>184</v>
      </c>
      <c r="S532" s="59" t="s">
        <v>153</v>
      </c>
      <c r="T532" s="59" t="s">
        <v>185</v>
      </c>
      <c r="U532" s="59"/>
      <c r="V532" s="59" t="s">
        <v>186</v>
      </c>
      <c r="W532" s="59" t="s">
        <v>153</v>
      </c>
      <c r="X532" s="75" t="s">
        <v>4387</v>
      </c>
      <c r="Y532" s="59"/>
      <c r="Z532" s="59"/>
      <c r="AA532" s="58"/>
      <c r="AB532" s="76" t="s">
        <v>156</v>
      </c>
      <c r="AC532" s="59"/>
      <c r="AD532" s="59" t="s">
        <v>157</v>
      </c>
      <c r="AE532" s="59"/>
      <c r="AF532" s="59"/>
      <c r="AG532" s="59" t="s">
        <v>187</v>
      </c>
      <c r="AH532" s="59" t="s">
        <v>155</v>
      </c>
      <c r="AI532" s="59"/>
      <c r="AJ532" s="77" t="s">
        <v>188</v>
      </c>
      <c r="AK532" s="68" t="s">
        <v>156</v>
      </c>
      <c r="AL532" s="59" t="s">
        <v>189</v>
      </c>
      <c r="AM532" s="74" t="s">
        <v>190</v>
      </c>
      <c r="AN532" s="78" t="s">
        <v>191</v>
      </c>
      <c r="AO532" s="59" t="s">
        <v>164</v>
      </c>
      <c r="AP532" s="66" t="s">
        <v>192</v>
      </c>
      <c r="AQ532" s="67" t="s">
        <v>193</v>
      </c>
      <c r="AR532" s="41"/>
      <c r="AS532" s="58"/>
      <c r="AT532" s="53"/>
      <c r="AU532" s="54"/>
      <c r="AV532" s="54">
        <v>7480201</v>
      </c>
      <c r="AW532" s="53">
        <v>5</v>
      </c>
      <c r="AX532" s="60"/>
      <c r="AY532" s="40"/>
      <c r="AZ532" s="40"/>
      <c r="BI532" s="36"/>
      <c r="BJ532" s="36"/>
      <c r="BK532" s="37"/>
      <c r="BN532" s="16"/>
      <c r="BO532" s="16"/>
    </row>
    <row r="533" spans="1:67" s="67" customFormat="1" ht="15.95" customHeight="1" x14ac:dyDescent="0.25">
      <c r="A533" s="16"/>
      <c r="B533" s="68">
        <f>SUBTOTAL(103,$K$530:K533)</f>
        <v>4</v>
      </c>
      <c r="C533" s="59" t="s">
        <v>194</v>
      </c>
      <c r="D533" s="53" t="s">
        <v>158</v>
      </c>
      <c r="E533" s="68" t="s">
        <v>155</v>
      </c>
      <c r="F533" s="59" t="s">
        <v>106</v>
      </c>
      <c r="G533" s="59" t="s">
        <v>4965</v>
      </c>
      <c r="H533" s="59" t="s">
        <v>4970</v>
      </c>
      <c r="I533" s="73" t="s">
        <v>1973</v>
      </c>
      <c r="J533" s="74" t="s">
        <v>1974</v>
      </c>
      <c r="K533" s="75" t="s">
        <v>4388</v>
      </c>
      <c r="L533" s="59" t="s">
        <v>149</v>
      </c>
      <c r="M533" s="53">
        <v>0</v>
      </c>
      <c r="N533" s="59" t="s">
        <v>150</v>
      </c>
      <c r="O533" s="73" t="s">
        <v>5039</v>
      </c>
      <c r="P533" s="59" t="s">
        <v>3897</v>
      </c>
      <c r="Q533" s="73" t="s">
        <v>682</v>
      </c>
      <c r="R533" s="59" t="s">
        <v>152</v>
      </c>
      <c r="S533" s="59" t="s">
        <v>153</v>
      </c>
      <c r="T533" s="59" t="s">
        <v>453</v>
      </c>
      <c r="U533" s="59" t="s">
        <v>1975</v>
      </c>
      <c r="V533" s="59" t="s">
        <v>453</v>
      </c>
      <c r="W533" s="59" t="s">
        <v>153</v>
      </c>
      <c r="X533" s="75" t="s">
        <v>4388</v>
      </c>
      <c r="Y533" s="59"/>
      <c r="Z533" s="59"/>
      <c r="AA533" s="58"/>
      <c r="AB533" s="76" t="s">
        <v>156</v>
      </c>
      <c r="AC533" s="59" t="s">
        <v>157</v>
      </c>
      <c r="AD533" s="59" t="s">
        <v>157</v>
      </c>
      <c r="AE533" s="59"/>
      <c r="AF533" s="59"/>
      <c r="AG533" s="59" t="s">
        <v>228</v>
      </c>
      <c r="AH533" s="59" t="s">
        <v>155</v>
      </c>
      <c r="AI533" s="59"/>
      <c r="AJ533" s="166" t="s">
        <v>1976</v>
      </c>
      <c r="AK533" s="62" t="s">
        <v>156</v>
      </c>
      <c r="AL533" s="71" t="s">
        <v>161</v>
      </c>
      <c r="AM533" s="83" t="s">
        <v>1977</v>
      </c>
      <c r="AN533" s="155" t="s">
        <v>1978</v>
      </c>
      <c r="AO533" s="71" t="s">
        <v>632</v>
      </c>
      <c r="AP533" s="66"/>
      <c r="AQ533" s="67" t="s">
        <v>193</v>
      </c>
      <c r="AR533" s="41"/>
      <c r="AS533" s="58"/>
      <c r="AT533" s="53"/>
      <c r="AU533" s="54"/>
      <c r="AV533" s="54">
        <v>7480201</v>
      </c>
      <c r="AW533" s="53">
        <v>6</v>
      </c>
      <c r="AX533" s="60"/>
      <c r="AY533" s="40"/>
      <c r="AZ533" s="40"/>
      <c r="BI533" s="36"/>
      <c r="BJ533" s="36"/>
      <c r="BK533" s="37"/>
      <c r="BN533" s="16"/>
      <c r="BO533" s="16"/>
    </row>
    <row r="534" spans="1:67" s="67" customFormat="1" ht="15.95" customHeight="1" x14ac:dyDescent="0.25">
      <c r="A534" s="16"/>
      <c r="B534" s="68">
        <f>SUBTOTAL(103,$K$530:K534)</f>
        <v>5</v>
      </c>
      <c r="C534" s="59" t="s">
        <v>203</v>
      </c>
      <c r="D534" s="53" t="s">
        <v>158</v>
      </c>
      <c r="E534" s="53" t="s">
        <v>155</v>
      </c>
      <c r="F534" s="68" t="s">
        <v>106</v>
      </c>
      <c r="G534" s="59" t="s">
        <v>4965</v>
      </c>
      <c r="H534" s="59" t="s">
        <v>4971</v>
      </c>
      <c r="I534" s="58" t="s">
        <v>564</v>
      </c>
      <c r="J534" s="58" t="s">
        <v>440</v>
      </c>
      <c r="K534" s="234" t="s">
        <v>4389</v>
      </c>
      <c r="L534" s="68" t="s">
        <v>170</v>
      </c>
      <c r="M534" s="68">
        <v>1</v>
      </c>
      <c r="N534" s="68" t="s">
        <v>150</v>
      </c>
      <c r="O534" s="73" t="s">
        <v>5039</v>
      </c>
      <c r="P534" s="59" t="s">
        <v>3897</v>
      </c>
      <c r="Q534" s="82" t="s">
        <v>1979</v>
      </c>
      <c r="R534" s="68">
        <v>2009</v>
      </c>
      <c r="S534" s="68" t="s">
        <v>337</v>
      </c>
      <c r="T534" s="68" t="s">
        <v>1980</v>
      </c>
      <c r="U534" s="68"/>
      <c r="V534" s="68"/>
      <c r="W534" s="53"/>
      <c r="X534" s="81" t="s">
        <v>4389</v>
      </c>
      <c r="Y534" s="59"/>
      <c r="Z534" s="53"/>
      <c r="AA534" s="58"/>
      <c r="AB534" s="76" t="s">
        <v>156</v>
      </c>
      <c r="AC534" s="58" t="s">
        <v>157</v>
      </c>
      <c r="AD534" s="68"/>
      <c r="AE534" s="68"/>
      <c r="AF534" s="148"/>
      <c r="AG534" s="59" t="s">
        <v>1981</v>
      </c>
      <c r="AH534" s="68" t="s">
        <v>155</v>
      </c>
      <c r="AI534" s="58"/>
      <c r="AJ534" s="167" t="s">
        <v>1982</v>
      </c>
      <c r="AK534" s="62" t="s">
        <v>156</v>
      </c>
      <c r="AL534" s="173" t="s">
        <v>220</v>
      </c>
      <c r="AM534" s="174" t="s">
        <v>1864</v>
      </c>
      <c r="AN534" s="175" t="s">
        <v>1983</v>
      </c>
      <c r="AO534" s="152" t="s">
        <v>164</v>
      </c>
      <c r="AP534" s="286"/>
      <c r="AQ534" s="84" t="s">
        <v>368</v>
      </c>
      <c r="AR534" s="41"/>
      <c r="AS534" s="58"/>
      <c r="AT534" s="53"/>
      <c r="AU534" s="54"/>
      <c r="AV534" s="54">
        <v>7480201</v>
      </c>
      <c r="AW534" s="53">
        <v>7</v>
      </c>
      <c r="AX534" s="60"/>
      <c r="AY534" s="40"/>
      <c r="AZ534" s="40"/>
      <c r="BI534" s="36"/>
      <c r="BJ534" s="36"/>
      <c r="BK534" s="37"/>
      <c r="BN534" s="16"/>
      <c r="BO534" s="16"/>
    </row>
    <row r="535" spans="1:67" s="67" customFormat="1" ht="15.95" customHeight="1" x14ac:dyDescent="0.25">
      <c r="A535" s="16"/>
      <c r="B535" s="68">
        <f>SUBTOTAL(103,$K$530:K535)</f>
        <v>6</v>
      </c>
      <c r="C535" s="59" t="s">
        <v>212</v>
      </c>
      <c r="D535" s="53" t="s">
        <v>158</v>
      </c>
      <c r="E535" s="53" t="s">
        <v>155</v>
      </c>
      <c r="F535" s="53" t="s">
        <v>106</v>
      </c>
      <c r="G535" s="59" t="s">
        <v>4965</v>
      </c>
      <c r="H535" s="59" t="s">
        <v>4972</v>
      </c>
      <c r="I535" s="58" t="s">
        <v>1984</v>
      </c>
      <c r="J535" s="58" t="s">
        <v>1985</v>
      </c>
      <c r="K535" s="103" t="s">
        <v>4042</v>
      </c>
      <c r="L535" s="53" t="s">
        <v>149</v>
      </c>
      <c r="M535" s="53">
        <v>0</v>
      </c>
      <c r="N535" s="53" t="s">
        <v>150</v>
      </c>
      <c r="O535" s="73" t="s">
        <v>5039</v>
      </c>
      <c r="P535" s="59" t="s">
        <v>3897</v>
      </c>
      <c r="Q535" s="58" t="s">
        <v>1986</v>
      </c>
      <c r="R535" s="53">
        <v>2012</v>
      </c>
      <c r="S535" s="53" t="s">
        <v>153</v>
      </c>
      <c r="T535" s="53"/>
      <c r="U535" s="53"/>
      <c r="V535" s="53"/>
      <c r="W535" s="53"/>
      <c r="X535" s="57" t="s">
        <v>4042</v>
      </c>
      <c r="Y535" s="53"/>
      <c r="Z535" s="53"/>
      <c r="AA535" s="58"/>
      <c r="AB535" s="76" t="s">
        <v>156</v>
      </c>
      <c r="AC535" s="58" t="s">
        <v>157</v>
      </c>
      <c r="AD535" s="58"/>
      <c r="AE535" s="58"/>
      <c r="AF535" s="58"/>
      <c r="AG535" s="58" t="s">
        <v>1987</v>
      </c>
      <c r="AH535" s="53" t="s">
        <v>155</v>
      </c>
      <c r="AI535" s="58"/>
      <c r="AJ535" s="167" t="s">
        <v>1988</v>
      </c>
      <c r="AK535" s="62" t="s">
        <v>156</v>
      </c>
      <c r="AL535" s="63" t="s">
        <v>347</v>
      </c>
      <c r="AM535" s="79" t="s">
        <v>1265</v>
      </c>
      <c r="AN535" s="157" t="s">
        <v>1989</v>
      </c>
      <c r="AO535" s="152" t="s">
        <v>164</v>
      </c>
      <c r="AP535" s="66"/>
      <c r="AQ535" s="67" t="s">
        <v>824</v>
      </c>
      <c r="AR535" s="41"/>
      <c r="AS535" s="58"/>
      <c r="AT535" s="53"/>
      <c r="AU535" s="54"/>
      <c r="AV535" s="54">
        <v>7480201</v>
      </c>
      <c r="AW535" s="53">
        <v>8</v>
      </c>
      <c r="AX535" s="60"/>
      <c r="AY535" s="40"/>
      <c r="AZ535" s="40"/>
      <c r="BI535" s="36"/>
      <c r="BJ535" s="36"/>
      <c r="BK535" s="37"/>
      <c r="BN535" s="16"/>
      <c r="BO535" s="16"/>
    </row>
    <row r="536" spans="1:67" s="67" customFormat="1" ht="15.95" customHeight="1" x14ac:dyDescent="0.25">
      <c r="A536" s="16"/>
      <c r="B536" s="68">
        <f>SUBTOTAL(103,$K$530:K536)</f>
        <v>7</v>
      </c>
      <c r="C536" s="59" t="s">
        <v>225</v>
      </c>
      <c r="D536" s="53" t="s">
        <v>158</v>
      </c>
      <c r="E536" s="53" t="s">
        <v>155</v>
      </c>
      <c r="F536" s="53" t="s">
        <v>106</v>
      </c>
      <c r="G536" s="59" t="s">
        <v>4965</v>
      </c>
      <c r="H536" s="59" t="s">
        <v>4973</v>
      </c>
      <c r="I536" s="58" t="s">
        <v>195</v>
      </c>
      <c r="J536" s="58" t="s">
        <v>196</v>
      </c>
      <c r="K536" s="103" t="s">
        <v>4390</v>
      </c>
      <c r="L536" s="53" t="s">
        <v>149</v>
      </c>
      <c r="M536" s="53">
        <v>0</v>
      </c>
      <c r="N536" s="68" t="s">
        <v>150</v>
      </c>
      <c r="O536" s="73" t="s">
        <v>5039</v>
      </c>
      <c r="P536" s="59" t="s">
        <v>3897</v>
      </c>
      <c r="Q536" s="58" t="s">
        <v>60</v>
      </c>
      <c r="R536" s="68">
        <v>2008</v>
      </c>
      <c r="S536" s="53" t="s">
        <v>197</v>
      </c>
      <c r="T536" s="53">
        <v>6.28</v>
      </c>
      <c r="U536" s="53"/>
      <c r="V536" s="59"/>
      <c r="W536" s="59"/>
      <c r="X536" s="57" t="s">
        <v>4390</v>
      </c>
      <c r="Y536" s="53"/>
      <c r="Z536" s="59"/>
      <c r="AA536" s="58"/>
      <c r="AB536" s="98" t="s">
        <v>156</v>
      </c>
      <c r="AC536" s="53" t="s">
        <v>157</v>
      </c>
      <c r="AD536" s="53"/>
      <c r="AE536" s="58"/>
      <c r="AF536" s="58"/>
      <c r="AG536" s="58" t="s">
        <v>198</v>
      </c>
      <c r="AH536" s="53" t="s">
        <v>155</v>
      </c>
      <c r="AI536" s="158"/>
      <c r="AJ536" s="98">
        <v>38086028809</v>
      </c>
      <c r="AK536" s="63" t="s">
        <v>156</v>
      </c>
      <c r="AL536" s="64" t="s">
        <v>161</v>
      </c>
      <c r="AM536" s="158" t="s">
        <v>199</v>
      </c>
      <c r="AN536" s="106" t="s">
        <v>200</v>
      </c>
      <c r="AO536" s="53" t="s">
        <v>164</v>
      </c>
      <c r="AP536" s="97" t="s">
        <v>201</v>
      </c>
      <c r="AQ536" s="67" t="s">
        <v>202</v>
      </c>
      <c r="AR536" s="41"/>
      <c r="AS536" s="58"/>
      <c r="AT536" s="53"/>
      <c r="AU536" s="54"/>
      <c r="AV536" s="54">
        <v>7480201</v>
      </c>
      <c r="AW536" s="53">
        <v>9</v>
      </c>
      <c r="AX536" s="60"/>
      <c r="AY536" s="40"/>
      <c r="AZ536" s="40"/>
      <c r="BI536" s="36"/>
      <c r="BJ536" s="36"/>
      <c r="BK536" s="37"/>
      <c r="BN536" s="16"/>
      <c r="BO536" s="16"/>
    </row>
    <row r="537" spans="1:67" s="67" customFormat="1" ht="15.95" customHeight="1" x14ac:dyDescent="0.25">
      <c r="A537" s="16"/>
      <c r="B537" s="68">
        <f>SUBTOTAL(103,$K$530:K537)</f>
        <v>8</v>
      </c>
      <c r="C537" s="59" t="s">
        <v>233</v>
      </c>
      <c r="D537" s="53" t="s">
        <v>158</v>
      </c>
      <c r="E537" s="53" t="s">
        <v>155</v>
      </c>
      <c r="F537" s="53" t="s">
        <v>106</v>
      </c>
      <c r="G537" s="59" t="s">
        <v>4965</v>
      </c>
      <c r="H537" s="59" t="s">
        <v>4974</v>
      </c>
      <c r="I537" s="58" t="s">
        <v>168</v>
      </c>
      <c r="J537" s="58" t="s">
        <v>459</v>
      </c>
      <c r="K537" s="103" t="s">
        <v>4391</v>
      </c>
      <c r="L537" s="53" t="s">
        <v>170</v>
      </c>
      <c r="M537" s="68">
        <v>1</v>
      </c>
      <c r="N537" s="53" t="s">
        <v>150</v>
      </c>
      <c r="O537" s="73" t="s">
        <v>5039</v>
      </c>
      <c r="P537" s="59" t="s">
        <v>3897</v>
      </c>
      <c r="Q537" s="58" t="s">
        <v>56</v>
      </c>
      <c r="R537" s="53">
        <v>2018</v>
      </c>
      <c r="S537" s="53" t="s">
        <v>153</v>
      </c>
      <c r="T537" s="53" t="s">
        <v>1990</v>
      </c>
      <c r="U537" s="53" t="s">
        <v>1894</v>
      </c>
      <c r="V537" s="53" t="s">
        <v>453</v>
      </c>
      <c r="W537" s="53" t="s">
        <v>153</v>
      </c>
      <c r="X537" s="57" t="s">
        <v>4391</v>
      </c>
      <c r="Y537" s="53"/>
      <c r="Z537" s="53"/>
      <c r="AA537" s="58"/>
      <c r="AB537" s="76" t="s">
        <v>156</v>
      </c>
      <c r="AC537" s="58" t="s">
        <v>157</v>
      </c>
      <c r="AD537" s="58" t="s">
        <v>157</v>
      </c>
      <c r="AE537" s="58"/>
      <c r="AF537" s="58"/>
      <c r="AG537" s="58" t="s">
        <v>228</v>
      </c>
      <c r="AH537" s="53" t="s">
        <v>155</v>
      </c>
      <c r="AI537" s="58"/>
      <c r="AJ537" s="61" t="s">
        <v>1991</v>
      </c>
      <c r="AK537" s="62" t="s">
        <v>156</v>
      </c>
      <c r="AL537" s="58" t="s">
        <v>387</v>
      </c>
      <c r="AM537" s="64" t="s">
        <v>1992</v>
      </c>
      <c r="AN537" s="65" t="s">
        <v>1993</v>
      </c>
      <c r="AO537" s="53" t="s">
        <v>164</v>
      </c>
      <c r="AP537" s="66" t="s">
        <v>457</v>
      </c>
      <c r="AQ537" s="67" t="s">
        <v>824</v>
      </c>
      <c r="AR537" s="41"/>
      <c r="AS537" s="58"/>
      <c r="AT537" s="53"/>
      <c r="AU537" s="54"/>
      <c r="AV537" s="54">
        <v>7480201</v>
      </c>
      <c r="AW537" s="53">
        <v>10</v>
      </c>
      <c r="AX537" s="60"/>
      <c r="AY537" s="40"/>
      <c r="AZ537" s="40"/>
      <c r="BI537" s="36"/>
      <c r="BJ537" s="36"/>
      <c r="BK537" s="37"/>
      <c r="BN537" s="16"/>
      <c r="BO537" s="16"/>
    </row>
    <row r="538" spans="1:67" s="67" customFormat="1" ht="15.95" customHeight="1" x14ac:dyDescent="0.25">
      <c r="A538" s="16"/>
      <c r="B538" s="68">
        <f>SUBTOTAL(103,$K$530:K538)</f>
        <v>9</v>
      </c>
      <c r="C538" s="59" t="s">
        <v>244</v>
      </c>
      <c r="D538" s="53" t="s">
        <v>158</v>
      </c>
      <c r="E538" s="53" t="s">
        <v>155</v>
      </c>
      <c r="F538" s="53" t="s">
        <v>106</v>
      </c>
      <c r="G538" s="59" t="s">
        <v>4965</v>
      </c>
      <c r="H538" s="59" t="s">
        <v>4975</v>
      </c>
      <c r="I538" s="58" t="s">
        <v>204</v>
      </c>
      <c r="J538" s="58" t="s">
        <v>205</v>
      </c>
      <c r="K538" s="99" t="s">
        <v>4436</v>
      </c>
      <c r="L538" s="53" t="s">
        <v>149</v>
      </c>
      <c r="M538" s="53">
        <v>0</v>
      </c>
      <c r="N538" s="53" t="s">
        <v>150</v>
      </c>
      <c r="O538" s="73" t="s">
        <v>5039</v>
      </c>
      <c r="P538" s="59" t="s">
        <v>3897</v>
      </c>
      <c r="Q538" s="58" t="s">
        <v>60</v>
      </c>
      <c r="R538" s="53">
        <v>2013</v>
      </c>
      <c r="S538" s="53" t="s">
        <v>197</v>
      </c>
      <c r="T538" s="53">
        <v>6.67</v>
      </c>
      <c r="U538" s="53"/>
      <c r="V538" s="53"/>
      <c r="W538" s="53"/>
      <c r="X538" s="139">
        <v>28858</v>
      </c>
      <c r="Y538" s="53"/>
      <c r="Z538" s="53"/>
      <c r="AA538" s="58"/>
      <c r="AB538" s="98" t="s">
        <v>156</v>
      </c>
      <c r="AC538" s="58" t="s">
        <v>157</v>
      </c>
      <c r="AD538" s="58"/>
      <c r="AE538" s="58"/>
      <c r="AF538" s="58"/>
      <c r="AG538" s="58" t="s">
        <v>206</v>
      </c>
      <c r="AH538" s="53" t="s">
        <v>19</v>
      </c>
      <c r="AI538" s="58"/>
      <c r="AJ538" s="61" t="s">
        <v>207</v>
      </c>
      <c r="AK538" s="62" t="s">
        <v>156</v>
      </c>
      <c r="AL538" s="58" t="s">
        <v>208</v>
      </c>
      <c r="AM538" s="58" t="s">
        <v>209</v>
      </c>
      <c r="AN538" s="65" t="s">
        <v>210</v>
      </c>
      <c r="AO538" s="53" t="s">
        <v>164</v>
      </c>
      <c r="AP538" s="66" t="s">
        <v>211</v>
      </c>
      <c r="AQ538" s="67" t="s">
        <v>193</v>
      </c>
      <c r="AR538" s="41"/>
      <c r="AS538" s="58"/>
      <c r="AT538" s="53"/>
      <c r="AU538" s="54"/>
      <c r="AV538" s="54">
        <v>7480201</v>
      </c>
      <c r="AW538" s="53">
        <v>11</v>
      </c>
      <c r="AX538" s="60"/>
      <c r="AY538" s="40"/>
      <c r="AZ538" s="40"/>
      <c r="BI538" s="36"/>
      <c r="BJ538" s="36"/>
      <c r="BK538" s="37"/>
      <c r="BN538" s="16"/>
      <c r="BO538" s="16"/>
    </row>
    <row r="539" spans="1:67" s="67" customFormat="1" ht="15.95" customHeight="1" x14ac:dyDescent="0.25">
      <c r="A539" s="16"/>
      <c r="B539" s="68">
        <f>SUBTOTAL(103,$K$530:K539)</f>
        <v>10</v>
      </c>
      <c r="C539" s="59" t="s">
        <v>257</v>
      </c>
      <c r="D539" s="53" t="s">
        <v>158</v>
      </c>
      <c r="E539" s="68" t="s">
        <v>155</v>
      </c>
      <c r="F539" s="68" t="s">
        <v>106</v>
      </c>
      <c r="G539" s="59" t="s">
        <v>4965</v>
      </c>
      <c r="H539" s="59" t="s">
        <v>4976</v>
      </c>
      <c r="I539" s="58" t="s">
        <v>1994</v>
      </c>
      <c r="J539" s="58" t="s">
        <v>304</v>
      </c>
      <c r="K539" s="234" t="s">
        <v>4392</v>
      </c>
      <c r="L539" s="68" t="s">
        <v>170</v>
      </c>
      <c r="M539" s="68">
        <v>1</v>
      </c>
      <c r="N539" s="59" t="s">
        <v>150</v>
      </c>
      <c r="O539" s="73" t="s">
        <v>5039</v>
      </c>
      <c r="P539" s="59" t="s">
        <v>3897</v>
      </c>
      <c r="Q539" s="58" t="s">
        <v>1995</v>
      </c>
      <c r="R539" s="53">
        <v>2021</v>
      </c>
      <c r="S539" s="59" t="s">
        <v>153</v>
      </c>
      <c r="T539" s="68" t="s">
        <v>239</v>
      </c>
      <c r="U539" s="68" t="s">
        <v>1996</v>
      </c>
      <c r="V539" s="53" t="s">
        <v>693</v>
      </c>
      <c r="W539" s="59" t="s">
        <v>236</v>
      </c>
      <c r="X539" s="81" t="s">
        <v>4392</v>
      </c>
      <c r="Y539" s="59"/>
      <c r="Z539" s="53"/>
      <c r="AA539" s="58"/>
      <c r="AB539" s="76" t="s">
        <v>156</v>
      </c>
      <c r="AC539" s="59" t="s">
        <v>157</v>
      </c>
      <c r="AD539" s="59" t="s">
        <v>157</v>
      </c>
      <c r="AE539" s="58"/>
      <c r="AF539" s="148"/>
      <c r="AG539" s="58" t="s">
        <v>1406</v>
      </c>
      <c r="AH539" s="59" t="s">
        <v>155</v>
      </c>
      <c r="AI539" s="58"/>
      <c r="AJ539" s="61" t="s">
        <v>1997</v>
      </c>
      <c r="AK539" s="62" t="s">
        <v>156</v>
      </c>
      <c r="AL539" s="59" t="s">
        <v>220</v>
      </c>
      <c r="AM539" s="74" t="s">
        <v>603</v>
      </c>
      <c r="AN539" s="65" t="s">
        <v>1998</v>
      </c>
      <c r="AO539" s="72" t="s">
        <v>164</v>
      </c>
      <c r="AP539" s="66"/>
      <c r="AQ539" s="67" t="s">
        <v>180</v>
      </c>
      <c r="AR539" s="41"/>
      <c r="AS539" s="58"/>
      <c r="AT539" s="53"/>
      <c r="AU539" s="54"/>
      <c r="AV539" s="54">
        <v>7480201</v>
      </c>
      <c r="AW539" s="53">
        <v>12</v>
      </c>
      <c r="AX539" s="60"/>
      <c r="AY539" s="40"/>
      <c r="AZ539" s="40"/>
      <c r="BI539" s="36"/>
      <c r="BJ539" s="36"/>
      <c r="BK539" s="37"/>
      <c r="BN539" s="16"/>
      <c r="BO539" s="16"/>
    </row>
    <row r="540" spans="1:67" s="67" customFormat="1" ht="15.95" customHeight="1" x14ac:dyDescent="0.25">
      <c r="A540" s="16"/>
      <c r="B540" s="68">
        <f>SUBTOTAL(103,$K$530:K540)</f>
        <v>11</v>
      </c>
      <c r="C540" s="59" t="s">
        <v>268</v>
      </c>
      <c r="D540" s="53" t="s">
        <v>158</v>
      </c>
      <c r="E540" s="53" t="s">
        <v>155</v>
      </c>
      <c r="F540" s="53" t="s">
        <v>106</v>
      </c>
      <c r="G540" s="59" t="s">
        <v>4965</v>
      </c>
      <c r="H540" s="59" t="s">
        <v>4977</v>
      </c>
      <c r="I540" s="58" t="s">
        <v>213</v>
      </c>
      <c r="J540" s="58" t="s">
        <v>214</v>
      </c>
      <c r="K540" s="103" t="s">
        <v>4393</v>
      </c>
      <c r="L540" s="53" t="s">
        <v>149</v>
      </c>
      <c r="M540" s="53">
        <v>0</v>
      </c>
      <c r="N540" s="53" t="s">
        <v>150</v>
      </c>
      <c r="O540" s="73" t="s">
        <v>5039</v>
      </c>
      <c r="P540" s="59" t="s">
        <v>3897</v>
      </c>
      <c r="Q540" s="58" t="s">
        <v>215</v>
      </c>
      <c r="R540" s="53">
        <v>2022</v>
      </c>
      <c r="S540" s="68" t="s">
        <v>153</v>
      </c>
      <c r="T540" s="53"/>
      <c r="U540" s="53" t="s">
        <v>216</v>
      </c>
      <c r="V540" s="53"/>
      <c r="W540" s="53"/>
      <c r="X540" s="57" t="s">
        <v>4393</v>
      </c>
      <c r="Y540" s="53"/>
      <c r="Z540" s="53"/>
      <c r="AA540" s="58"/>
      <c r="AB540" s="76" t="s">
        <v>156</v>
      </c>
      <c r="AC540" s="58"/>
      <c r="AD540" s="58"/>
      <c r="AE540" s="58"/>
      <c r="AF540" s="148"/>
      <c r="AG540" s="58" t="s">
        <v>217</v>
      </c>
      <c r="AH540" s="53"/>
      <c r="AI540" s="58" t="s">
        <v>218</v>
      </c>
      <c r="AJ540" s="61" t="s">
        <v>219</v>
      </c>
      <c r="AK540" s="62" t="s">
        <v>156</v>
      </c>
      <c r="AL540" s="58" t="s">
        <v>220</v>
      </c>
      <c r="AM540" s="64" t="s">
        <v>221</v>
      </c>
      <c r="AN540" s="65" t="s">
        <v>222</v>
      </c>
      <c r="AO540" s="53" t="s">
        <v>164</v>
      </c>
      <c r="AP540" s="66" t="s">
        <v>223</v>
      </c>
      <c r="AQ540" s="84" t="s">
        <v>224</v>
      </c>
      <c r="AR540" s="41"/>
      <c r="AS540" s="58"/>
      <c r="AT540" s="53"/>
      <c r="AU540" s="54"/>
      <c r="AV540" s="54">
        <v>7480201</v>
      </c>
      <c r="AW540" s="53">
        <v>13</v>
      </c>
      <c r="AX540" s="60"/>
      <c r="AY540" s="40"/>
      <c r="AZ540" s="40"/>
      <c r="BI540" s="36"/>
      <c r="BJ540" s="36"/>
      <c r="BK540" s="37"/>
      <c r="BN540" s="16"/>
      <c r="BO540" s="16"/>
    </row>
    <row r="541" spans="1:67" s="67" customFormat="1" ht="15.95" customHeight="1" x14ac:dyDescent="0.25">
      <c r="A541" s="16"/>
      <c r="B541" s="68">
        <f>SUBTOTAL(103,$K$530:K541)</f>
        <v>12</v>
      </c>
      <c r="C541" s="59" t="s">
        <v>278</v>
      </c>
      <c r="D541" s="53" t="s">
        <v>158</v>
      </c>
      <c r="E541" s="68" t="s">
        <v>155</v>
      </c>
      <c r="F541" s="59" t="s">
        <v>106</v>
      </c>
      <c r="G541" s="59" t="s">
        <v>4965</v>
      </c>
      <c r="H541" s="59" t="s">
        <v>4978</v>
      </c>
      <c r="I541" s="58" t="s">
        <v>1999</v>
      </c>
      <c r="J541" s="58" t="s">
        <v>392</v>
      </c>
      <c r="K541" s="103" t="s">
        <v>4394</v>
      </c>
      <c r="L541" s="68" t="s">
        <v>149</v>
      </c>
      <c r="M541" s="53">
        <v>0</v>
      </c>
      <c r="N541" s="53" t="s">
        <v>150</v>
      </c>
      <c r="O541" s="73" t="s">
        <v>5039</v>
      </c>
      <c r="P541" s="59" t="s">
        <v>3897</v>
      </c>
      <c r="Q541" s="58" t="s">
        <v>281</v>
      </c>
      <c r="R541" s="53">
        <v>2018</v>
      </c>
      <c r="S541" s="68" t="s">
        <v>153</v>
      </c>
      <c r="T541" s="53" t="s">
        <v>402</v>
      </c>
      <c r="U541" s="53"/>
      <c r="V541" s="53" t="s">
        <v>282</v>
      </c>
      <c r="W541" s="59" t="s">
        <v>153</v>
      </c>
      <c r="X541" s="57" t="s">
        <v>4394</v>
      </c>
      <c r="Y541" s="59"/>
      <c r="Z541" s="53"/>
      <c r="AA541" s="58"/>
      <c r="AB541" s="76" t="s">
        <v>156</v>
      </c>
      <c r="AC541" s="53" t="s">
        <v>157</v>
      </c>
      <c r="AD541" s="53" t="s">
        <v>157</v>
      </c>
      <c r="AE541" s="58"/>
      <c r="AF541" s="148"/>
      <c r="AG541" s="64" t="s">
        <v>1767</v>
      </c>
      <c r="AH541" s="53" t="s">
        <v>155</v>
      </c>
      <c r="AI541" s="58"/>
      <c r="AJ541" s="61" t="s">
        <v>2000</v>
      </c>
      <c r="AK541" s="62" t="s">
        <v>156</v>
      </c>
      <c r="AL541" s="59" t="s">
        <v>220</v>
      </c>
      <c r="AM541" s="74" t="s">
        <v>2001</v>
      </c>
      <c r="AN541" s="65" t="s">
        <v>2002</v>
      </c>
      <c r="AO541" s="53" t="s">
        <v>164</v>
      </c>
      <c r="AP541" s="66"/>
      <c r="AQ541" s="67" t="s">
        <v>968</v>
      </c>
      <c r="AR541" s="41"/>
      <c r="AS541" s="58"/>
      <c r="AT541" s="53"/>
      <c r="AU541" s="54"/>
      <c r="AV541" s="54">
        <v>7480201</v>
      </c>
      <c r="AW541" s="53">
        <v>14</v>
      </c>
      <c r="AX541" s="60"/>
      <c r="AY541" s="40"/>
      <c r="AZ541" s="40"/>
      <c r="BI541" s="36"/>
      <c r="BJ541" s="36"/>
      <c r="BK541" s="37"/>
      <c r="BN541" s="16"/>
      <c r="BO541" s="16"/>
    </row>
    <row r="542" spans="1:67" s="67" customFormat="1" ht="15.95" customHeight="1" x14ac:dyDescent="0.25">
      <c r="A542" s="16"/>
      <c r="B542" s="68">
        <f>SUBTOTAL(103,$K$530:K542)</f>
        <v>13</v>
      </c>
      <c r="C542" s="59" t="s">
        <v>390</v>
      </c>
      <c r="D542" s="53" t="s">
        <v>158</v>
      </c>
      <c r="E542" s="53" t="s">
        <v>155</v>
      </c>
      <c r="F542" s="53" t="s">
        <v>106</v>
      </c>
      <c r="G542" s="59" t="s">
        <v>4965</v>
      </c>
      <c r="H542" s="59" t="s">
        <v>4979</v>
      </c>
      <c r="I542" s="58" t="s">
        <v>226</v>
      </c>
      <c r="J542" s="58" t="s">
        <v>227</v>
      </c>
      <c r="K542" s="103" t="s">
        <v>4395</v>
      </c>
      <c r="L542" s="53" t="s">
        <v>149</v>
      </c>
      <c r="M542" s="53">
        <v>0</v>
      </c>
      <c r="N542" s="68" t="s">
        <v>150</v>
      </c>
      <c r="O542" s="73" t="s">
        <v>5039</v>
      </c>
      <c r="P542" s="59" t="s">
        <v>3897</v>
      </c>
      <c r="Q542" s="58" t="s">
        <v>82</v>
      </c>
      <c r="R542" s="68">
        <v>2011</v>
      </c>
      <c r="S542" s="53" t="s">
        <v>197</v>
      </c>
      <c r="T542" s="53">
        <v>6.5</v>
      </c>
      <c r="U542" s="53"/>
      <c r="V542" s="53"/>
      <c r="W542" s="59"/>
      <c r="X542" s="57" t="s">
        <v>4395</v>
      </c>
      <c r="Y542" s="53"/>
      <c r="Z542" s="59"/>
      <c r="AA542" s="58"/>
      <c r="AB542" s="98" t="s">
        <v>156</v>
      </c>
      <c r="AC542" s="53" t="s">
        <v>157</v>
      </c>
      <c r="AD542" s="53"/>
      <c r="AE542" s="58"/>
      <c r="AF542" s="58"/>
      <c r="AG542" s="58" t="s">
        <v>228</v>
      </c>
      <c r="AH542" s="53" t="s">
        <v>155</v>
      </c>
      <c r="AI542" s="158"/>
      <c r="AJ542" s="98">
        <v>38088013565</v>
      </c>
      <c r="AK542" s="63" t="s">
        <v>156</v>
      </c>
      <c r="AL542" s="64" t="s">
        <v>229</v>
      </c>
      <c r="AM542" s="158" t="s">
        <v>230</v>
      </c>
      <c r="AN542" s="106" t="s">
        <v>231</v>
      </c>
      <c r="AO542" s="53" t="s">
        <v>164</v>
      </c>
      <c r="AP542" s="97" t="s">
        <v>232</v>
      </c>
      <c r="AQ542" s="67" t="s">
        <v>202</v>
      </c>
      <c r="AR542" s="41"/>
      <c r="AS542" s="58"/>
      <c r="AT542" s="53"/>
      <c r="AU542" s="54"/>
      <c r="AV542" s="54">
        <v>7480201</v>
      </c>
      <c r="AW542" s="53">
        <v>15</v>
      </c>
      <c r="AX542" s="60"/>
      <c r="AY542" s="40"/>
      <c r="AZ542" s="40"/>
      <c r="BI542" s="36"/>
      <c r="BJ542" s="36"/>
      <c r="BK542" s="37"/>
      <c r="BN542" s="16"/>
      <c r="BO542" s="16"/>
    </row>
    <row r="543" spans="1:67" s="67" customFormat="1" ht="15.95" customHeight="1" x14ac:dyDescent="0.25">
      <c r="A543" s="16"/>
      <c r="B543" s="68">
        <f>SUBTOTAL(103,$K$530:K543)</f>
        <v>14</v>
      </c>
      <c r="C543" s="59" t="s">
        <v>398</v>
      </c>
      <c r="D543" s="53" t="s">
        <v>158</v>
      </c>
      <c r="E543" s="68" t="s">
        <v>155</v>
      </c>
      <c r="F543" s="59" t="s">
        <v>106</v>
      </c>
      <c r="G543" s="59" t="s">
        <v>4965</v>
      </c>
      <c r="H543" s="59" t="s">
        <v>4980</v>
      </c>
      <c r="I543" s="73" t="s">
        <v>234</v>
      </c>
      <c r="J543" s="74" t="s">
        <v>235</v>
      </c>
      <c r="K543" s="75" t="s">
        <v>4396</v>
      </c>
      <c r="L543" s="59" t="s">
        <v>149</v>
      </c>
      <c r="M543" s="53">
        <v>0</v>
      </c>
      <c r="N543" s="59" t="s">
        <v>150</v>
      </c>
      <c r="O543" s="73" t="s">
        <v>5039</v>
      </c>
      <c r="P543" s="59" t="s">
        <v>3897</v>
      </c>
      <c r="Q543" s="73" t="s">
        <v>26</v>
      </c>
      <c r="R543" s="59" t="s">
        <v>152</v>
      </c>
      <c r="S543" s="59" t="s">
        <v>236</v>
      </c>
      <c r="T543" s="59" t="s">
        <v>237</v>
      </c>
      <c r="U543" s="59" t="s">
        <v>238</v>
      </c>
      <c r="V543" s="59" t="s">
        <v>239</v>
      </c>
      <c r="W543" s="59" t="s">
        <v>153</v>
      </c>
      <c r="X543" s="75" t="s">
        <v>4396</v>
      </c>
      <c r="Y543" s="59"/>
      <c r="Z543" s="59"/>
      <c r="AA543" s="58"/>
      <c r="AB543" s="76" t="s">
        <v>156</v>
      </c>
      <c r="AC543" s="59"/>
      <c r="AD543" s="59" t="s">
        <v>157</v>
      </c>
      <c r="AE543" s="59"/>
      <c r="AF543" s="59"/>
      <c r="AG543" s="59" t="s">
        <v>228</v>
      </c>
      <c r="AH543" s="59" t="s">
        <v>155</v>
      </c>
      <c r="AI543" s="59"/>
      <c r="AJ543" s="77" t="s">
        <v>240</v>
      </c>
      <c r="AK543" s="62" t="s">
        <v>156</v>
      </c>
      <c r="AL543" s="59" t="s">
        <v>241</v>
      </c>
      <c r="AM543" s="74" t="s">
        <v>242</v>
      </c>
      <c r="AN543" s="78" t="s">
        <v>243</v>
      </c>
      <c r="AO543" s="59" t="s">
        <v>164</v>
      </c>
      <c r="AP543" s="66" t="s">
        <v>192</v>
      </c>
      <c r="AQ543" s="67" t="s">
        <v>180</v>
      </c>
      <c r="AR543" s="41"/>
      <c r="AS543" s="58"/>
      <c r="AT543" s="53"/>
      <c r="AU543" s="54"/>
      <c r="AV543" s="54">
        <v>7480201</v>
      </c>
      <c r="AW543" s="53">
        <v>16</v>
      </c>
      <c r="AX543" s="60"/>
      <c r="AY543" s="40"/>
      <c r="AZ543" s="40"/>
      <c r="BI543" s="36"/>
      <c r="BJ543" s="36"/>
      <c r="BK543" s="37"/>
      <c r="BN543" s="16"/>
      <c r="BO543" s="16"/>
    </row>
    <row r="544" spans="1:67" s="67" customFormat="1" ht="15.95" customHeight="1" x14ac:dyDescent="0.25">
      <c r="A544" s="16"/>
      <c r="B544" s="68">
        <f>SUBTOTAL(103,$K$530:K544)</f>
        <v>15</v>
      </c>
      <c r="C544" s="59" t="s">
        <v>407</v>
      </c>
      <c r="D544" s="53" t="s">
        <v>158</v>
      </c>
      <c r="E544" s="68" t="s">
        <v>155</v>
      </c>
      <c r="F544" s="68" t="s">
        <v>106</v>
      </c>
      <c r="G544" s="59" t="s">
        <v>4965</v>
      </c>
      <c r="H544" s="59" t="s">
        <v>4981</v>
      </c>
      <c r="I544" s="58" t="s">
        <v>245</v>
      </c>
      <c r="J544" s="58" t="s">
        <v>246</v>
      </c>
      <c r="K544" s="234" t="s">
        <v>4397</v>
      </c>
      <c r="L544" s="53" t="s">
        <v>149</v>
      </c>
      <c r="M544" s="53">
        <v>0</v>
      </c>
      <c r="N544" s="59" t="s">
        <v>150</v>
      </c>
      <c r="O544" s="73" t="s">
        <v>5039</v>
      </c>
      <c r="P544" s="59" t="s">
        <v>3897</v>
      </c>
      <c r="Q544" s="82" t="s">
        <v>247</v>
      </c>
      <c r="R544" s="53">
        <v>2017</v>
      </c>
      <c r="S544" s="59" t="s">
        <v>248</v>
      </c>
      <c r="T544" s="68" t="s">
        <v>249</v>
      </c>
      <c r="U544" s="68"/>
      <c r="V544" s="53" t="s">
        <v>250</v>
      </c>
      <c r="W544" s="59" t="s">
        <v>153</v>
      </c>
      <c r="X544" s="81" t="s">
        <v>4397</v>
      </c>
      <c r="Y544" s="59"/>
      <c r="Z544" s="53"/>
      <c r="AA544" s="58"/>
      <c r="AB544" s="76" t="s">
        <v>156</v>
      </c>
      <c r="AC544" s="53" t="s">
        <v>157</v>
      </c>
      <c r="AD544" s="53" t="s">
        <v>157</v>
      </c>
      <c r="AE544" s="58"/>
      <c r="AF544" s="148"/>
      <c r="AG544" s="59" t="s">
        <v>251</v>
      </c>
      <c r="AH544" s="59" t="s">
        <v>155</v>
      </c>
      <c r="AI544" s="58"/>
      <c r="AJ544" s="61" t="s">
        <v>252</v>
      </c>
      <c r="AK544" s="71" t="s">
        <v>253</v>
      </c>
      <c r="AL544" s="59" t="s">
        <v>254</v>
      </c>
      <c r="AM544" s="64" t="s">
        <v>255</v>
      </c>
      <c r="AN544" s="65" t="s">
        <v>256</v>
      </c>
      <c r="AO544" s="53" t="s">
        <v>164</v>
      </c>
      <c r="AP544" s="66"/>
      <c r="AQ544" s="67" t="s">
        <v>180</v>
      </c>
      <c r="AR544" s="41"/>
      <c r="AS544" s="58"/>
      <c r="AT544" s="53"/>
      <c r="AU544" s="54"/>
      <c r="AV544" s="54">
        <v>7480201</v>
      </c>
      <c r="AW544" s="53">
        <v>17</v>
      </c>
      <c r="AX544" s="60"/>
      <c r="AY544" s="40"/>
      <c r="AZ544" s="40"/>
      <c r="BI544" s="36"/>
      <c r="BJ544" s="36"/>
      <c r="BK544" s="37"/>
      <c r="BN544" s="16"/>
      <c r="BO544" s="16"/>
    </row>
    <row r="545" spans="1:67" s="67" customFormat="1" ht="15.95" customHeight="1" x14ac:dyDescent="0.25">
      <c r="A545" s="16"/>
      <c r="B545" s="68">
        <f>SUBTOTAL(103,$K$530:K545)</f>
        <v>16</v>
      </c>
      <c r="C545" s="59" t="s">
        <v>415</v>
      </c>
      <c r="D545" s="53" t="s">
        <v>158</v>
      </c>
      <c r="E545" s="53" t="s">
        <v>155</v>
      </c>
      <c r="F545" s="53" t="s">
        <v>106</v>
      </c>
      <c r="G545" s="59" t="s">
        <v>4965</v>
      </c>
      <c r="H545" s="59" t="s">
        <v>4982</v>
      </c>
      <c r="I545" s="58" t="s">
        <v>258</v>
      </c>
      <c r="J545" s="58" t="s">
        <v>259</v>
      </c>
      <c r="K545" s="103" t="s">
        <v>4398</v>
      </c>
      <c r="L545" s="53" t="s">
        <v>149</v>
      </c>
      <c r="M545" s="53">
        <v>0</v>
      </c>
      <c r="N545" s="53" t="s">
        <v>150</v>
      </c>
      <c r="O545" s="73" t="s">
        <v>5039</v>
      </c>
      <c r="P545" s="59" t="s">
        <v>3897</v>
      </c>
      <c r="Q545" s="58" t="s">
        <v>56</v>
      </c>
      <c r="R545" s="53">
        <v>2023</v>
      </c>
      <c r="S545" s="53" t="s">
        <v>236</v>
      </c>
      <c r="T545" s="53" t="s">
        <v>260</v>
      </c>
      <c r="U545" s="53" t="s">
        <v>261</v>
      </c>
      <c r="V545" s="53" t="s">
        <v>262</v>
      </c>
      <c r="W545" s="53" t="s">
        <v>153</v>
      </c>
      <c r="X545" s="57" t="s">
        <v>4398</v>
      </c>
      <c r="Y545" s="53"/>
      <c r="Z545" s="53"/>
      <c r="AA545" s="58"/>
      <c r="AB545" s="76" t="s">
        <v>156</v>
      </c>
      <c r="AC545" s="58" t="s">
        <v>157</v>
      </c>
      <c r="AD545" s="58" t="s">
        <v>157</v>
      </c>
      <c r="AE545" s="58"/>
      <c r="AF545" s="58"/>
      <c r="AG545" s="58" t="s">
        <v>228</v>
      </c>
      <c r="AH545" s="53" t="s">
        <v>155</v>
      </c>
      <c r="AI545" s="58"/>
      <c r="AJ545" s="61" t="s">
        <v>263</v>
      </c>
      <c r="AK545" s="62" t="s">
        <v>156</v>
      </c>
      <c r="AL545" s="58" t="s">
        <v>264</v>
      </c>
      <c r="AM545" s="64" t="s">
        <v>265</v>
      </c>
      <c r="AN545" s="65" t="s">
        <v>266</v>
      </c>
      <c r="AO545" s="53" t="s">
        <v>164</v>
      </c>
      <c r="AP545" s="66"/>
      <c r="AQ545" s="67" t="s">
        <v>267</v>
      </c>
      <c r="AR545" s="41"/>
      <c r="AS545" s="58"/>
      <c r="AT545" s="53"/>
      <c r="AU545" s="54"/>
      <c r="AV545" s="54">
        <v>7480201</v>
      </c>
      <c r="AW545" s="53">
        <v>18</v>
      </c>
      <c r="AX545" s="60"/>
      <c r="AY545" s="40"/>
      <c r="AZ545" s="40"/>
      <c r="BI545" s="36"/>
      <c r="BJ545" s="36"/>
      <c r="BK545" s="37"/>
      <c r="BN545" s="16"/>
      <c r="BO545" s="16"/>
    </row>
    <row r="546" spans="1:67" s="67" customFormat="1" ht="15.95" customHeight="1" x14ac:dyDescent="0.25">
      <c r="A546" s="16"/>
      <c r="B546" s="68">
        <f>SUBTOTAL(103,$K$530:K546)</f>
        <v>17</v>
      </c>
      <c r="C546" s="59" t="s">
        <v>543</v>
      </c>
      <c r="D546" s="53" t="s">
        <v>158</v>
      </c>
      <c r="E546" s="53" t="s">
        <v>155</v>
      </c>
      <c r="F546" s="53" t="s">
        <v>106</v>
      </c>
      <c r="G546" s="59" t="s">
        <v>4965</v>
      </c>
      <c r="H546" s="59" t="s">
        <v>4983</v>
      </c>
      <c r="I546" s="58" t="s">
        <v>168</v>
      </c>
      <c r="J546" s="58" t="s">
        <v>269</v>
      </c>
      <c r="K546" s="103" t="s">
        <v>4399</v>
      </c>
      <c r="L546" s="53" t="s">
        <v>170</v>
      </c>
      <c r="M546" s="68">
        <v>1</v>
      </c>
      <c r="N546" s="68" t="s">
        <v>150</v>
      </c>
      <c r="O546" s="73" t="s">
        <v>5039</v>
      </c>
      <c r="P546" s="59" t="s">
        <v>3897</v>
      </c>
      <c r="Q546" s="58" t="s">
        <v>270</v>
      </c>
      <c r="R546" s="53">
        <v>2014</v>
      </c>
      <c r="S546" s="68" t="s">
        <v>153</v>
      </c>
      <c r="T546" s="53" t="s">
        <v>271</v>
      </c>
      <c r="U546" s="53"/>
      <c r="V546" s="53" t="s">
        <v>272</v>
      </c>
      <c r="W546" s="59" t="s">
        <v>248</v>
      </c>
      <c r="X546" s="57" t="s">
        <v>4399</v>
      </c>
      <c r="Y546" s="59"/>
      <c r="Z546" s="53"/>
      <c r="AA546" s="58"/>
      <c r="AB546" s="76" t="s">
        <v>156</v>
      </c>
      <c r="AC546" s="58" t="s">
        <v>157</v>
      </c>
      <c r="AD546" s="53" t="s">
        <v>157</v>
      </c>
      <c r="AE546" s="53"/>
      <c r="AF546" s="148"/>
      <c r="AG546" s="59" t="s">
        <v>273</v>
      </c>
      <c r="AH546" s="53" t="s">
        <v>19</v>
      </c>
      <c r="AI546" s="58"/>
      <c r="AJ546" s="61" t="s">
        <v>274</v>
      </c>
      <c r="AK546" s="63" t="s">
        <v>156</v>
      </c>
      <c r="AL546" s="64" t="s">
        <v>229</v>
      </c>
      <c r="AM546" s="158" t="s">
        <v>275</v>
      </c>
      <c r="AN546" s="65" t="s">
        <v>276</v>
      </c>
      <c r="AO546" s="53" t="s">
        <v>164</v>
      </c>
      <c r="AP546" s="66"/>
      <c r="AQ546" s="67" t="s">
        <v>277</v>
      </c>
      <c r="AR546" s="41"/>
      <c r="AS546" s="58"/>
      <c r="AT546" s="53"/>
      <c r="AU546" s="54"/>
      <c r="AV546" s="54">
        <v>7480201</v>
      </c>
      <c r="AW546" s="53">
        <v>19</v>
      </c>
      <c r="AX546" s="60"/>
      <c r="AY546" s="40"/>
      <c r="AZ546" s="40"/>
      <c r="BI546" s="36"/>
      <c r="BJ546" s="36"/>
      <c r="BK546" s="37"/>
      <c r="BN546" s="16"/>
      <c r="BO546" s="16"/>
    </row>
    <row r="547" spans="1:67" s="67" customFormat="1" ht="15.95" customHeight="1" x14ac:dyDescent="0.25">
      <c r="A547" s="16"/>
      <c r="B547" s="68">
        <f>SUBTOTAL(103,$K$530:K547)</f>
        <v>18</v>
      </c>
      <c r="C547" s="59" t="s">
        <v>555</v>
      </c>
      <c r="D547" s="53" t="s">
        <v>158</v>
      </c>
      <c r="E547" s="68" t="s">
        <v>155</v>
      </c>
      <c r="F547" s="68" t="s">
        <v>106</v>
      </c>
      <c r="G547" s="59" t="s">
        <v>4965</v>
      </c>
      <c r="H547" s="59" t="s">
        <v>4984</v>
      </c>
      <c r="I547" s="58" t="s">
        <v>279</v>
      </c>
      <c r="J547" s="58" t="s">
        <v>280</v>
      </c>
      <c r="K547" s="234" t="s">
        <v>3973</v>
      </c>
      <c r="L547" s="68" t="s">
        <v>149</v>
      </c>
      <c r="M547" s="53">
        <v>0</v>
      </c>
      <c r="N547" s="59" t="s">
        <v>150</v>
      </c>
      <c r="O547" s="73" t="s">
        <v>5039</v>
      </c>
      <c r="P547" s="59" t="s">
        <v>3897</v>
      </c>
      <c r="Q547" s="82" t="s">
        <v>281</v>
      </c>
      <c r="R547" s="53">
        <v>2015</v>
      </c>
      <c r="S547" s="53" t="s">
        <v>153</v>
      </c>
      <c r="T547" s="68" t="s">
        <v>282</v>
      </c>
      <c r="U547" s="68"/>
      <c r="V547" s="53" t="s">
        <v>283</v>
      </c>
      <c r="W547" s="53" t="s">
        <v>248</v>
      </c>
      <c r="X547" s="81" t="s">
        <v>3973</v>
      </c>
      <c r="Y547" s="53"/>
      <c r="Z547" s="53"/>
      <c r="AA547" s="58"/>
      <c r="AB547" s="76" t="s">
        <v>156</v>
      </c>
      <c r="AC547" s="59" t="s">
        <v>157</v>
      </c>
      <c r="AD547" s="59" t="s">
        <v>157</v>
      </c>
      <c r="AE547" s="53"/>
      <c r="AF547" s="148"/>
      <c r="AG547" s="58" t="s">
        <v>284</v>
      </c>
      <c r="AH547" s="59" t="s">
        <v>155</v>
      </c>
      <c r="AI547" s="58" t="s">
        <v>285</v>
      </c>
      <c r="AJ547" s="61" t="s">
        <v>286</v>
      </c>
      <c r="AK547" s="62" t="s">
        <v>156</v>
      </c>
      <c r="AL547" s="59" t="s">
        <v>229</v>
      </c>
      <c r="AM547" s="64" t="s">
        <v>287</v>
      </c>
      <c r="AN547" s="65" t="s">
        <v>288</v>
      </c>
      <c r="AO547" s="72" t="s">
        <v>164</v>
      </c>
      <c r="AP547" s="66" t="s">
        <v>289</v>
      </c>
      <c r="AQ547" s="67" t="s">
        <v>180</v>
      </c>
      <c r="AR547" s="41"/>
      <c r="AS547" s="58"/>
      <c r="AT547" s="53"/>
      <c r="AU547" s="54"/>
      <c r="AV547" s="54">
        <v>7480201</v>
      </c>
      <c r="AW547" s="53">
        <v>20</v>
      </c>
      <c r="AX547" s="60"/>
      <c r="AY547" s="40"/>
      <c r="AZ547" s="40"/>
      <c r="BI547" s="36"/>
      <c r="BJ547" s="36"/>
      <c r="BK547" s="37"/>
      <c r="BN547" s="16"/>
      <c r="BO547" s="16"/>
    </row>
    <row r="548" spans="1:67" s="67" customFormat="1" ht="15.95" customHeight="1" x14ac:dyDescent="0.25">
      <c r="A548" s="16"/>
      <c r="B548" s="55"/>
      <c r="C548" s="59"/>
      <c r="D548" s="53"/>
      <c r="E548" s="53"/>
      <c r="F548" s="49"/>
      <c r="G548" s="49"/>
      <c r="H548" s="49"/>
      <c r="I548" s="56" t="s">
        <v>2004</v>
      </c>
      <c r="J548" s="49"/>
      <c r="K548" s="103"/>
      <c r="L548" s="53"/>
      <c r="M548" s="53"/>
      <c r="N548" s="53"/>
      <c r="O548" s="58"/>
      <c r="P548" s="53"/>
      <c r="Q548" s="58"/>
      <c r="R548" s="53"/>
      <c r="S548" s="53"/>
      <c r="T548" s="53"/>
      <c r="U548" s="53"/>
      <c r="V548" s="53"/>
      <c r="W548" s="59"/>
      <c r="X548" s="57"/>
      <c r="Y548" s="59"/>
      <c r="Z548" s="53"/>
      <c r="AA548" s="58"/>
      <c r="AB548" s="76"/>
      <c r="AC548" s="58"/>
      <c r="AD548" s="58"/>
      <c r="AE548" s="58"/>
      <c r="AF548" s="148"/>
      <c r="AG548" s="58"/>
      <c r="AH548" s="53"/>
      <c r="AI548" s="58"/>
      <c r="AJ548" s="61"/>
      <c r="AK548" s="62"/>
      <c r="AL548" s="58"/>
      <c r="AM548" s="64"/>
      <c r="AN548" s="65"/>
      <c r="AO548" s="53"/>
      <c r="AP548" s="66"/>
      <c r="AR548" s="41"/>
      <c r="AS548" s="58"/>
      <c r="AT548" s="53"/>
      <c r="AU548" s="54"/>
      <c r="AV548" s="54">
        <v>7520201</v>
      </c>
      <c r="AW548" s="53">
        <v>290</v>
      </c>
      <c r="AX548" s="60"/>
      <c r="AY548" s="40"/>
      <c r="AZ548" s="40"/>
      <c r="BI548" s="36"/>
      <c r="BJ548" s="36"/>
      <c r="BK548" s="37"/>
      <c r="BN548" s="16"/>
      <c r="BO548" s="16"/>
    </row>
    <row r="549" spans="1:67" s="67" customFormat="1" ht="15.95" customHeight="1" x14ac:dyDescent="0.25">
      <c r="A549" s="16"/>
      <c r="B549" s="68">
        <f>SUBTOTAL(103,$K$549:K549)</f>
        <v>1</v>
      </c>
      <c r="C549" s="53">
        <v>1</v>
      </c>
      <c r="D549" s="53" t="s">
        <v>158</v>
      </c>
      <c r="E549" s="53" t="s">
        <v>19</v>
      </c>
      <c r="F549" s="53" t="s">
        <v>105</v>
      </c>
      <c r="G549" s="53" t="s">
        <v>4992</v>
      </c>
      <c r="H549" s="53" t="s">
        <v>4985</v>
      </c>
      <c r="I549" s="58" t="s">
        <v>2005</v>
      </c>
      <c r="J549" s="58" t="s">
        <v>2006</v>
      </c>
      <c r="K549" s="103" t="s">
        <v>4400</v>
      </c>
      <c r="L549" s="53" t="s">
        <v>149</v>
      </c>
      <c r="M549" s="53">
        <v>0</v>
      </c>
      <c r="N549" s="53" t="s">
        <v>150</v>
      </c>
      <c r="O549" s="58" t="s">
        <v>5040</v>
      </c>
      <c r="P549" s="53" t="s">
        <v>3897</v>
      </c>
      <c r="Q549" s="58" t="s">
        <v>2007</v>
      </c>
      <c r="R549" s="53">
        <v>2025</v>
      </c>
      <c r="S549" s="53" t="s">
        <v>153</v>
      </c>
      <c r="T549" s="53" t="s">
        <v>384</v>
      </c>
      <c r="U549" s="53"/>
      <c r="V549" s="53" t="s">
        <v>239</v>
      </c>
      <c r="W549" s="53" t="s">
        <v>153</v>
      </c>
      <c r="X549" s="57" t="s">
        <v>4400</v>
      </c>
      <c r="Y549" s="53"/>
      <c r="Z549" s="53"/>
      <c r="AA549" s="58"/>
      <c r="AB549" s="76" t="s">
        <v>156</v>
      </c>
      <c r="AC549" s="58" t="s">
        <v>157</v>
      </c>
      <c r="AD549" s="58" t="s">
        <v>157</v>
      </c>
      <c r="AE549" s="58"/>
      <c r="AF549" s="58"/>
      <c r="AG549" s="64" t="s">
        <v>2008</v>
      </c>
      <c r="AH549" s="53"/>
      <c r="AI549" s="58"/>
      <c r="AJ549" s="61" t="s">
        <v>2009</v>
      </c>
      <c r="AK549" s="62" t="s">
        <v>156</v>
      </c>
      <c r="AL549" s="58" t="s">
        <v>1311</v>
      </c>
      <c r="AM549" s="64" t="s">
        <v>2010</v>
      </c>
      <c r="AN549" s="81" t="s">
        <v>2011</v>
      </c>
      <c r="AO549" s="53" t="s">
        <v>164</v>
      </c>
      <c r="AP549" s="66"/>
      <c r="AQ549" s="88" t="s">
        <v>406</v>
      </c>
      <c r="AR549" s="58"/>
      <c r="AS549" s="58"/>
      <c r="AT549" s="58"/>
      <c r="AU549" s="54"/>
      <c r="AV549" s="54">
        <v>7520201</v>
      </c>
      <c r="AW549" s="53">
        <v>291</v>
      </c>
      <c r="AX549" s="60"/>
      <c r="BJ549" s="40"/>
      <c r="BK549" s="40"/>
      <c r="BN549" s="16"/>
      <c r="BO549" s="16"/>
    </row>
    <row r="550" spans="1:67" s="67" customFormat="1" ht="15.95" customHeight="1" x14ac:dyDescent="0.25">
      <c r="A550" s="16"/>
      <c r="B550" s="68">
        <f>SUBTOTAL(103,$K$549:K550)</f>
        <v>2</v>
      </c>
      <c r="C550" s="53">
        <v>2</v>
      </c>
      <c r="D550" s="53" t="s">
        <v>158</v>
      </c>
      <c r="E550" s="53" t="s">
        <v>19</v>
      </c>
      <c r="F550" s="53" t="s">
        <v>105</v>
      </c>
      <c r="G550" s="53" t="s">
        <v>4992</v>
      </c>
      <c r="H550" s="53" t="s">
        <v>4986</v>
      </c>
      <c r="I550" s="58" t="s">
        <v>2012</v>
      </c>
      <c r="J550" s="58" t="s">
        <v>2013</v>
      </c>
      <c r="K550" s="103" t="s">
        <v>4401</v>
      </c>
      <c r="L550" s="53" t="s">
        <v>149</v>
      </c>
      <c r="M550" s="53">
        <v>0</v>
      </c>
      <c r="N550" s="53" t="s">
        <v>150</v>
      </c>
      <c r="O550" s="58" t="s">
        <v>5040</v>
      </c>
      <c r="P550" s="53" t="s">
        <v>3897</v>
      </c>
      <c r="Q550" s="58" t="s">
        <v>2014</v>
      </c>
      <c r="R550" s="53">
        <v>2003</v>
      </c>
      <c r="S550" s="53" t="s">
        <v>337</v>
      </c>
      <c r="T550" s="53" t="s">
        <v>1740</v>
      </c>
      <c r="U550" s="53"/>
      <c r="V550" s="53" t="s">
        <v>283</v>
      </c>
      <c r="W550" s="53" t="s">
        <v>248</v>
      </c>
      <c r="X550" s="57" t="s">
        <v>4401</v>
      </c>
      <c r="Y550" s="53"/>
      <c r="Z550" s="53"/>
      <c r="AA550" s="58"/>
      <c r="AB550" s="76" t="s">
        <v>156</v>
      </c>
      <c r="AC550" s="58" t="s">
        <v>157</v>
      </c>
      <c r="AD550" s="58" t="s">
        <v>157</v>
      </c>
      <c r="AE550" s="58"/>
      <c r="AF550" s="58"/>
      <c r="AG550" s="64" t="s">
        <v>2015</v>
      </c>
      <c r="AH550" s="53" t="s">
        <v>155</v>
      </c>
      <c r="AI550" s="58"/>
      <c r="AJ550" s="61" t="s">
        <v>2016</v>
      </c>
      <c r="AK550" s="62" t="s">
        <v>156</v>
      </c>
      <c r="AL550" s="58" t="s">
        <v>446</v>
      </c>
      <c r="AM550" s="64" t="s">
        <v>2017</v>
      </c>
      <c r="AN550" s="65" t="s">
        <v>2018</v>
      </c>
      <c r="AO550" s="53" t="s">
        <v>164</v>
      </c>
      <c r="AP550" s="66"/>
      <c r="AQ550" s="88"/>
      <c r="AU550" s="40"/>
      <c r="AV550" s="54">
        <v>7520201</v>
      </c>
      <c r="AW550" s="53">
        <v>292</v>
      </c>
      <c r="BJ550" s="40"/>
      <c r="BK550" s="40"/>
      <c r="BN550" s="16"/>
      <c r="BO550" s="16"/>
    </row>
    <row r="551" spans="1:67" s="67" customFormat="1" ht="15.95" customHeight="1" x14ac:dyDescent="0.25">
      <c r="A551" s="16"/>
      <c r="B551" s="68">
        <f>SUBTOTAL(103,$K$549:K551)</f>
        <v>3</v>
      </c>
      <c r="C551" s="53">
        <v>3</v>
      </c>
      <c r="D551" s="53" t="s">
        <v>158</v>
      </c>
      <c r="E551" s="68" t="s">
        <v>19</v>
      </c>
      <c r="F551" s="68" t="s">
        <v>106</v>
      </c>
      <c r="G551" s="53" t="s">
        <v>4992</v>
      </c>
      <c r="H551" s="68" t="s">
        <v>4987</v>
      </c>
      <c r="I551" s="58" t="s">
        <v>1833</v>
      </c>
      <c r="J551" s="58" t="s">
        <v>2019</v>
      </c>
      <c r="K551" s="234" t="s">
        <v>4402</v>
      </c>
      <c r="L551" s="68" t="s">
        <v>149</v>
      </c>
      <c r="M551" s="53">
        <v>0</v>
      </c>
      <c r="N551" s="59" t="s">
        <v>150</v>
      </c>
      <c r="O551" s="58" t="s">
        <v>5040</v>
      </c>
      <c r="P551" s="53" t="s">
        <v>3897</v>
      </c>
      <c r="Q551" s="58" t="s">
        <v>54</v>
      </c>
      <c r="R551" s="53">
        <v>2012</v>
      </c>
      <c r="S551" s="59" t="s">
        <v>248</v>
      </c>
      <c r="T551" s="53" t="s">
        <v>2020</v>
      </c>
      <c r="U551" s="68" t="s">
        <v>2021</v>
      </c>
      <c r="V551" s="53" t="s">
        <v>401</v>
      </c>
      <c r="W551" s="59" t="s">
        <v>248</v>
      </c>
      <c r="X551" s="81" t="s">
        <v>4402</v>
      </c>
      <c r="Y551" s="59"/>
      <c r="Z551" s="53"/>
      <c r="AA551" s="58"/>
      <c r="AB551" s="76" t="s">
        <v>156</v>
      </c>
      <c r="AC551" s="53" t="s">
        <v>157</v>
      </c>
      <c r="AD551" s="53" t="s">
        <v>157</v>
      </c>
      <c r="AE551" s="58"/>
      <c r="AF551" s="148"/>
      <c r="AG551" s="59" t="s">
        <v>2022</v>
      </c>
      <c r="AH551" s="59" t="s">
        <v>155</v>
      </c>
      <c r="AI551" s="58"/>
      <c r="AJ551" s="61" t="s">
        <v>2023</v>
      </c>
      <c r="AK551" s="62" t="s">
        <v>156</v>
      </c>
      <c r="AL551" s="59" t="s">
        <v>229</v>
      </c>
      <c r="AM551" s="64" t="s">
        <v>649</v>
      </c>
      <c r="AN551" s="65" t="s">
        <v>2024</v>
      </c>
      <c r="AO551" s="53" t="s">
        <v>164</v>
      </c>
      <c r="AP551" s="66"/>
      <c r="AQ551" s="67" t="s">
        <v>180</v>
      </c>
      <c r="AR551" s="41"/>
      <c r="AS551" s="58"/>
      <c r="AT551" s="53"/>
      <c r="AU551" s="54"/>
      <c r="AV551" s="54">
        <v>7520201</v>
      </c>
      <c r="AW551" s="53">
        <v>293</v>
      </c>
      <c r="AX551" s="60"/>
      <c r="AY551" s="40"/>
      <c r="AZ551" s="40"/>
      <c r="BI551" s="36"/>
      <c r="BJ551" s="36"/>
      <c r="BK551" s="37"/>
      <c r="BN551" s="16"/>
      <c r="BO551" s="16"/>
    </row>
    <row r="552" spans="1:67" s="67" customFormat="1" ht="15.95" customHeight="1" x14ac:dyDescent="0.25">
      <c r="A552" s="16"/>
      <c r="B552" s="68">
        <f>SUBTOTAL(103,$K$549:K552)</f>
        <v>4</v>
      </c>
      <c r="C552" s="53">
        <v>4</v>
      </c>
      <c r="D552" s="53" t="s">
        <v>158</v>
      </c>
      <c r="E552" s="68" t="s">
        <v>19</v>
      </c>
      <c r="F552" s="68" t="s">
        <v>106</v>
      </c>
      <c r="G552" s="53" t="s">
        <v>4992</v>
      </c>
      <c r="H552" s="68" t="s">
        <v>4988</v>
      </c>
      <c r="I552" s="58" t="s">
        <v>1481</v>
      </c>
      <c r="J552" s="58" t="s">
        <v>149</v>
      </c>
      <c r="K552" s="234" t="s">
        <v>4403</v>
      </c>
      <c r="L552" s="68" t="s">
        <v>149</v>
      </c>
      <c r="M552" s="53">
        <v>0</v>
      </c>
      <c r="N552" s="59" t="s">
        <v>150</v>
      </c>
      <c r="O552" s="58" t="s">
        <v>5040</v>
      </c>
      <c r="P552" s="53" t="s">
        <v>3897</v>
      </c>
      <c r="Q552" s="58" t="s">
        <v>1433</v>
      </c>
      <c r="R552" s="53">
        <v>2010</v>
      </c>
      <c r="S552" s="53" t="s">
        <v>337</v>
      </c>
      <c r="T552" s="68" t="s">
        <v>1434</v>
      </c>
      <c r="U552" s="68"/>
      <c r="V552" s="53" t="s">
        <v>434</v>
      </c>
      <c r="W552" s="59" t="s">
        <v>153</v>
      </c>
      <c r="X552" s="81" t="s">
        <v>4403</v>
      </c>
      <c r="Y552" s="59"/>
      <c r="Z552" s="53"/>
      <c r="AA552" s="58"/>
      <c r="AB552" s="76" t="s">
        <v>156</v>
      </c>
      <c r="AC552" s="53" t="s">
        <v>157</v>
      </c>
      <c r="AD552" s="53" t="s">
        <v>157</v>
      </c>
      <c r="AE552" s="58"/>
      <c r="AF552" s="148"/>
      <c r="AG552" s="58" t="s">
        <v>228</v>
      </c>
      <c r="AH552" s="59" t="s">
        <v>1337</v>
      </c>
      <c r="AI552" s="58"/>
      <c r="AJ552" s="61" t="s">
        <v>2025</v>
      </c>
      <c r="AK552" s="62" t="s">
        <v>156</v>
      </c>
      <c r="AL552" s="59" t="s">
        <v>229</v>
      </c>
      <c r="AM552" s="64" t="s">
        <v>2026</v>
      </c>
      <c r="AN552" s="65" t="s">
        <v>2027</v>
      </c>
      <c r="AO552" s="53" t="s">
        <v>164</v>
      </c>
      <c r="AP552" s="66"/>
      <c r="AQ552" s="67" t="s">
        <v>180</v>
      </c>
      <c r="AR552" s="41"/>
      <c r="AS552" s="58"/>
      <c r="AT552" s="53"/>
      <c r="AU552" s="54"/>
      <c r="AV552" s="54">
        <v>7520201</v>
      </c>
      <c r="AW552" s="53">
        <v>294</v>
      </c>
      <c r="AX552" s="60"/>
      <c r="AY552" s="40"/>
      <c r="AZ552" s="40"/>
      <c r="BI552" s="36"/>
      <c r="BJ552" s="36"/>
      <c r="BK552" s="37"/>
      <c r="BN552" s="16"/>
      <c r="BO552" s="16"/>
    </row>
    <row r="553" spans="1:67" s="67" customFormat="1" ht="15.95" customHeight="1" x14ac:dyDescent="0.25">
      <c r="A553" s="16"/>
      <c r="B553" s="68">
        <f>SUBTOTAL(103,$K$549:K553)</f>
        <v>5</v>
      </c>
      <c r="C553" s="53">
        <v>5</v>
      </c>
      <c r="D553" s="53" t="s">
        <v>158</v>
      </c>
      <c r="E553" s="53" t="s">
        <v>19</v>
      </c>
      <c r="F553" s="53" t="s">
        <v>106</v>
      </c>
      <c r="G553" s="53" t="s">
        <v>4992</v>
      </c>
      <c r="H553" s="68" t="s">
        <v>4989</v>
      </c>
      <c r="I553" s="58" t="s">
        <v>1395</v>
      </c>
      <c r="J553" s="58" t="s">
        <v>2028</v>
      </c>
      <c r="K553" s="103" t="s">
        <v>4404</v>
      </c>
      <c r="L553" s="53" t="s">
        <v>149</v>
      </c>
      <c r="M553" s="53">
        <v>0</v>
      </c>
      <c r="N553" s="53" t="s">
        <v>150</v>
      </c>
      <c r="O553" s="58" t="s">
        <v>5040</v>
      </c>
      <c r="P553" s="53" t="s">
        <v>3897</v>
      </c>
      <c r="Q553" s="58" t="s">
        <v>84</v>
      </c>
      <c r="R553" s="53">
        <v>2004</v>
      </c>
      <c r="S553" s="53" t="s">
        <v>337</v>
      </c>
      <c r="T553" s="53"/>
      <c r="U553" s="53"/>
      <c r="V553" s="53"/>
      <c r="W553" s="53"/>
      <c r="X553" s="57" t="s">
        <v>4404</v>
      </c>
      <c r="Y553" s="53"/>
      <c r="Z553" s="53"/>
      <c r="AA553" s="58"/>
      <c r="AB553" s="76" t="s">
        <v>156</v>
      </c>
      <c r="AC553" s="58" t="s">
        <v>157</v>
      </c>
      <c r="AD553" s="58" t="s">
        <v>157</v>
      </c>
      <c r="AE553" s="58"/>
      <c r="AF553" s="58"/>
      <c r="AG553" s="58" t="s">
        <v>2029</v>
      </c>
      <c r="AH553" s="53" t="s">
        <v>155</v>
      </c>
      <c r="AI553" s="58"/>
      <c r="AJ553" s="61" t="s">
        <v>2030</v>
      </c>
      <c r="AK553" s="62" t="s">
        <v>156</v>
      </c>
      <c r="AL553" s="58" t="s">
        <v>347</v>
      </c>
      <c r="AM553" s="64" t="s">
        <v>644</v>
      </c>
      <c r="AN553" s="65" t="s">
        <v>2031</v>
      </c>
      <c r="AO553" s="53" t="s">
        <v>164</v>
      </c>
      <c r="AP553" s="66" t="s">
        <v>2032</v>
      </c>
      <c r="AQ553" s="67" t="s">
        <v>824</v>
      </c>
      <c r="AR553" s="41"/>
      <c r="AS553" s="58"/>
      <c r="AT553" s="53"/>
      <c r="AU553" s="54"/>
      <c r="AV553" s="54">
        <v>7520201</v>
      </c>
      <c r="AW553" s="53">
        <v>295</v>
      </c>
      <c r="AX553" s="60"/>
      <c r="AY553" s="40"/>
      <c r="AZ553" s="40"/>
      <c r="BI553" s="36"/>
      <c r="BJ553" s="36"/>
      <c r="BK553" s="37"/>
      <c r="BN553" s="16"/>
      <c r="BO553" s="16"/>
    </row>
    <row r="554" spans="1:67" s="67" customFormat="1" ht="15.95" customHeight="1" x14ac:dyDescent="0.25">
      <c r="A554" s="16"/>
      <c r="B554" s="68">
        <f>SUBTOTAL(103,$K$549:K554)</f>
        <v>6</v>
      </c>
      <c r="C554" s="53">
        <v>6</v>
      </c>
      <c r="D554" s="53" t="s">
        <v>158</v>
      </c>
      <c r="E554" s="68" t="s">
        <v>19</v>
      </c>
      <c r="F554" s="68" t="s">
        <v>639</v>
      </c>
      <c r="G554" s="53" t="s">
        <v>4992</v>
      </c>
      <c r="H554" s="68" t="s">
        <v>4990</v>
      </c>
      <c r="I554" s="58" t="s">
        <v>2033</v>
      </c>
      <c r="J554" s="58" t="s">
        <v>2034</v>
      </c>
      <c r="K554" s="234" t="s">
        <v>4400</v>
      </c>
      <c r="L554" s="68" t="s">
        <v>149</v>
      </c>
      <c r="M554" s="53">
        <v>0</v>
      </c>
      <c r="N554" s="59" t="s">
        <v>150</v>
      </c>
      <c r="O554" s="58" t="s">
        <v>5040</v>
      </c>
      <c r="P554" s="53" t="s">
        <v>3897</v>
      </c>
      <c r="Q554" s="58"/>
      <c r="R554" s="53">
        <v>2022</v>
      </c>
      <c r="S554" s="59"/>
      <c r="T554" s="68"/>
      <c r="U554" s="68"/>
      <c r="V554" s="53" t="s">
        <v>262</v>
      </c>
      <c r="W554" s="53" t="s">
        <v>153</v>
      </c>
      <c r="X554" s="81" t="s">
        <v>4400</v>
      </c>
      <c r="Y554" s="59" t="s">
        <v>785</v>
      </c>
      <c r="Z554" s="53" t="s">
        <v>2035</v>
      </c>
      <c r="AA554" s="58"/>
      <c r="AB554" s="76" t="s">
        <v>156</v>
      </c>
      <c r="AC554" s="53" t="s">
        <v>157</v>
      </c>
      <c r="AD554" s="53" t="s">
        <v>157</v>
      </c>
      <c r="AE554" s="58"/>
      <c r="AF554" s="148"/>
      <c r="AG554" s="58" t="s">
        <v>2036</v>
      </c>
      <c r="AH554" s="59"/>
      <c r="AI554" s="58"/>
      <c r="AJ554" s="61" t="s">
        <v>2037</v>
      </c>
      <c r="AK554" s="62" t="s">
        <v>156</v>
      </c>
      <c r="AL554" s="59" t="s">
        <v>483</v>
      </c>
      <c r="AM554" s="74" t="s">
        <v>1892</v>
      </c>
      <c r="AN554" s="65" t="s">
        <v>2038</v>
      </c>
      <c r="AO554" s="53" t="s">
        <v>164</v>
      </c>
      <c r="AP554" s="66"/>
      <c r="AQ554" s="67" t="s">
        <v>180</v>
      </c>
      <c r="AR554" s="41"/>
      <c r="AS554" s="58"/>
      <c r="AT554" s="53"/>
      <c r="AU554" s="54"/>
      <c r="AV554" s="54">
        <v>7520201</v>
      </c>
      <c r="AW554" s="53">
        <v>296</v>
      </c>
      <c r="AX554" s="60"/>
      <c r="AY554" s="40"/>
      <c r="AZ554" s="40"/>
      <c r="BI554" s="36"/>
      <c r="BJ554" s="36"/>
      <c r="BK554" s="37"/>
      <c r="BN554" s="16"/>
      <c r="BO554" s="16"/>
    </row>
    <row r="555" spans="1:67" s="67" customFormat="1" ht="15.95" customHeight="1" x14ac:dyDescent="0.25">
      <c r="A555" s="16"/>
      <c r="B555" s="68">
        <f>SUBTOTAL(103,$K$549:K555)</f>
        <v>7</v>
      </c>
      <c r="C555" s="53">
        <v>7</v>
      </c>
      <c r="D555" s="53" t="s">
        <v>158</v>
      </c>
      <c r="E555" s="68" t="s">
        <v>19</v>
      </c>
      <c r="F555" s="59" t="s">
        <v>639</v>
      </c>
      <c r="G555" s="53" t="s">
        <v>4992</v>
      </c>
      <c r="H555" s="59" t="s">
        <v>4991</v>
      </c>
      <c r="I555" s="73" t="s">
        <v>2039</v>
      </c>
      <c r="J555" s="74" t="s">
        <v>352</v>
      </c>
      <c r="K555" s="75" t="s">
        <v>3985</v>
      </c>
      <c r="L555" s="59" t="s">
        <v>149</v>
      </c>
      <c r="M555" s="53">
        <v>0</v>
      </c>
      <c r="N555" s="59" t="s">
        <v>150</v>
      </c>
      <c r="O555" s="58" t="s">
        <v>5040</v>
      </c>
      <c r="P555" s="53" t="s">
        <v>3897</v>
      </c>
      <c r="Q555" s="58"/>
      <c r="R555" s="59" t="s">
        <v>343</v>
      </c>
      <c r="S555" s="59"/>
      <c r="T555" s="59"/>
      <c r="U555" s="59"/>
      <c r="V555" s="59" t="s">
        <v>2040</v>
      </c>
      <c r="W555" s="59" t="s">
        <v>236</v>
      </c>
      <c r="X555" s="75" t="s">
        <v>3985</v>
      </c>
      <c r="Y555" s="59" t="s">
        <v>857</v>
      </c>
      <c r="Z555" s="59" t="s">
        <v>2041</v>
      </c>
      <c r="AA555" s="58"/>
      <c r="AB555" s="76" t="s">
        <v>156</v>
      </c>
      <c r="AC555" s="59" t="s">
        <v>157</v>
      </c>
      <c r="AD555" s="59" t="s">
        <v>157</v>
      </c>
      <c r="AE555" s="59"/>
      <c r="AF555" s="59"/>
      <c r="AG555" s="59" t="s">
        <v>2042</v>
      </c>
      <c r="AH555" s="59"/>
      <c r="AI555" s="59"/>
      <c r="AJ555" s="77" t="s">
        <v>2043</v>
      </c>
      <c r="AK555" s="62" t="s">
        <v>156</v>
      </c>
      <c r="AL555" s="59" t="s">
        <v>550</v>
      </c>
      <c r="AM555" s="74" t="s">
        <v>551</v>
      </c>
      <c r="AN555" s="78" t="s">
        <v>2044</v>
      </c>
      <c r="AO555" s="59" t="s">
        <v>164</v>
      </c>
      <c r="AP555" s="66"/>
      <c r="AQ555" s="67" t="s">
        <v>180</v>
      </c>
      <c r="AR555" s="38"/>
      <c r="AT555" s="40"/>
      <c r="AU555" s="40"/>
      <c r="AV555" s="54">
        <v>7520201</v>
      </c>
      <c r="AW555" s="53">
        <v>297</v>
      </c>
      <c r="AY555" s="40"/>
      <c r="AZ555" s="40"/>
      <c r="BI555" s="36"/>
      <c r="BJ555" s="36"/>
      <c r="BK555" s="37"/>
      <c r="BN555" s="16"/>
      <c r="BO555" s="16"/>
    </row>
    <row r="556" spans="1:67" s="67" customFormat="1" ht="15.95" customHeight="1" x14ac:dyDescent="0.25">
      <c r="A556" s="16"/>
      <c r="B556" s="55"/>
      <c r="C556" s="59"/>
      <c r="D556" s="53"/>
      <c r="E556" s="68"/>
      <c r="F556" s="49"/>
      <c r="G556" s="49"/>
      <c r="H556" s="49"/>
      <c r="I556" s="165" t="s">
        <v>2045</v>
      </c>
      <c r="J556" s="49"/>
      <c r="K556" s="75"/>
      <c r="L556" s="59"/>
      <c r="M556" s="59"/>
      <c r="N556" s="59"/>
      <c r="O556" s="73"/>
      <c r="P556" s="59"/>
      <c r="Q556" s="73"/>
      <c r="R556" s="59"/>
      <c r="S556" s="59"/>
      <c r="T556" s="59"/>
      <c r="U556" s="59"/>
      <c r="V556" s="59"/>
      <c r="W556" s="59"/>
      <c r="X556" s="75"/>
      <c r="Y556" s="59"/>
      <c r="Z556" s="59"/>
      <c r="AA556" s="58"/>
      <c r="AB556" s="76"/>
      <c r="AC556" s="59"/>
      <c r="AD556" s="59"/>
      <c r="AE556" s="59"/>
      <c r="AF556" s="59"/>
      <c r="AG556" s="59"/>
      <c r="AH556" s="59"/>
      <c r="AI556" s="59"/>
      <c r="AJ556" s="77"/>
      <c r="AK556" s="62"/>
      <c r="AL556" s="59"/>
      <c r="AM556" s="74"/>
      <c r="AN556" s="78"/>
      <c r="AO556" s="59"/>
      <c r="AP556" s="66"/>
      <c r="AR556" s="38"/>
      <c r="AT556" s="40"/>
      <c r="AU556" s="40"/>
      <c r="AV556" s="54">
        <v>7580201</v>
      </c>
      <c r="AW556" s="53">
        <v>298</v>
      </c>
      <c r="AY556" s="40"/>
      <c r="AZ556" s="40"/>
      <c r="BI556" s="36"/>
      <c r="BJ556" s="36"/>
      <c r="BK556" s="37"/>
      <c r="BN556" s="16"/>
      <c r="BO556" s="16"/>
    </row>
    <row r="557" spans="1:67" s="67" customFormat="1" ht="15.95" customHeight="1" x14ac:dyDescent="0.25">
      <c r="A557" s="16"/>
      <c r="B557" s="68">
        <f>SUBTOTAL(103,$K$557:K557)</f>
        <v>1</v>
      </c>
      <c r="C557" s="282">
        <v>1</v>
      </c>
      <c r="D557" s="53" t="s">
        <v>158</v>
      </c>
      <c r="E557" s="68" t="s">
        <v>19</v>
      </c>
      <c r="F557" s="68" t="s">
        <v>105</v>
      </c>
      <c r="G557" s="68" t="s">
        <v>5004</v>
      </c>
      <c r="H557" s="68" t="s">
        <v>4993</v>
      </c>
      <c r="I557" s="58" t="s">
        <v>2046</v>
      </c>
      <c r="J557" s="58" t="s">
        <v>2047</v>
      </c>
      <c r="K557" s="234" t="s">
        <v>4405</v>
      </c>
      <c r="L557" s="53" t="s">
        <v>149</v>
      </c>
      <c r="M557" s="53">
        <v>0</v>
      </c>
      <c r="N557" s="59" t="s">
        <v>150</v>
      </c>
      <c r="O557" s="73" t="s">
        <v>5041</v>
      </c>
      <c r="P557" s="59" t="s">
        <v>3897</v>
      </c>
      <c r="Q557" s="82" t="s">
        <v>2048</v>
      </c>
      <c r="R557" s="53">
        <v>2012</v>
      </c>
      <c r="S557" s="59" t="s">
        <v>236</v>
      </c>
      <c r="T557" s="68" t="s">
        <v>607</v>
      </c>
      <c r="U557" s="68"/>
      <c r="V557" s="53" t="s">
        <v>250</v>
      </c>
      <c r="W557" s="59" t="s">
        <v>153</v>
      </c>
      <c r="X557" s="81" t="s">
        <v>4405</v>
      </c>
      <c r="Y557" s="59"/>
      <c r="Z557" s="53"/>
      <c r="AA557" s="58"/>
      <c r="AB557" s="76" t="s">
        <v>294</v>
      </c>
      <c r="AC557" s="53" t="s">
        <v>157</v>
      </c>
      <c r="AD557" s="53" t="s">
        <v>157</v>
      </c>
      <c r="AE557" s="58"/>
      <c r="AF557" s="148"/>
      <c r="AG557" s="59" t="s">
        <v>2049</v>
      </c>
      <c r="AH557" s="59"/>
      <c r="AI557" s="58"/>
      <c r="AJ557" s="61" t="s">
        <v>2050</v>
      </c>
      <c r="AK557" s="71" t="s">
        <v>294</v>
      </c>
      <c r="AL557" s="59" t="s">
        <v>2051</v>
      </c>
      <c r="AM557" s="64" t="s">
        <v>2052</v>
      </c>
      <c r="AN557" s="65" t="s">
        <v>2053</v>
      </c>
      <c r="AO557" s="53" t="s">
        <v>164</v>
      </c>
      <c r="AP557" s="66"/>
      <c r="AQ557" s="67" t="s">
        <v>180</v>
      </c>
      <c r="AR557" s="38"/>
      <c r="AT557" s="40"/>
      <c r="AU557" s="40"/>
      <c r="AV557" s="54">
        <v>7580201</v>
      </c>
      <c r="AW557" s="53">
        <v>299</v>
      </c>
      <c r="AY557" s="40"/>
      <c r="AZ557" s="40"/>
      <c r="BI557" s="36"/>
      <c r="BJ557" s="36"/>
      <c r="BK557" s="37"/>
      <c r="BN557" s="16"/>
      <c r="BO557" s="16"/>
    </row>
    <row r="558" spans="1:67" s="67" customFormat="1" ht="15.95" customHeight="1" x14ac:dyDescent="0.25">
      <c r="A558" s="16"/>
      <c r="B558" s="68">
        <f>SUBTOTAL(103,$K$557:K558)</f>
        <v>2</v>
      </c>
      <c r="C558" s="53">
        <v>2</v>
      </c>
      <c r="D558" s="53" t="s">
        <v>158</v>
      </c>
      <c r="E558" s="53" t="s">
        <v>19</v>
      </c>
      <c r="F558" s="53" t="s">
        <v>105</v>
      </c>
      <c r="G558" s="68" t="s">
        <v>5004</v>
      </c>
      <c r="H558" s="68" t="s">
        <v>4994</v>
      </c>
      <c r="I558" s="58" t="s">
        <v>1233</v>
      </c>
      <c r="J558" s="58" t="s">
        <v>1377</v>
      </c>
      <c r="K558" s="103" t="s">
        <v>4165</v>
      </c>
      <c r="L558" s="53" t="s">
        <v>149</v>
      </c>
      <c r="M558" s="53">
        <v>0</v>
      </c>
      <c r="N558" s="53" t="s">
        <v>150</v>
      </c>
      <c r="O558" s="73" t="s">
        <v>5041</v>
      </c>
      <c r="P558" s="59" t="s">
        <v>3897</v>
      </c>
      <c r="Q558" s="58" t="s">
        <v>2054</v>
      </c>
      <c r="R558" s="53">
        <v>2012</v>
      </c>
      <c r="S558" s="53" t="s">
        <v>153</v>
      </c>
      <c r="T558" s="53" t="s">
        <v>239</v>
      </c>
      <c r="U558" s="53"/>
      <c r="V558" s="53" t="s">
        <v>283</v>
      </c>
      <c r="W558" s="53" t="s">
        <v>248</v>
      </c>
      <c r="X558" s="57" t="s">
        <v>4165</v>
      </c>
      <c r="Y558" s="53"/>
      <c r="Z558" s="53"/>
      <c r="AA558" s="58"/>
      <c r="AB558" s="76" t="s">
        <v>156</v>
      </c>
      <c r="AC558" s="58" t="s">
        <v>157</v>
      </c>
      <c r="AD558" s="58" t="s">
        <v>157</v>
      </c>
      <c r="AE558" s="58"/>
      <c r="AF558" s="58"/>
      <c r="AG558" s="64" t="s">
        <v>2055</v>
      </c>
      <c r="AH558" s="53"/>
      <c r="AI558" s="58"/>
      <c r="AJ558" s="61" t="s">
        <v>2056</v>
      </c>
      <c r="AK558" s="62" t="s">
        <v>156</v>
      </c>
      <c r="AL558" s="58" t="s">
        <v>1038</v>
      </c>
      <c r="AM558" s="64" t="s">
        <v>2057</v>
      </c>
      <c r="AN558" s="65" t="s">
        <v>2058</v>
      </c>
      <c r="AO558" s="53" t="s">
        <v>164</v>
      </c>
      <c r="AP558" s="66"/>
      <c r="AQ558" s="88"/>
      <c r="AU558" s="40"/>
      <c r="AV558" s="54">
        <v>7580201</v>
      </c>
      <c r="AW558" s="53">
        <v>300</v>
      </c>
      <c r="BJ558" s="40"/>
      <c r="BK558" s="40"/>
      <c r="BN558" s="16"/>
      <c r="BO558" s="16"/>
    </row>
    <row r="559" spans="1:67" s="67" customFormat="1" ht="15.95" customHeight="1" x14ac:dyDescent="0.25">
      <c r="A559" s="16"/>
      <c r="B559" s="68">
        <f>SUBTOTAL(103,$K$557:K559)</f>
        <v>3</v>
      </c>
      <c r="C559" s="282">
        <v>3</v>
      </c>
      <c r="D559" s="53" t="s">
        <v>158</v>
      </c>
      <c r="E559" s="68" t="s">
        <v>19</v>
      </c>
      <c r="F559" s="53" t="s">
        <v>105</v>
      </c>
      <c r="G559" s="68" t="s">
        <v>5004</v>
      </c>
      <c r="H559" s="68" t="s">
        <v>4995</v>
      </c>
      <c r="I559" s="58" t="s">
        <v>2059</v>
      </c>
      <c r="J559" s="58" t="s">
        <v>2060</v>
      </c>
      <c r="K559" s="103" t="s">
        <v>4406</v>
      </c>
      <c r="L559" s="53" t="s">
        <v>149</v>
      </c>
      <c r="M559" s="53">
        <v>0</v>
      </c>
      <c r="N559" s="68" t="s">
        <v>150</v>
      </c>
      <c r="O559" s="73" t="s">
        <v>5041</v>
      </c>
      <c r="P559" s="59" t="s">
        <v>3897</v>
      </c>
      <c r="Q559" s="58" t="s">
        <v>2061</v>
      </c>
      <c r="R559" s="53">
        <v>2013</v>
      </c>
      <c r="S559" s="68" t="s">
        <v>197</v>
      </c>
      <c r="T559" s="53" t="s">
        <v>1174</v>
      </c>
      <c r="U559" s="53"/>
      <c r="V559" s="53">
        <v>5.9</v>
      </c>
      <c r="W559" s="53" t="s">
        <v>248</v>
      </c>
      <c r="X559" s="57" t="s">
        <v>4406</v>
      </c>
      <c r="Y559" s="59" t="s">
        <v>2062</v>
      </c>
      <c r="Z559" s="53">
        <v>18.600000000000001</v>
      </c>
      <c r="AA559" s="58"/>
      <c r="AB559" s="76" t="s">
        <v>156</v>
      </c>
      <c r="AC559" s="53" t="s">
        <v>157</v>
      </c>
      <c r="AD559" s="53" t="s">
        <v>157</v>
      </c>
      <c r="AE559" s="58"/>
      <c r="AF559" s="148"/>
      <c r="AG559" s="64" t="s">
        <v>2063</v>
      </c>
      <c r="AH559" s="53" t="s">
        <v>155</v>
      </c>
      <c r="AI559" s="58"/>
      <c r="AJ559" s="61" t="s">
        <v>2064</v>
      </c>
      <c r="AK559" s="62" t="s">
        <v>156</v>
      </c>
      <c r="AL559" s="58" t="s">
        <v>521</v>
      </c>
      <c r="AM559" s="64" t="s">
        <v>2065</v>
      </c>
      <c r="AN559" s="65" t="s">
        <v>2066</v>
      </c>
      <c r="AO559" s="59" t="s">
        <v>2067</v>
      </c>
      <c r="AP559" s="66"/>
      <c r="AQ559" s="150" t="s">
        <v>2068</v>
      </c>
      <c r="AR559" s="38"/>
      <c r="AT559" s="40"/>
      <c r="AU559" s="40"/>
      <c r="AV559" s="54">
        <v>7580201</v>
      </c>
      <c r="AW559" s="53">
        <v>301</v>
      </c>
      <c r="AY559" s="40"/>
      <c r="AZ559" s="40"/>
      <c r="BI559" s="36"/>
      <c r="BJ559" s="36"/>
      <c r="BK559" s="37"/>
      <c r="BN559" s="16"/>
      <c r="BO559" s="16"/>
    </row>
    <row r="560" spans="1:67" s="67" customFormat="1" ht="15.95" customHeight="1" x14ac:dyDescent="0.25">
      <c r="A560" s="16"/>
      <c r="B560" s="68">
        <f>SUBTOTAL(103,$K$557:K560)</f>
        <v>4</v>
      </c>
      <c r="C560" s="53">
        <v>4</v>
      </c>
      <c r="D560" s="53" t="s">
        <v>158</v>
      </c>
      <c r="E560" s="53" t="s">
        <v>19</v>
      </c>
      <c r="F560" s="53" t="s">
        <v>105</v>
      </c>
      <c r="G560" s="68" t="s">
        <v>5004</v>
      </c>
      <c r="H560" s="68" t="s">
        <v>4996</v>
      </c>
      <c r="I560" s="58" t="s">
        <v>2069</v>
      </c>
      <c r="J560" s="58" t="s">
        <v>377</v>
      </c>
      <c r="K560" s="103" t="s">
        <v>4407</v>
      </c>
      <c r="L560" s="53" t="s">
        <v>149</v>
      </c>
      <c r="M560" s="53">
        <v>0</v>
      </c>
      <c r="N560" s="53" t="s">
        <v>150</v>
      </c>
      <c r="O560" s="73" t="s">
        <v>5041</v>
      </c>
      <c r="P560" s="59" t="s">
        <v>3897</v>
      </c>
      <c r="Q560" s="58" t="s">
        <v>2070</v>
      </c>
      <c r="R560" s="53">
        <v>2014</v>
      </c>
      <c r="S560" s="53" t="s">
        <v>248</v>
      </c>
      <c r="T560" s="53" t="s">
        <v>1849</v>
      </c>
      <c r="U560" s="53"/>
      <c r="V560" s="53" t="s">
        <v>453</v>
      </c>
      <c r="W560" s="53" t="s">
        <v>153</v>
      </c>
      <c r="X560" s="57" t="s">
        <v>4407</v>
      </c>
      <c r="Y560" s="59"/>
      <c r="Z560" s="53"/>
      <c r="AA560" s="58"/>
      <c r="AB560" s="76" t="s">
        <v>156</v>
      </c>
      <c r="AC560" s="58" t="s">
        <v>157</v>
      </c>
      <c r="AD560" s="58" t="s">
        <v>157</v>
      </c>
      <c r="AE560" s="58"/>
      <c r="AF560" s="148"/>
      <c r="AG560" s="58" t="s">
        <v>2071</v>
      </c>
      <c r="AH560" s="53" t="s">
        <v>155</v>
      </c>
      <c r="AI560" s="58"/>
      <c r="AJ560" s="61" t="s">
        <v>2072</v>
      </c>
      <c r="AK560" s="62" t="s">
        <v>156</v>
      </c>
      <c r="AL560" s="58" t="s">
        <v>241</v>
      </c>
      <c r="AM560" s="64" t="s">
        <v>2073</v>
      </c>
      <c r="AN560" s="65" t="s">
        <v>2074</v>
      </c>
      <c r="AO560" s="53" t="s">
        <v>164</v>
      </c>
      <c r="AP560" s="66" t="s">
        <v>2075</v>
      </c>
      <c r="AQ560" s="84" t="s">
        <v>1132</v>
      </c>
      <c r="AR560" s="38"/>
      <c r="AT560" s="40"/>
      <c r="AU560" s="40"/>
      <c r="AV560" s="54">
        <v>7580201</v>
      </c>
      <c r="AW560" s="53">
        <v>302</v>
      </c>
      <c r="AY560" s="40"/>
      <c r="AZ560" s="40"/>
      <c r="BI560" s="36"/>
      <c r="BJ560" s="36"/>
      <c r="BK560" s="37"/>
      <c r="BN560" s="16"/>
      <c r="BO560" s="16"/>
    </row>
    <row r="561" spans="1:67" s="67" customFormat="1" ht="15.95" customHeight="1" x14ac:dyDescent="0.25">
      <c r="A561" s="16"/>
      <c r="B561" s="68">
        <f>SUBTOTAL(103,$K$557:K561)</f>
        <v>5</v>
      </c>
      <c r="C561" s="282">
        <v>5</v>
      </c>
      <c r="D561" s="53" t="s">
        <v>158</v>
      </c>
      <c r="E561" s="68" t="s">
        <v>19</v>
      </c>
      <c r="F561" s="53" t="s">
        <v>106</v>
      </c>
      <c r="G561" s="68" t="s">
        <v>5004</v>
      </c>
      <c r="H561" s="53" t="s">
        <v>4997</v>
      </c>
      <c r="I561" s="58" t="s">
        <v>1833</v>
      </c>
      <c r="J561" s="58" t="s">
        <v>1646</v>
      </c>
      <c r="K561" s="103" t="s">
        <v>4408</v>
      </c>
      <c r="L561" s="53" t="s">
        <v>149</v>
      </c>
      <c r="M561" s="53">
        <v>0</v>
      </c>
      <c r="N561" s="68" t="s">
        <v>150</v>
      </c>
      <c r="O561" s="73" t="s">
        <v>5041</v>
      </c>
      <c r="P561" s="59" t="s">
        <v>3897</v>
      </c>
      <c r="Q561" s="58" t="s">
        <v>54</v>
      </c>
      <c r="R561" s="53">
        <v>2023</v>
      </c>
      <c r="S561" s="68" t="s">
        <v>153</v>
      </c>
      <c r="T561" s="53" t="s">
        <v>2076</v>
      </c>
      <c r="U561" s="53"/>
      <c r="V561" s="53">
        <v>8.8000000000000007</v>
      </c>
      <c r="W561" s="53" t="s">
        <v>236</v>
      </c>
      <c r="X561" s="57" t="s">
        <v>4408</v>
      </c>
      <c r="Y561" s="59" t="s">
        <v>2062</v>
      </c>
      <c r="Z561" s="53">
        <v>25.4</v>
      </c>
      <c r="AA561" s="58"/>
      <c r="AB561" s="76" t="s">
        <v>156</v>
      </c>
      <c r="AC561" s="53" t="s">
        <v>157</v>
      </c>
      <c r="AD561" s="53" t="s">
        <v>157</v>
      </c>
      <c r="AE561" s="58"/>
      <c r="AF561" s="148"/>
      <c r="AG561" s="64" t="s">
        <v>2077</v>
      </c>
      <c r="AH561" s="53" t="s">
        <v>155</v>
      </c>
      <c r="AI561" s="58"/>
      <c r="AJ561" s="61" t="s">
        <v>2078</v>
      </c>
      <c r="AK561" s="62" t="s">
        <v>156</v>
      </c>
      <c r="AL561" s="59" t="s">
        <v>347</v>
      </c>
      <c r="AM561" s="64" t="s">
        <v>2079</v>
      </c>
      <c r="AN561" s="65" t="s">
        <v>2080</v>
      </c>
      <c r="AO561" s="59" t="s">
        <v>2067</v>
      </c>
      <c r="AP561" s="66"/>
      <c r="AQ561" s="150" t="s">
        <v>2068</v>
      </c>
      <c r="AR561" s="38"/>
      <c r="AT561" s="40"/>
      <c r="AU561" s="40"/>
      <c r="AV561" s="54">
        <v>7580201</v>
      </c>
      <c r="AW561" s="53">
        <v>303</v>
      </c>
      <c r="AY561" s="40"/>
      <c r="AZ561" s="40"/>
      <c r="BI561" s="36"/>
      <c r="BJ561" s="36"/>
      <c r="BK561" s="37"/>
      <c r="BN561" s="16"/>
      <c r="BO561" s="16"/>
    </row>
    <row r="562" spans="1:67" s="67" customFormat="1" ht="15.95" customHeight="1" x14ac:dyDescent="0.25">
      <c r="A562" s="16"/>
      <c r="B562" s="68">
        <f>SUBTOTAL(103,$K$557:K562)</f>
        <v>6</v>
      </c>
      <c r="C562" s="53">
        <v>6</v>
      </c>
      <c r="D562" s="53" t="s">
        <v>158</v>
      </c>
      <c r="E562" s="68" t="s">
        <v>19</v>
      </c>
      <c r="F562" s="59" t="s">
        <v>106</v>
      </c>
      <c r="G562" s="68" t="s">
        <v>5004</v>
      </c>
      <c r="H562" s="53" t="s">
        <v>4998</v>
      </c>
      <c r="I562" s="58" t="s">
        <v>2081</v>
      </c>
      <c r="J562" s="58" t="s">
        <v>2047</v>
      </c>
      <c r="K562" s="103" t="s">
        <v>4409</v>
      </c>
      <c r="L562" s="53" t="s">
        <v>149</v>
      </c>
      <c r="M562" s="53">
        <v>0</v>
      </c>
      <c r="N562" s="68" t="s">
        <v>150</v>
      </c>
      <c r="O562" s="73" t="s">
        <v>5041</v>
      </c>
      <c r="P562" s="59" t="s">
        <v>3897</v>
      </c>
      <c r="Q562" s="58" t="s">
        <v>1972</v>
      </c>
      <c r="R562" s="53">
        <v>2019</v>
      </c>
      <c r="S562" s="59" t="s">
        <v>337</v>
      </c>
      <c r="T562" s="53" t="s">
        <v>1980</v>
      </c>
      <c r="U562" s="53"/>
      <c r="V562" s="53">
        <v>7.4</v>
      </c>
      <c r="W562" s="59" t="s">
        <v>153</v>
      </c>
      <c r="X562" s="57" t="s">
        <v>4409</v>
      </c>
      <c r="Y562" s="59" t="s">
        <v>2082</v>
      </c>
      <c r="Z562" s="53">
        <v>18.899999999999999</v>
      </c>
      <c r="AA562" s="58"/>
      <c r="AB562" s="76" t="s">
        <v>156</v>
      </c>
      <c r="AC562" s="53" t="s">
        <v>157</v>
      </c>
      <c r="AD562" s="53" t="s">
        <v>157</v>
      </c>
      <c r="AE562" s="58"/>
      <c r="AF562" s="148"/>
      <c r="AG562" s="64" t="s">
        <v>2083</v>
      </c>
      <c r="AH562" s="53" t="s">
        <v>155</v>
      </c>
      <c r="AI562" s="58"/>
      <c r="AJ562" s="61" t="s">
        <v>2084</v>
      </c>
      <c r="AK562" s="62" t="s">
        <v>156</v>
      </c>
      <c r="AL562" s="59" t="s">
        <v>436</v>
      </c>
      <c r="AM562" s="64" t="s">
        <v>981</v>
      </c>
      <c r="AN562" s="65" t="s">
        <v>2085</v>
      </c>
      <c r="AO562" s="59" t="s">
        <v>2067</v>
      </c>
      <c r="AP562" s="66"/>
      <c r="AQ562" s="150" t="s">
        <v>2068</v>
      </c>
      <c r="AR562" s="38"/>
      <c r="AT562" s="40"/>
      <c r="AU562" s="40"/>
      <c r="AV562" s="54">
        <v>7580201</v>
      </c>
      <c r="AW562" s="53">
        <v>304</v>
      </c>
      <c r="AY562" s="40"/>
      <c r="AZ562" s="40"/>
      <c r="BI562" s="36"/>
      <c r="BJ562" s="36"/>
      <c r="BK562" s="37"/>
      <c r="BN562" s="16"/>
      <c r="BO562" s="16"/>
    </row>
    <row r="563" spans="1:67" s="67" customFormat="1" ht="15.95" customHeight="1" x14ac:dyDescent="0.25">
      <c r="A563" s="16"/>
      <c r="B563" s="68">
        <f>SUBTOTAL(103,$K$557:K563)</f>
        <v>7</v>
      </c>
      <c r="C563" s="282">
        <v>7</v>
      </c>
      <c r="D563" s="53" t="s">
        <v>158</v>
      </c>
      <c r="E563" s="53" t="s">
        <v>19</v>
      </c>
      <c r="F563" s="53" t="s">
        <v>106</v>
      </c>
      <c r="G563" s="68" t="s">
        <v>5004</v>
      </c>
      <c r="H563" s="53" t="s">
        <v>4999</v>
      </c>
      <c r="I563" s="58" t="s">
        <v>2086</v>
      </c>
      <c r="J563" s="58" t="s">
        <v>352</v>
      </c>
      <c r="K563" s="103" t="s">
        <v>4276</v>
      </c>
      <c r="L563" s="53" t="s">
        <v>149</v>
      </c>
      <c r="M563" s="53">
        <v>0</v>
      </c>
      <c r="N563" s="53" t="s">
        <v>150</v>
      </c>
      <c r="O563" s="73" t="s">
        <v>5041</v>
      </c>
      <c r="P563" s="59" t="s">
        <v>3897</v>
      </c>
      <c r="Q563" s="58" t="s">
        <v>1723</v>
      </c>
      <c r="R563" s="53">
        <v>2004</v>
      </c>
      <c r="S563" s="53" t="s">
        <v>248</v>
      </c>
      <c r="T563" s="53" t="s">
        <v>2087</v>
      </c>
      <c r="U563" s="53"/>
      <c r="V563" s="53" t="s">
        <v>423</v>
      </c>
      <c r="W563" s="53" t="s">
        <v>248</v>
      </c>
      <c r="X563" s="57" t="s">
        <v>4276</v>
      </c>
      <c r="Y563" s="53"/>
      <c r="Z563" s="53"/>
      <c r="AA563" s="58"/>
      <c r="AB563" s="76" t="s">
        <v>156</v>
      </c>
      <c r="AC563" s="58" t="s">
        <v>157</v>
      </c>
      <c r="AD563" s="58" t="s">
        <v>157</v>
      </c>
      <c r="AE563" s="58"/>
      <c r="AF563" s="58"/>
      <c r="AG563" s="64" t="s">
        <v>1660</v>
      </c>
      <c r="AH563" s="53" t="s">
        <v>155</v>
      </c>
      <c r="AI563" s="58"/>
      <c r="AJ563" s="61" t="s">
        <v>2088</v>
      </c>
      <c r="AK563" s="62" t="s">
        <v>156</v>
      </c>
      <c r="AL563" s="58" t="s">
        <v>550</v>
      </c>
      <c r="AM563" s="64" t="s">
        <v>2089</v>
      </c>
      <c r="AN563" s="65" t="s">
        <v>2090</v>
      </c>
      <c r="AO563" s="53" t="s">
        <v>164</v>
      </c>
      <c r="AP563" s="66"/>
      <c r="AQ563" s="88" t="s">
        <v>587</v>
      </c>
      <c r="AU563" s="40"/>
      <c r="AV563" s="54">
        <v>7580201</v>
      </c>
      <c r="AW563" s="53">
        <v>305</v>
      </c>
      <c r="BJ563" s="40"/>
      <c r="BK563" s="40"/>
      <c r="BN563" s="16"/>
      <c r="BO563" s="16"/>
    </row>
    <row r="564" spans="1:67" s="67" customFormat="1" ht="15.95" customHeight="1" x14ac:dyDescent="0.25">
      <c r="A564" s="16"/>
      <c r="B564" s="68">
        <f>SUBTOTAL(103,$K$557:K564)</f>
        <v>8</v>
      </c>
      <c r="C564" s="53">
        <v>8</v>
      </c>
      <c r="D564" s="53" t="s">
        <v>158</v>
      </c>
      <c r="E564" s="68" t="s">
        <v>19</v>
      </c>
      <c r="F564" s="53" t="s">
        <v>106</v>
      </c>
      <c r="G564" s="68" t="s">
        <v>5004</v>
      </c>
      <c r="H564" s="53" t="s">
        <v>5000</v>
      </c>
      <c r="I564" s="58" t="s">
        <v>2091</v>
      </c>
      <c r="J564" s="58" t="s">
        <v>2092</v>
      </c>
      <c r="K564" s="103" t="s">
        <v>4410</v>
      </c>
      <c r="L564" s="53" t="s">
        <v>149</v>
      </c>
      <c r="M564" s="53">
        <v>0</v>
      </c>
      <c r="N564" s="68" t="s">
        <v>150</v>
      </c>
      <c r="O564" s="73" t="s">
        <v>5041</v>
      </c>
      <c r="P564" s="59" t="s">
        <v>3897</v>
      </c>
      <c r="Q564" s="58" t="s">
        <v>2093</v>
      </c>
      <c r="R564" s="53">
        <v>2012</v>
      </c>
      <c r="S564" s="68" t="s">
        <v>337</v>
      </c>
      <c r="T564" s="53" t="s">
        <v>1013</v>
      </c>
      <c r="U564" s="53"/>
      <c r="V564" s="53"/>
      <c r="W564" s="53" t="s">
        <v>248</v>
      </c>
      <c r="X564" s="57" t="s">
        <v>4410</v>
      </c>
      <c r="Y564" s="53"/>
      <c r="Z564" s="53"/>
      <c r="AA564" s="58"/>
      <c r="AB564" s="76" t="s">
        <v>156</v>
      </c>
      <c r="AC564" s="58" t="s">
        <v>157</v>
      </c>
      <c r="AD564" s="58" t="s">
        <v>157</v>
      </c>
      <c r="AE564" s="58"/>
      <c r="AF564" s="148"/>
      <c r="AG564" s="58" t="s">
        <v>2094</v>
      </c>
      <c r="AH564" s="53" t="s">
        <v>19</v>
      </c>
      <c r="AI564" s="58"/>
      <c r="AJ564" s="61" t="s">
        <v>2095</v>
      </c>
      <c r="AK564" s="62" t="s">
        <v>156</v>
      </c>
      <c r="AL564" s="59" t="s">
        <v>483</v>
      </c>
      <c r="AM564" s="74" t="s">
        <v>592</v>
      </c>
      <c r="AN564" s="65" t="s">
        <v>2096</v>
      </c>
      <c r="AO564" s="68" t="s">
        <v>164</v>
      </c>
      <c r="AP564" s="66"/>
      <c r="AQ564" s="67" t="s">
        <v>515</v>
      </c>
      <c r="AR564" s="38"/>
      <c r="AT564" s="40"/>
      <c r="AU564" s="40"/>
      <c r="AV564" s="54">
        <v>7580201</v>
      </c>
      <c r="AW564" s="53">
        <v>306</v>
      </c>
      <c r="AY564" s="40"/>
      <c r="AZ564" s="40"/>
      <c r="BI564" s="36"/>
      <c r="BJ564" s="36"/>
      <c r="BK564" s="37"/>
      <c r="BN564" s="16"/>
      <c r="BO564" s="16"/>
    </row>
    <row r="565" spans="1:67" s="67" customFormat="1" ht="15.95" customHeight="1" x14ac:dyDescent="0.25">
      <c r="A565" s="16"/>
      <c r="B565" s="68">
        <f>SUBTOTAL(103,$K$557:K565)</f>
        <v>9</v>
      </c>
      <c r="C565" s="282">
        <v>9</v>
      </c>
      <c r="D565" s="53" t="s">
        <v>158</v>
      </c>
      <c r="E565" s="53" t="s">
        <v>19</v>
      </c>
      <c r="F565" s="53" t="s">
        <v>106</v>
      </c>
      <c r="G565" s="68" t="s">
        <v>5004</v>
      </c>
      <c r="H565" s="53" t="s">
        <v>5001</v>
      </c>
      <c r="I565" s="58" t="s">
        <v>1645</v>
      </c>
      <c r="J565" s="58" t="s">
        <v>2097</v>
      </c>
      <c r="K565" s="103" t="s">
        <v>4411</v>
      </c>
      <c r="L565" s="53" t="s">
        <v>149</v>
      </c>
      <c r="M565" s="53">
        <v>0</v>
      </c>
      <c r="N565" s="53" t="s">
        <v>150</v>
      </c>
      <c r="O565" s="73" t="s">
        <v>5041</v>
      </c>
      <c r="P565" s="59" t="s">
        <v>3897</v>
      </c>
      <c r="Q565" s="58" t="s">
        <v>2098</v>
      </c>
      <c r="R565" s="53">
        <v>2015</v>
      </c>
      <c r="S565" s="53" t="s">
        <v>153</v>
      </c>
      <c r="T565" s="53" t="s">
        <v>434</v>
      </c>
      <c r="U565" s="53"/>
      <c r="V565" s="53" t="s">
        <v>1183</v>
      </c>
      <c r="W565" s="53" t="s">
        <v>153</v>
      </c>
      <c r="X565" s="57" t="s">
        <v>4411</v>
      </c>
      <c r="Y565" s="59"/>
      <c r="Z565" s="53"/>
      <c r="AA565" s="58"/>
      <c r="AB565" s="76" t="s">
        <v>156</v>
      </c>
      <c r="AC565" s="58" t="s">
        <v>157</v>
      </c>
      <c r="AD565" s="53" t="s">
        <v>157</v>
      </c>
      <c r="AE565" s="58"/>
      <c r="AF565" s="148"/>
      <c r="AG565" s="58" t="s">
        <v>2099</v>
      </c>
      <c r="AH565" s="53" t="s">
        <v>155</v>
      </c>
      <c r="AI565" s="58"/>
      <c r="AJ565" s="61" t="s">
        <v>2100</v>
      </c>
      <c r="AK565" s="62" t="s">
        <v>156</v>
      </c>
      <c r="AL565" s="58" t="s">
        <v>264</v>
      </c>
      <c r="AM565" s="64" t="s">
        <v>2101</v>
      </c>
      <c r="AN565" s="65" t="s">
        <v>2102</v>
      </c>
      <c r="AO565" s="53" t="s">
        <v>164</v>
      </c>
      <c r="AP565" s="66" t="s">
        <v>457</v>
      </c>
      <c r="AQ565" s="67" t="s">
        <v>224</v>
      </c>
      <c r="AR565" s="38"/>
      <c r="AT565" s="40"/>
      <c r="AU565" s="40"/>
      <c r="AV565" s="54">
        <v>7580201</v>
      </c>
      <c r="AW565" s="53">
        <v>307</v>
      </c>
      <c r="AY565" s="40"/>
      <c r="AZ565" s="40"/>
      <c r="BI565" s="36"/>
      <c r="BJ565" s="36"/>
      <c r="BK565" s="37"/>
      <c r="BN565" s="16"/>
      <c r="BO565" s="16"/>
    </row>
    <row r="566" spans="1:67" s="67" customFormat="1" ht="15.95" customHeight="1" x14ac:dyDescent="0.25">
      <c r="A566" s="16"/>
      <c r="B566" s="68">
        <f>SUBTOTAL(103,$K$557:K566)</f>
        <v>10</v>
      </c>
      <c r="C566" s="53">
        <v>10</v>
      </c>
      <c r="D566" s="53" t="s">
        <v>158</v>
      </c>
      <c r="E566" s="68" t="s">
        <v>19</v>
      </c>
      <c r="F566" s="59" t="s">
        <v>104</v>
      </c>
      <c r="G566" s="68" t="s">
        <v>5004</v>
      </c>
      <c r="H566" s="59" t="s">
        <v>5002</v>
      </c>
      <c r="I566" s="73" t="s">
        <v>1751</v>
      </c>
      <c r="J566" s="74" t="s">
        <v>1646</v>
      </c>
      <c r="K566" s="75" t="s">
        <v>4412</v>
      </c>
      <c r="L566" s="59" t="s">
        <v>149</v>
      </c>
      <c r="M566" s="53">
        <v>0</v>
      </c>
      <c r="N566" s="59" t="s">
        <v>150</v>
      </c>
      <c r="O566" s="73" t="s">
        <v>5041</v>
      </c>
      <c r="P566" s="59" t="s">
        <v>3897</v>
      </c>
      <c r="Q566" s="73" t="s">
        <v>2103</v>
      </c>
      <c r="R566" s="59" t="s">
        <v>2104</v>
      </c>
      <c r="S566" s="59" t="s">
        <v>337</v>
      </c>
      <c r="T566" s="59"/>
      <c r="U566" s="59"/>
      <c r="V566" s="59" t="s">
        <v>518</v>
      </c>
      <c r="W566" s="59" t="s">
        <v>153</v>
      </c>
      <c r="X566" s="75" t="s">
        <v>4412</v>
      </c>
      <c r="Y566" s="59" t="s">
        <v>686</v>
      </c>
      <c r="Z566" s="59" t="s">
        <v>563</v>
      </c>
      <c r="AA566" s="58"/>
      <c r="AB566" s="76" t="s">
        <v>156</v>
      </c>
      <c r="AC566" s="59" t="s">
        <v>157</v>
      </c>
      <c r="AD566" s="59" t="s">
        <v>157</v>
      </c>
      <c r="AE566" s="59"/>
      <c r="AF566" s="59"/>
      <c r="AG566" s="59" t="s">
        <v>1958</v>
      </c>
      <c r="AH566" s="59" t="s">
        <v>155</v>
      </c>
      <c r="AI566" s="59"/>
      <c r="AJ566" s="77" t="s">
        <v>2105</v>
      </c>
      <c r="AK566" s="62" t="s">
        <v>156</v>
      </c>
      <c r="AL566" s="59" t="s">
        <v>366</v>
      </c>
      <c r="AM566" s="74" t="s">
        <v>1838</v>
      </c>
      <c r="AN566" s="78" t="s">
        <v>2106</v>
      </c>
      <c r="AO566" s="59" t="s">
        <v>164</v>
      </c>
      <c r="AP566" s="66" t="s">
        <v>2107</v>
      </c>
      <c r="AQ566" s="67" t="s">
        <v>313</v>
      </c>
      <c r="AR566" s="38"/>
      <c r="AT566" s="40"/>
      <c r="AU566" s="40"/>
      <c r="AV566" s="54">
        <v>7580201</v>
      </c>
      <c r="AW566" s="53">
        <v>308</v>
      </c>
      <c r="AY566" s="40"/>
      <c r="AZ566" s="40"/>
      <c r="BI566" s="36"/>
      <c r="BJ566" s="36"/>
      <c r="BK566" s="37"/>
      <c r="BN566" s="16"/>
      <c r="BO566" s="16"/>
    </row>
    <row r="567" spans="1:67" s="67" customFormat="1" ht="15.95" customHeight="1" x14ac:dyDescent="0.25">
      <c r="A567" s="16"/>
      <c r="B567" s="68">
        <f>SUBTOTAL(103,$K$557:K567)</f>
        <v>11</v>
      </c>
      <c r="C567" s="282">
        <v>11</v>
      </c>
      <c r="D567" s="53" t="s">
        <v>158</v>
      </c>
      <c r="E567" s="68" t="s">
        <v>19</v>
      </c>
      <c r="F567" s="53" t="s">
        <v>639</v>
      </c>
      <c r="G567" s="68" t="s">
        <v>5004</v>
      </c>
      <c r="H567" s="53" t="s">
        <v>5003</v>
      </c>
      <c r="I567" s="58" t="s">
        <v>1383</v>
      </c>
      <c r="J567" s="58" t="s">
        <v>826</v>
      </c>
      <c r="K567" s="103" t="s">
        <v>4413</v>
      </c>
      <c r="L567" s="53" t="s">
        <v>149</v>
      </c>
      <c r="M567" s="53">
        <v>0</v>
      </c>
      <c r="N567" s="68" t="s">
        <v>150</v>
      </c>
      <c r="O567" s="73" t="s">
        <v>5041</v>
      </c>
      <c r="P567" s="59" t="s">
        <v>3897</v>
      </c>
      <c r="Q567" s="58"/>
      <c r="R567" s="53">
        <v>2017</v>
      </c>
      <c r="S567" s="68"/>
      <c r="T567" s="53"/>
      <c r="U567" s="53"/>
      <c r="V567" s="53" t="s">
        <v>262</v>
      </c>
      <c r="W567" s="59" t="s">
        <v>248</v>
      </c>
      <c r="X567" s="57" t="s">
        <v>4413</v>
      </c>
      <c r="Y567" s="59" t="s">
        <v>694</v>
      </c>
      <c r="Z567" s="53" t="s">
        <v>2108</v>
      </c>
      <c r="AA567" s="58"/>
      <c r="AB567" s="76" t="s">
        <v>156</v>
      </c>
      <c r="AC567" s="53" t="s">
        <v>157</v>
      </c>
      <c r="AD567" s="53" t="s">
        <v>157</v>
      </c>
      <c r="AE567" s="58"/>
      <c r="AF567" s="148"/>
      <c r="AG567" s="59" t="s">
        <v>2109</v>
      </c>
      <c r="AH567" s="53"/>
      <c r="AI567" s="58"/>
      <c r="AJ567" s="61" t="s">
        <v>2110</v>
      </c>
      <c r="AK567" s="62" t="s">
        <v>156</v>
      </c>
      <c r="AL567" s="58" t="s">
        <v>436</v>
      </c>
      <c r="AM567" s="64" t="s">
        <v>2111</v>
      </c>
      <c r="AN567" s="65" t="s">
        <v>2112</v>
      </c>
      <c r="AO567" s="53" t="s">
        <v>164</v>
      </c>
      <c r="AP567" s="66"/>
      <c r="AQ567" s="67" t="s">
        <v>900</v>
      </c>
      <c r="AR567" s="38"/>
      <c r="AT567" s="40"/>
      <c r="AU567" s="40"/>
      <c r="AV567" s="54">
        <v>7580201</v>
      </c>
      <c r="AW567" s="53">
        <v>309</v>
      </c>
      <c r="AY567" s="40"/>
      <c r="AZ567" s="40"/>
      <c r="BI567" s="36"/>
      <c r="BJ567" s="36"/>
      <c r="BK567" s="37"/>
      <c r="BN567" s="16"/>
      <c r="BO567" s="16"/>
    </row>
    <row r="568" spans="1:67" s="67" customFormat="1" ht="15.95" customHeight="1" x14ac:dyDescent="0.25">
      <c r="A568" s="16"/>
      <c r="B568" s="55"/>
      <c r="C568" s="59"/>
      <c r="D568" s="53"/>
      <c r="E568" s="68"/>
      <c r="F568" s="49"/>
      <c r="G568" s="49"/>
      <c r="H568" s="49"/>
      <c r="I568" s="56" t="s">
        <v>290</v>
      </c>
      <c r="J568" s="49"/>
      <c r="K568" s="234"/>
      <c r="L568" s="68"/>
      <c r="M568" s="68"/>
      <c r="N568" s="59"/>
      <c r="O568" s="73"/>
      <c r="P568" s="59"/>
      <c r="Q568" s="82"/>
      <c r="R568" s="53"/>
      <c r="S568" s="53"/>
      <c r="T568" s="68"/>
      <c r="U568" s="68"/>
      <c r="V568" s="53"/>
      <c r="W568" s="53"/>
      <c r="X568" s="81"/>
      <c r="Y568" s="53"/>
      <c r="Z568" s="53"/>
      <c r="AA568" s="58"/>
      <c r="AB568" s="76"/>
      <c r="AC568" s="59"/>
      <c r="AD568" s="59"/>
      <c r="AE568" s="53"/>
      <c r="AF568" s="148"/>
      <c r="AG568" s="58"/>
      <c r="AH568" s="59"/>
      <c r="AI568" s="58"/>
      <c r="AJ568" s="61"/>
      <c r="AK568" s="62"/>
      <c r="AL568" s="59"/>
      <c r="AM568" s="64"/>
      <c r="AN568" s="65"/>
      <c r="AO568" s="72"/>
      <c r="AP568" s="66"/>
      <c r="AR568" s="38"/>
      <c r="AT568" s="40"/>
      <c r="AU568" s="40"/>
      <c r="AV568" s="54">
        <v>7620106</v>
      </c>
      <c r="AW568" s="53">
        <v>21</v>
      </c>
      <c r="AY568" s="40"/>
      <c r="AZ568" s="40"/>
      <c r="BI568" s="36"/>
      <c r="BJ568" s="36"/>
      <c r="BK568" s="37"/>
      <c r="BN568" s="16"/>
      <c r="BO568" s="16"/>
    </row>
    <row r="569" spans="1:67" s="67" customFormat="1" ht="15.95" customHeight="1" x14ac:dyDescent="0.25">
      <c r="A569" s="16"/>
      <c r="B569" s="68">
        <f>SUBTOTAL(103,$K$569:K569)</f>
        <v>1</v>
      </c>
      <c r="C569" s="59" t="s">
        <v>146</v>
      </c>
      <c r="D569" s="53" t="s">
        <v>158</v>
      </c>
      <c r="E569" s="68" t="s">
        <v>155</v>
      </c>
      <c r="F569" s="53" t="s">
        <v>105</v>
      </c>
      <c r="G569" s="53" t="s">
        <v>5021</v>
      </c>
      <c r="H569" s="53" t="s">
        <v>5005</v>
      </c>
      <c r="I569" s="58" t="s">
        <v>182</v>
      </c>
      <c r="J569" s="58" t="s">
        <v>291</v>
      </c>
      <c r="K569" s="103" t="s">
        <v>4414</v>
      </c>
      <c r="L569" s="53" t="s">
        <v>170</v>
      </c>
      <c r="M569" s="68">
        <v>1</v>
      </c>
      <c r="N569" s="68" t="s">
        <v>150</v>
      </c>
      <c r="O569" s="58" t="s">
        <v>5042</v>
      </c>
      <c r="P569" s="53" t="s">
        <v>3898</v>
      </c>
      <c r="Q569" s="58" t="s">
        <v>292</v>
      </c>
      <c r="R569" s="53">
        <v>2019</v>
      </c>
      <c r="S569" s="68" t="s">
        <v>248</v>
      </c>
      <c r="T569" s="53"/>
      <c r="U569" s="53" t="s">
        <v>293</v>
      </c>
      <c r="V569" s="53"/>
      <c r="W569" s="53"/>
      <c r="X569" s="57" t="s">
        <v>4414</v>
      </c>
      <c r="Y569" s="59"/>
      <c r="Z569" s="53"/>
      <c r="AA569" s="58"/>
      <c r="AB569" s="76" t="s">
        <v>294</v>
      </c>
      <c r="AC569" s="53"/>
      <c r="AD569" s="53"/>
      <c r="AE569" s="58"/>
      <c r="AF569" s="148"/>
      <c r="AG569" s="59" t="s">
        <v>295</v>
      </c>
      <c r="AH569" s="53" t="s">
        <v>155</v>
      </c>
      <c r="AI569" s="58"/>
      <c r="AJ569" s="61" t="s">
        <v>296</v>
      </c>
      <c r="AK569" s="62" t="s">
        <v>156</v>
      </c>
      <c r="AL569" s="58" t="s">
        <v>297</v>
      </c>
      <c r="AM569" s="64" t="s">
        <v>298</v>
      </c>
      <c r="AN569" s="65" t="s">
        <v>299</v>
      </c>
      <c r="AO569" s="53" t="s">
        <v>300</v>
      </c>
      <c r="AP569" s="66" t="s">
        <v>301</v>
      </c>
      <c r="AQ569" s="67" t="s">
        <v>302</v>
      </c>
      <c r="AR569" s="38"/>
      <c r="AT569" s="40"/>
      <c r="AU569" s="40"/>
      <c r="AV569" s="54">
        <v>7620106</v>
      </c>
      <c r="AW569" s="53">
        <v>22</v>
      </c>
      <c r="AY569" s="40"/>
      <c r="AZ569" s="40"/>
      <c r="BI569" s="36"/>
      <c r="BJ569" s="36"/>
      <c r="BK569" s="37"/>
      <c r="BN569" s="16"/>
      <c r="BO569" s="16"/>
    </row>
    <row r="570" spans="1:67" s="67" customFormat="1" ht="15.95" customHeight="1" x14ac:dyDescent="0.25">
      <c r="A570" s="16"/>
      <c r="B570" s="68">
        <f>SUBTOTAL(103,$K$569:K570)</f>
        <v>2</v>
      </c>
      <c r="C570" s="59" t="s">
        <v>167</v>
      </c>
      <c r="D570" s="53" t="s">
        <v>158</v>
      </c>
      <c r="E570" s="68" t="s">
        <v>155</v>
      </c>
      <c r="F570" s="59" t="s">
        <v>105</v>
      </c>
      <c r="G570" s="53" t="s">
        <v>5021</v>
      </c>
      <c r="H570" s="53" t="s">
        <v>5006</v>
      </c>
      <c r="I570" s="73" t="s">
        <v>303</v>
      </c>
      <c r="J570" s="74" t="s">
        <v>304</v>
      </c>
      <c r="K570" s="75" t="s">
        <v>4415</v>
      </c>
      <c r="L570" s="59" t="s">
        <v>149</v>
      </c>
      <c r="M570" s="53">
        <v>0</v>
      </c>
      <c r="N570" s="59" t="s">
        <v>150</v>
      </c>
      <c r="O570" s="58" t="s">
        <v>5042</v>
      </c>
      <c r="P570" s="53" t="s">
        <v>3898</v>
      </c>
      <c r="Q570" s="73" t="s">
        <v>305</v>
      </c>
      <c r="R570" s="59" t="s">
        <v>306</v>
      </c>
      <c r="S570" s="59" t="s">
        <v>248</v>
      </c>
      <c r="T570" s="59" t="s">
        <v>283</v>
      </c>
      <c r="U570" s="59"/>
      <c r="V570" s="59"/>
      <c r="W570" s="59"/>
      <c r="X570" s="75" t="s">
        <v>4415</v>
      </c>
      <c r="Y570" s="59"/>
      <c r="Z570" s="59"/>
      <c r="AA570" s="58"/>
      <c r="AB570" s="76" t="s">
        <v>156</v>
      </c>
      <c r="AC570" s="59"/>
      <c r="AD570" s="59"/>
      <c r="AE570" s="59"/>
      <c r="AF570" s="59"/>
      <c r="AG570" s="74" t="s">
        <v>307</v>
      </c>
      <c r="AH570" s="59" t="s">
        <v>155</v>
      </c>
      <c r="AI570" s="59"/>
      <c r="AJ570" s="77" t="s">
        <v>308</v>
      </c>
      <c r="AK570" s="62" t="s">
        <v>156</v>
      </c>
      <c r="AL570" s="59" t="s">
        <v>309</v>
      </c>
      <c r="AM570" s="74" t="s">
        <v>310</v>
      </c>
      <c r="AN570" s="78" t="s">
        <v>311</v>
      </c>
      <c r="AO570" s="59" t="s">
        <v>164</v>
      </c>
      <c r="AP570" s="66" t="s">
        <v>312</v>
      </c>
      <c r="AQ570" s="67" t="s">
        <v>313</v>
      </c>
      <c r="AR570" s="38"/>
      <c r="AT570" s="40"/>
      <c r="AU570" s="40"/>
      <c r="AV570" s="54">
        <v>7620106</v>
      </c>
      <c r="AW570" s="53">
        <v>23</v>
      </c>
      <c r="AY570" s="40"/>
      <c r="AZ570" s="40"/>
      <c r="BI570" s="36"/>
      <c r="BJ570" s="36"/>
      <c r="BK570" s="37"/>
      <c r="BN570" s="16"/>
      <c r="BO570" s="16"/>
    </row>
    <row r="571" spans="1:67" s="67" customFormat="1" ht="15.95" customHeight="1" x14ac:dyDescent="0.25">
      <c r="A571" s="16"/>
      <c r="B571" s="68">
        <f>SUBTOTAL(103,$K$569:K571)</f>
        <v>3</v>
      </c>
      <c r="C571" s="59" t="s">
        <v>181</v>
      </c>
      <c r="D571" s="53" t="s">
        <v>158</v>
      </c>
      <c r="E571" s="68" t="s">
        <v>155</v>
      </c>
      <c r="F571" s="59" t="s">
        <v>105</v>
      </c>
      <c r="G571" s="53" t="s">
        <v>5021</v>
      </c>
      <c r="H571" s="53" t="s">
        <v>5007</v>
      </c>
      <c r="I571" s="73" t="s">
        <v>314</v>
      </c>
      <c r="J571" s="74" t="s">
        <v>269</v>
      </c>
      <c r="K571" s="75" t="s">
        <v>4416</v>
      </c>
      <c r="L571" s="59" t="s">
        <v>170</v>
      </c>
      <c r="M571" s="68">
        <v>1</v>
      </c>
      <c r="N571" s="59" t="s">
        <v>150</v>
      </c>
      <c r="O571" s="58" t="s">
        <v>5042</v>
      </c>
      <c r="P571" s="53" t="s">
        <v>3898</v>
      </c>
      <c r="Q571" s="73" t="s">
        <v>315</v>
      </c>
      <c r="R571" s="59" t="s">
        <v>316</v>
      </c>
      <c r="S571" s="59" t="s">
        <v>153</v>
      </c>
      <c r="T571" s="59" t="s">
        <v>317</v>
      </c>
      <c r="U571" s="59"/>
      <c r="V571" s="59"/>
      <c r="W571" s="59"/>
      <c r="X571" s="75" t="s">
        <v>4416</v>
      </c>
      <c r="Y571" s="59"/>
      <c r="Z571" s="59"/>
      <c r="AA571" s="58"/>
      <c r="AB571" s="76" t="s">
        <v>156</v>
      </c>
      <c r="AC571" s="59"/>
      <c r="AD571" s="59"/>
      <c r="AE571" s="59"/>
      <c r="AF571" s="59"/>
      <c r="AG571" s="74" t="s">
        <v>318</v>
      </c>
      <c r="AH571" s="59" t="s">
        <v>155</v>
      </c>
      <c r="AI571" s="59"/>
      <c r="AJ571" s="77" t="s">
        <v>319</v>
      </c>
      <c r="AK571" s="62" t="s">
        <v>156</v>
      </c>
      <c r="AL571" s="59" t="s">
        <v>189</v>
      </c>
      <c r="AM571" s="74" t="s">
        <v>320</v>
      </c>
      <c r="AN571" s="78" t="s">
        <v>311</v>
      </c>
      <c r="AO571" s="59" t="s">
        <v>164</v>
      </c>
      <c r="AP571" s="66" t="s">
        <v>312</v>
      </c>
      <c r="AQ571" s="67" t="s">
        <v>313</v>
      </c>
      <c r="AR571" s="38"/>
      <c r="AT571" s="40"/>
      <c r="AU571" s="40"/>
      <c r="AV571" s="54">
        <v>7620106</v>
      </c>
      <c r="AW571" s="53">
        <v>24</v>
      </c>
      <c r="AY571" s="40"/>
      <c r="AZ571" s="40"/>
      <c r="BI571" s="36"/>
      <c r="BJ571" s="36"/>
      <c r="BK571" s="37"/>
      <c r="BN571" s="16"/>
      <c r="BO571" s="16"/>
    </row>
    <row r="572" spans="1:67" s="67" customFormat="1" ht="15.95" customHeight="1" x14ac:dyDescent="0.25">
      <c r="A572" s="16"/>
      <c r="B572" s="68">
        <f>SUBTOTAL(103,$K$569:K572)</f>
        <v>4</v>
      </c>
      <c r="C572" s="59" t="s">
        <v>194</v>
      </c>
      <c r="D572" s="53" t="s">
        <v>158</v>
      </c>
      <c r="E572" s="68" t="s">
        <v>155</v>
      </c>
      <c r="F572" s="53" t="s">
        <v>106</v>
      </c>
      <c r="G572" s="53" t="s">
        <v>5021</v>
      </c>
      <c r="H572" s="53" t="s">
        <v>5008</v>
      </c>
      <c r="I572" s="58" t="s">
        <v>182</v>
      </c>
      <c r="J572" s="58" t="s">
        <v>321</v>
      </c>
      <c r="K572" s="103" t="s">
        <v>4417</v>
      </c>
      <c r="L572" s="53" t="s">
        <v>170</v>
      </c>
      <c r="M572" s="68">
        <v>1</v>
      </c>
      <c r="N572" s="68" t="s">
        <v>150</v>
      </c>
      <c r="O572" s="58" t="s">
        <v>5042</v>
      </c>
      <c r="P572" s="53" t="s">
        <v>3898</v>
      </c>
      <c r="Q572" s="58" t="s">
        <v>83</v>
      </c>
      <c r="R572" s="53">
        <v>2024</v>
      </c>
      <c r="S572" s="68" t="s">
        <v>248</v>
      </c>
      <c r="T572" s="53"/>
      <c r="U572" s="53"/>
      <c r="V572" s="53" t="s">
        <v>154</v>
      </c>
      <c r="W572" s="59" t="s">
        <v>153</v>
      </c>
      <c r="X572" s="57" t="s">
        <v>4417</v>
      </c>
      <c r="Y572" s="59"/>
      <c r="Z572" s="53"/>
      <c r="AA572" s="58"/>
      <c r="AB572" s="76" t="s">
        <v>322</v>
      </c>
      <c r="AC572" s="53" t="s">
        <v>157</v>
      </c>
      <c r="AD572" s="53" t="s">
        <v>157</v>
      </c>
      <c r="AE572" s="58"/>
      <c r="AF572" s="148"/>
      <c r="AG572" s="59" t="s">
        <v>295</v>
      </c>
      <c r="AH572" s="53" t="s">
        <v>155</v>
      </c>
      <c r="AI572" s="58"/>
      <c r="AJ572" s="61" t="s">
        <v>323</v>
      </c>
      <c r="AK572" s="62" t="s">
        <v>156</v>
      </c>
      <c r="AL572" s="59" t="s">
        <v>229</v>
      </c>
      <c r="AM572" s="64" t="s">
        <v>324</v>
      </c>
      <c r="AN572" s="65" t="s">
        <v>311</v>
      </c>
      <c r="AO572" s="53" t="s">
        <v>164</v>
      </c>
      <c r="AP572" s="66"/>
      <c r="AQ572" s="67" t="s">
        <v>325</v>
      </c>
      <c r="AR572" s="38"/>
      <c r="AT572" s="40"/>
      <c r="AU572" s="40"/>
      <c r="AV572" s="54">
        <v>7620106</v>
      </c>
      <c r="AW572" s="53">
        <v>25</v>
      </c>
      <c r="AY572" s="40"/>
      <c r="AZ572" s="40"/>
      <c r="BI572" s="36"/>
      <c r="BJ572" s="36"/>
      <c r="BK572" s="37"/>
      <c r="BN572" s="16"/>
      <c r="BO572" s="16"/>
    </row>
    <row r="573" spans="1:67" s="67" customFormat="1" ht="15.95" customHeight="1" x14ac:dyDescent="0.25">
      <c r="A573" s="16"/>
      <c r="B573" s="68">
        <f>SUBTOTAL(103,$K$569:K573)</f>
        <v>5</v>
      </c>
      <c r="C573" s="59" t="s">
        <v>203</v>
      </c>
      <c r="D573" s="53" t="s">
        <v>158</v>
      </c>
      <c r="E573" s="68" t="s">
        <v>155</v>
      </c>
      <c r="F573" s="53" t="s">
        <v>106</v>
      </c>
      <c r="G573" s="53" t="s">
        <v>5021</v>
      </c>
      <c r="H573" s="53" t="s">
        <v>5009</v>
      </c>
      <c r="I573" s="58" t="s">
        <v>182</v>
      </c>
      <c r="J573" s="58" t="s">
        <v>326</v>
      </c>
      <c r="K573" s="103" t="s">
        <v>4418</v>
      </c>
      <c r="L573" s="53" t="s">
        <v>170</v>
      </c>
      <c r="M573" s="68">
        <v>1</v>
      </c>
      <c r="N573" s="53" t="s">
        <v>150</v>
      </c>
      <c r="O573" s="58" t="s">
        <v>5042</v>
      </c>
      <c r="P573" s="53" t="s">
        <v>3898</v>
      </c>
      <c r="Q573" s="58" t="s">
        <v>83</v>
      </c>
      <c r="R573" s="53">
        <v>2024</v>
      </c>
      <c r="S573" s="53" t="s">
        <v>153</v>
      </c>
      <c r="T573" s="53" t="s">
        <v>327</v>
      </c>
      <c r="U573" s="53"/>
      <c r="V573" s="53" t="s">
        <v>328</v>
      </c>
      <c r="W573" s="53" t="s">
        <v>236</v>
      </c>
      <c r="X573" s="57" t="s">
        <v>4418</v>
      </c>
      <c r="Y573" s="53"/>
      <c r="Z573" s="53"/>
      <c r="AA573" s="58"/>
      <c r="AB573" s="76" t="s">
        <v>156</v>
      </c>
      <c r="AC573" s="58"/>
      <c r="AD573" s="58" t="s">
        <v>157</v>
      </c>
      <c r="AE573" s="58" t="s">
        <v>157</v>
      </c>
      <c r="AF573" s="58"/>
      <c r="AG573" s="58" t="s">
        <v>228</v>
      </c>
      <c r="AH573" s="53" t="s">
        <v>155</v>
      </c>
      <c r="AI573" s="58"/>
      <c r="AJ573" s="61" t="s">
        <v>329</v>
      </c>
      <c r="AK573" s="62" t="s">
        <v>156</v>
      </c>
      <c r="AL573" s="59" t="s">
        <v>330</v>
      </c>
      <c r="AM573" s="74" t="s">
        <v>331</v>
      </c>
      <c r="AN573" s="106" t="s">
        <v>332</v>
      </c>
      <c r="AO573" s="53" t="s">
        <v>164</v>
      </c>
      <c r="AP573" s="66" t="s">
        <v>333</v>
      </c>
      <c r="AQ573" s="67" t="s">
        <v>334</v>
      </c>
      <c r="AR573" s="38"/>
      <c r="AT573" s="40"/>
      <c r="AU573" s="40"/>
      <c r="AV573" s="54">
        <v>7620106</v>
      </c>
      <c r="AW573" s="53">
        <v>26</v>
      </c>
      <c r="AY573" s="40"/>
      <c r="AZ573" s="40"/>
      <c r="BI573" s="36"/>
      <c r="BJ573" s="36"/>
      <c r="BK573" s="37"/>
      <c r="BN573" s="16"/>
      <c r="BO573" s="16"/>
    </row>
    <row r="574" spans="1:67" s="67" customFormat="1" ht="15.95" customHeight="1" x14ac:dyDescent="0.25">
      <c r="A574" s="16"/>
      <c r="B574" s="68">
        <f>SUBTOTAL(103,$K$569:K574)</f>
        <v>6</v>
      </c>
      <c r="C574" s="59" t="s">
        <v>212</v>
      </c>
      <c r="D574" s="53" t="s">
        <v>158</v>
      </c>
      <c r="E574" s="68" t="s">
        <v>155</v>
      </c>
      <c r="F574" s="59" t="s">
        <v>106</v>
      </c>
      <c r="G574" s="53" t="s">
        <v>5021</v>
      </c>
      <c r="H574" s="53" t="s">
        <v>5010</v>
      </c>
      <c r="I574" s="73" t="s">
        <v>335</v>
      </c>
      <c r="J574" s="74" t="s">
        <v>336</v>
      </c>
      <c r="K574" s="75" t="s">
        <v>4419</v>
      </c>
      <c r="L574" s="59" t="s">
        <v>149</v>
      </c>
      <c r="M574" s="53">
        <v>0</v>
      </c>
      <c r="N574" s="59" t="s">
        <v>150</v>
      </c>
      <c r="O574" s="58" t="s">
        <v>5042</v>
      </c>
      <c r="P574" s="53" t="s">
        <v>3898</v>
      </c>
      <c r="Q574" s="73" t="s">
        <v>82</v>
      </c>
      <c r="R574" s="59" t="s">
        <v>316</v>
      </c>
      <c r="S574" s="59" t="s">
        <v>337</v>
      </c>
      <c r="T574" s="59" t="s">
        <v>338</v>
      </c>
      <c r="U574" s="59"/>
      <c r="V574" s="59"/>
      <c r="W574" s="59"/>
      <c r="X574" s="75" t="s">
        <v>4419</v>
      </c>
      <c r="Y574" s="59"/>
      <c r="Z574" s="59"/>
      <c r="AA574" s="58"/>
      <c r="AB574" s="76" t="s">
        <v>156</v>
      </c>
      <c r="AC574" s="59"/>
      <c r="AD574" s="59"/>
      <c r="AE574" s="59"/>
      <c r="AF574" s="59"/>
      <c r="AG574" s="74" t="s">
        <v>228</v>
      </c>
      <c r="AH574" s="59" t="s">
        <v>155</v>
      </c>
      <c r="AI574" s="59"/>
      <c r="AJ574" s="77" t="s">
        <v>339</v>
      </c>
      <c r="AK574" s="62" t="s">
        <v>156</v>
      </c>
      <c r="AL574" s="59" t="s">
        <v>340</v>
      </c>
      <c r="AM574" s="74" t="s">
        <v>341</v>
      </c>
      <c r="AN574" s="78" t="s">
        <v>311</v>
      </c>
      <c r="AO574" s="59" t="s">
        <v>164</v>
      </c>
      <c r="AP574" s="66" t="s">
        <v>312</v>
      </c>
      <c r="AQ574" s="67" t="s">
        <v>313</v>
      </c>
      <c r="AR574" s="38"/>
      <c r="AT574" s="40"/>
      <c r="AU574" s="40"/>
      <c r="AV574" s="54">
        <v>7620106</v>
      </c>
      <c r="AW574" s="53">
        <v>27</v>
      </c>
      <c r="AY574" s="40"/>
      <c r="AZ574" s="40"/>
      <c r="BI574" s="36"/>
      <c r="BJ574" s="36"/>
      <c r="BK574" s="37"/>
      <c r="BN574" s="16"/>
      <c r="BO574" s="16"/>
    </row>
    <row r="575" spans="1:67" s="67" customFormat="1" ht="15.95" customHeight="1" x14ac:dyDescent="0.25">
      <c r="A575" s="16"/>
      <c r="B575" s="68">
        <f>SUBTOTAL(103,$K$569:K575)</f>
        <v>7</v>
      </c>
      <c r="C575" s="59" t="s">
        <v>225</v>
      </c>
      <c r="D575" s="53" t="s">
        <v>158</v>
      </c>
      <c r="E575" s="68" t="s">
        <v>155</v>
      </c>
      <c r="F575" s="59" t="s">
        <v>106</v>
      </c>
      <c r="G575" s="53" t="s">
        <v>5021</v>
      </c>
      <c r="H575" s="53" t="s">
        <v>5011</v>
      </c>
      <c r="I575" s="73" t="s">
        <v>314</v>
      </c>
      <c r="J575" s="74" t="s">
        <v>342</v>
      </c>
      <c r="K575" s="75" t="s">
        <v>4018</v>
      </c>
      <c r="L575" s="59" t="s">
        <v>170</v>
      </c>
      <c r="M575" s="68">
        <v>1</v>
      </c>
      <c r="N575" s="59" t="s">
        <v>150</v>
      </c>
      <c r="O575" s="58" t="s">
        <v>5042</v>
      </c>
      <c r="P575" s="53" t="s">
        <v>3898</v>
      </c>
      <c r="Q575" s="73" t="s">
        <v>83</v>
      </c>
      <c r="R575" s="59" t="s">
        <v>343</v>
      </c>
      <c r="S575" s="59" t="s">
        <v>153</v>
      </c>
      <c r="T575" s="59" t="s">
        <v>344</v>
      </c>
      <c r="U575" s="59" t="s">
        <v>345</v>
      </c>
      <c r="V575" s="59"/>
      <c r="W575" s="59"/>
      <c r="X575" s="75" t="s">
        <v>4018</v>
      </c>
      <c r="Y575" s="59"/>
      <c r="Z575" s="59"/>
      <c r="AA575" s="58"/>
      <c r="AB575" s="76" t="s">
        <v>156</v>
      </c>
      <c r="AC575" s="59"/>
      <c r="AD575" s="59"/>
      <c r="AE575" s="59"/>
      <c r="AF575" s="59"/>
      <c r="AG575" s="74" t="s">
        <v>228</v>
      </c>
      <c r="AH575" s="59" t="s">
        <v>155</v>
      </c>
      <c r="AI575" s="59"/>
      <c r="AJ575" s="77" t="s">
        <v>346</v>
      </c>
      <c r="AK575" s="68" t="s">
        <v>156</v>
      </c>
      <c r="AL575" s="59" t="s">
        <v>347</v>
      </c>
      <c r="AM575" s="74" t="s">
        <v>348</v>
      </c>
      <c r="AN575" s="78" t="s">
        <v>349</v>
      </c>
      <c r="AO575" s="71" t="s">
        <v>164</v>
      </c>
      <c r="AP575" s="64" t="s">
        <v>350</v>
      </c>
      <c r="AQ575" s="58" t="s">
        <v>313</v>
      </c>
      <c r="AR575" s="38"/>
      <c r="AT575" s="40"/>
      <c r="AU575" s="40"/>
      <c r="AV575" s="54">
        <v>7620106</v>
      </c>
      <c r="AW575" s="53">
        <v>28</v>
      </c>
      <c r="AY575" s="40"/>
      <c r="AZ575" s="40"/>
      <c r="BI575" s="36"/>
      <c r="BJ575" s="36"/>
      <c r="BK575" s="37"/>
      <c r="BN575" s="16"/>
      <c r="BO575" s="16"/>
    </row>
    <row r="576" spans="1:67" s="67" customFormat="1" ht="15.95" customHeight="1" x14ac:dyDescent="0.25">
      <c r="A576" s="16"/>
      <c r="B576" s="68">
        <f>SUBTOTAL(103,$K$569:K576)</f>
        <v>8</v>
      </c>
      <c r="C576" s="59" t="s">
        <v>233</v>
      </c>
      <c r="D576" s="53" t="s">
        <v>158</v>
      </c>
      <c r="E576" s="53" t="s">
        <v>155</v>
      </c>
      <c r="F576" s="53" t="s">
        <v>106</v>
      </c>
      <c r="G576" s="53" t="s">
        <v>5021</v>
      </c>
      <c r="H576" s="53" t="s">
        <v>5012</v>
      </c>
      <c r="I576" s="58" t="s">
        <v>351</v>
      </c>
      <c r="J576" s="58" t="s">
        <v>352</v>
      </c>
      <c r="K576" s="103" t="s">
        <v>4420</v>
      </c>
      <c r="L576" s="53" t="s">
        <v>149</v>
      </c>
      <c r="M576" s="53">
        <v>0</v>
      </c>
      <c r="N576" s="53" t="s">
        <v>150</v>
      </c>
      <c r="O576" s="58" t="s">
        <v>5042</v>
      </c>
      <c r="P576" s="53" t="s">
        <v>3898</v>
      </c>
      <c r="Q576" s="64" t="s">
        <v>353</v>
      </c>
      <c r="R576" s="53">
        <v>2010</v>
      </c>
      <c r="S576" s="53" t="s">
        <v>337</v>
      </c>
      <c r="T576" s="53" t="s">
        <v>354</v>
      </c>
      <c r="U576" s="53"/>
      <c r="V576" s="53"/>
      <c r="W576" s="53"/>
      <c r="X576" s="57" t="s">
        <v>4420</v>
      </c>
      <c r="Y576" s="53"/>
      <c r="Z576" s="53"/>
      <c r="AA576" s="58"/>
      <c r="AB576" s="154" t="s">
        <v>156</v>
      </c>
      <c r="AC576" s="58"/>
      <c r="AD576" s="58"/>
      <c r="AE576" s="58"/>
      <c r="AF576" s="58"/>
      <c r="AG576" s="287" t="s">
        <v>355</v>
      </c>
      <c r="AH576" s="152" t="s">
        <v>155</v>
      </c>
      <c r="AI576" s="58"/>
      <c r="AJ576" s="61" t="s">
        <v>356</v>
      </c>
      <c r="AK576" s="62" t="s">
        <v>156</v>
      </c>
      <c r="AL576" s="58" t="s">
        <v>357</v>
      </c>
      <c r="AM576" s="64" t="s">
        <v>358</v>
      </c>
      <c r="AN576" s="65" t="s">
        <v>359</v>
      </c>
      <c r="AO576" s="53" t="s">
        <v>164</v>
      </c>
      <c r="AP576" s="66" t="s">
        <v>223</v>
      </c>
      <c r="AQ576" s="66" t="s">
        <v>360</v>
      </c>
      <c r="AR576" s="88"/>
      <c r="AU576" s="40"/>
      <c r="AV576" s="54">
        <v>7620106</v>
      </c>
      <c r="AW576" s="53">
        <v>29</v>
      </c>
      <c r="BJ576" s="40"/>
      <c r="BK576" s="40"/>
      <c r="BN576" s="16"/>
      <c r="BO576" s="16"/>
    </row>
    <row r="577" spans="1:67" s="67" customFormat="1" ht="15.95" customHeight="1" x14ac:dyDescent="0.25">
      <c r="A577" s="16"/>
      <c r="B577" s="68">
        <f>SUBTOTAL(103,$K$569:K577)</f>
        <v>9</v>
      </c>
      <c r="C577" s="59" t="s">
        <v>244</v>
      </c>
      <c r="D577" s="53" t="s">
        <v>158</v>
      </c>
      <c r="E577" s="53" t="s">
        <v>155</v>
      </c>
      <c r="F577" s="53" t="s">
        <v>106</v>
      </c>
      <c r="G577" s="53" t="s">
        <v>5021</v>
      </c>
      <c r="H577" s="53" t="s">
        <v>5013</v>
      </c>
      <c r="I577" s="58" t="s">
        <v>361</v>
      </c>
      <c r="J577" s="58" t="s">
        <v>259</v>
      </c>
      <c r="K577" s="103" t="s">
        <v>4421</v>
      </c>
      <c r="L577" s="53" t="s">
        <v>149</v>
      </c>
      <c r="M577" s="53">
        <v>0</v>
      </c>
      <c r="N577" s="53" t="s">
        <v>150</v>
      </c>
      <c r="O577" s="58" t="s">
        <v>5042</v>
      </c>
      <c r="P577" s="53" t="s">
        <v>3898</v>
      </c>
      <c r="Q577" s="58" t="s">
        <v>54</v>
      </c>
      <c r="R577" s="53">
        <v>2011</v>
      </c>
      <c r="S577" s="68" t="s">
        <v>337</v>
      </c>
      <c r="T577" s="53" t="s">
        <v>362</v>
      </c>
      <c r="U577" s="53"/>
      <c r="V577" s="53"/>
      <c r="W577" s="53"/>
      <c r="X577" s="57" t="s">
        <v>4421</v>
      </c>
      <c r="Y577" s="59"/>
      <c r="Z577" s="53"/>
      <c r="AA577" s="58"/>
      <c r="AB577" s="76" t="s">
        <v>156</v>
      </c>
      <c r="AC577" s="58" t="s">
        <v>157</v>
      </c>
      <c r="AD577" s="58"/>
      <c r="AE577" s="58"/>
      <c r="AF577" s="148"/>
      <c r="AG577" s="59" t="s">
        <v>363</v>
      </c>
      <c r="AH577" s="53" t="s">
        <v>155</v>
      </c>
      <c r="AI577" s="64" t="s">
        <v>364</v>
      </c>
      <c r="AJ577" s="61" t="s">
        <v>365</v>
      </c>
      <c r="AK577" s="62" t="s">
        <v>156</v>
      </c>
      <c r="AL577" s="58" t="s">
        <v>366</v>
      </c>
      <c r="AM577" s="64" t="s">
        <v>367</v>
      </c>
      <c r="AN577" s="65" t="s">
        <v>311</v>
      </c>
      <c r="AO577" s="53">
        <v>200</v>
      </c>
      <c r="AP577" s="67" t="s">
        <v>132</v>
      </c>
      <c r="AQ577" s="80" t="s">
        <v>368</v>
      </c>
      <c r="AR577" s="38"/>
      <c r="AT577" s="40"/>
      <c r="AU577" s="40"/>
      <c r="AV577" s="54">
        <v>7620106</v>
      </c>
      <c r="AW577" s="53">
        <v>30</v>
      </c>
      <c r="AY577" s="40"/>
      <c r="AZ577" s="40"/>
      <c r="BI577" s="36"/>
      <c r="BJ577" s="36"/>
      <c r="BK577" s="37"/>
      <c r="BN577" s="16"/>
      <c r="BO577" s="16"/>
    </row>
    <row r="578" spans="1:67" s="67" customFormat="1" ht="15.95" customHeight="1" x14ac:dyDescent="0.25">
      <c r="A578" s="16"/>
      <c r="B578" s="68">
        <f>SUBTOTAL(103,$K$569:K578)</f>
        <v>10</v>
      </c>
      <c r="C578" s="59" t="s">
        <v>257</v>
      </c>
      <c r="D578" s="53" t="s">
        <v>158</v>
      </c>
      <c r="E578" s="68" t="s">
        <v>155</v>
      </c>
      <c r="F578" s="59" t="s">
        <v>106</v>
      </c>
      <c r="G578" s="53" t="s">
        <v>5021</v>
      </c>
      <c r="H578" s="53" t="s">
        <v>5014</v>
      </c>
      <c r="I578" s="73" t="s">
        <v>369</v>
      </c>
      <c r="J578" s="74" t="s">
        <v>370</v>
      </c>
      <c r="K578" s="75" t="s">
        <v>4422</v>
      </c>
      <c r="L578" s="59" t="s">
        <v>170</v>
      </c>
      <c r="M578" s="68">
        <v>1</v>
      </c>
      <c r="N578" s="59" t="s">
        <v>150</v>
      </c>
      <c r="O578" s="58" t="s">
        <v>5042</v>
      </c>
      <c r="P578" s="53" t="s">
        <v>3898</v>
      </c>
      <c r="Q578" s="73" t="s">
        <v>84</v>
      </c>
      <c r="R578" s="59" t="s">
        <v>371</v>
      </c>
      <c r="S578" s="59" t="s">
        <v>153</v>
      </c>
      <c r="T578" s="59" t="s">
        <v>372</v>
      </c>
      <c r="U578" s="59" t="s">
        <v>373</v>
      </c>
      <c r="V578" s="59"/>
      <c r="W578" s="59"/>
      <c r="X578" s="75" t="s">
        <v>4422</v>
      </c>
      <c r="Y578" s="59"/>
      <c r="Z578" s="59"/>
      <c r="AA578" s="58"/>
      <c r="AB578" s="76" t="s">
        <v>156</v>
      </c>
      <c r="AC578" s="59"/>
      <c r="AD578" s="59"/>
      <c r="AE578" s="59"/>
      <c r="AF578" s="59"/>
      <c r="AG578" s="74" t="s">
        <v>228</v>
      </c>
      <c r="AH578" s="59" t="s">
        <v>155</v>
      </c>
      <c r="AI578" s="59"/>
      <c r="AJ578" s="77" t="s">
        <v>374</v>
      </c>
      <c r="AK578" s="68" t="s">
        <v>156</v>
      </c>
      <c r="AL578" s="59" t="s">
        <v>347</v>
      </c>
      <c r="AM578" s="74" t="s">
        <v>375</v>
      </c>
      <c r="AN578" s="78" t="s">
        <v>311</v>
      </c>
      <c r="AO578" s="59" t="s">
        <v>164</v>
      </c>
      <c r="AP578" s="66" t="s">
        <v>350</v>
      </c>
      <c r="AQ578" s="58" t="s">
        <v>313</v>
      </c>
      <c r="AR578" s="38"/>
      <c r="AT578" s="40"/>
      <c r="AU578" s="40"/>
      <c r="AV578" s="54">
        <v>7620106</v>
      </c>
      <c r="AW578" s="53">
        <v>31</v>
      </c>
      <c r="AY578" s="40"/>
      <c r="AZ578" s="40"/>
      <c r="BI578" s="36"/>
      <c r="BJ578" s="36"/>
      <c r="BK578" s="37"/>
      <c r="BN578" s="16"/>
      <c r="BO578" s="16"/>
    </row>
    <row r="579" spans="1:67" s="67" customFormat="1" ht="15.95" customHeight="1" x14ac:dyDescent="0.25">
      <c r="A579" s="16"/>
      <c r="B579" s="68">
        <f>SUBTOTAL(103,$K$569:K579)</f>
        <v>11</v>
      </c>
      <c r="C579" s="59" t="s">
        <v>268</v>
      </c>
      <c r="D579" s="53" t="s">
        <v>158</v>
      </c>
      <c r="E579" s="53" t="s">
        <v>155</v>
      </c>
      <c r="F579" s="53" t="s">
        <v>106</v>
      </c>
      <c r="G579" s="53" t="s">
        <v>5021</v>
      </c>
      <c r="H579" s="53" t="s">
        <v>5015</v>
      </c>
      <c r="I579" s="58" t="s">
        <v>376</v>
      </c>
      <c r="J579" s="58" t="s">
        <v>377</v>
      </c>
      <c r="K579" s="103" t="s">
        <v>4423</v>
      </c>
      <c r="L579" s="53" t="s">
        <v>149</v>
      </c>
      <c r="M579" s="53">
        <v>0</v>
      </c>
      <c r="N579" s="53" t="s">
        <v>150</v>
      </c>
      <c r="O579" s="58" t="s">
        <v>5042</v>
      </c>
      <c r="P579" s="53" t="s">
        <v>3898</v>
      </c>
      <c r="Q579" s="58" t="s">
        <v>83</v>
      </c>
      <c r="R579" s="53">
        <v>2024</v>
      </c>
      <c r="S579" s="53" t="s">
        <v>153</v>
      </c>
      <c r="T579" s="53" t="s">
        <v>378</v>
      </c>
      <c r="U579" s="53"/>
      <c r="V579" s="53" t="s">
        <v>239</v>
      </c>
      <c r="W579" s="53" t="s">
        <v>153</v>
      </c>
      <c r="X579" s="57" t="s">
        <v>4423</v>
      </c>
      <c r="Y579" s="59"/>
      <c r="Z579" s="53"/>
      <c r="AA579" s="58"/>
      <c r="AB579" s="76" t="s">
        <v>379</v>
      </c>
      <c r="AC579" s="58"/>
      <c r="AD579" s="58"/>
      <c r="AE579" s="58"/>
      <c r="AF579" s="148"/>
      <c r="AG579" s="58"/>
      <c r="AH579" s="53"/>
      <c r="AI579" s="58"/>
      <c r="AJ579" s="288"/>
      <c r="AK579" s="68"/>
      <c r="AL579" s="59"/>
      <c r="AM579" s="64"/>
      <c r="AN579" s="158"/>
      <c r="AO579" s="53" t="s">
        <v>164</v>
      </c>
      <c r="AP579" s="66" t="s">
        <v>380</v>
      </c>
      <c r="AQ579" s="58" t="s">
        <v>224</v>
      </c>
      <c r="AR579" s="38"/>
      <c r="AT579" s="40"/>
      <c r="AU579" s="40"/>
      <c r="AV579" s="54">
        <v>7620106</v>
      </c>
      <c r="AW579" s="53">
        <v>32</v>
      </c>
      <c r="AY579" s="40"/>
      <c r="AZ579" s="40"/>
      <c r="BI579" s="36"/>
      <c r="BJ579" s="36"/>
      <c r="BK579" s="37"/>
      <c r="BN579" s="16"/>
      <c r="BO579" s="16"/>
    </row>
    <row r="580" spans="1:67" s="67" customFormat="1" ht="15.95" customHeight="1" x14ac:dyDescent="0.25">
      <c r="A580" s="16"/>
      <c r="B580" s="68">
        <f>SUBTOTAL(103,$K$569:K580)</f>
        <v>12</v>
      </c>
      <c r="C580" s="59" t="s">
        <v>278</v>
      </c>
      <c r="D580" s="53" t="s">
        <v>158</v>
      </c>
      <c r="E580" s="68" t="s">
        <v>155</v>
      </c>
      <c r="F580" s="59" t="s">
        <v>104</v>
      </c>
      <c r="G580" s="53" t="s">
        <v>5021</v>
      </c>
      <c r="H580" s="59" t="s">
        <v>5016</v>
      </c>
      <c r="I580" s="73" t="s">
        <v>381</v>
      </c>
      <c r="J580" s="74" t="s">
        <v>382</v>
      </c>
      <c r="K580" s="75" t="s">
        <v>4424</v>
      </c>
      <c r="L580" s="59" t="s">
        <v>149</v>
      </c>
      <c r="M580" s="53">
        <v>0</v>
      </c>
      <c r="N580" s="59" t="s">
        <v>150</v>
      </c>
      <c r="O580" s="58" t="s">
        <v>5042</v>
      </c>
      <c r="P580" s="53" t="s">
        <v>3898</v>
      </c>
      <c r="Q580" s="73" t="s">
        <v>383</v>
      </c>
      <c r="R580" s="59" t="s">
        <v>184</v>
      </c>
      <c r="S580" s="59" t="s">
        <v>153</v>
      </c>
      <c r="T580" s="59" t="s">
        <v>384</v>
      </c>
      <c r="U580" s="59"/>
      <c r="V580" s="59"/>
      <c r="W580" s="59"/>
      <c r="X580" s="75" t="s">
        <v>4424</v>
      </c>
      <c r="Y580" s="59"/>
      <c r="Z580" s="59"/>
      <c r="AA580" s="58"/>
      <c r="AB580" s="76" t="s">
        <v>156</v>
      </c>
      <c r="AC580" s="59"/>
      <c r="AD580" s="59"/>
      <c r="AE580" s="59"/>
      <c r="AF580" s="59"/>
      <c r="AG580" s="59" t="s">
        <v>385</v>
      </c>
      <c r="AH580" s="59" t="s">
        <v>155</v>
      </c>
      <c r="AI580" s="59"/>
      <c r="AJ580" s="77" t="s">
        <v>386</v>
      </c>
      <c r="AK580" s="68" t="s">
        <v>156</v>
      </c>
      <c r="AL580" s="59" t="s">
        <v>387</v>
      </c>
      <c r="AM580" s="74" t="s">
        <v>388</v>
      </c>
      <c r="AN580" s="289" t="s">
        <v>389</v>
      </c>
      <c r="AO580" s="59" t="s">
        <v>164</v>
      </c>
      <c r="AP580" s="66" t="s">
        <v>312</v>
      </c>
      <c r="AQ580" s="58" t="s">
        <v>313</v>
      </c>
      <c r="AR580" s="38"/>
      <c r="AT580" s="40"/>
      <c r="AU580" s="40"/>
      <c r="AV580" s="54">
        <v>7620106</v>
      </c>
      <c r="AW580" s="53">
        <v>33</v>
      </c>
      <c r="AY580" s="40"/>
      <c r="AZ580" s="40"/>
      <c r="BI580" s="36"/>
      <c r="BJ580" s="36"/>
      <c r="BK580" s="37"/>
      <c r="BN580" s="16"/>
      <c r="BO580" s="16"/>
    </row>
    <row r="581" spans="1:67" s="67" customFormat="1" ht="15.95" customHeight="1" x14ac:dyDescent="0.25">
      <c r="A581" s="16"/>
      <c r="B581" s="68">
        <f>SUBTOTAL(103,$K$569:K581)</f>
        <v>13</v>
      </c>
      <c r="C581" s="59" t="s">
        <v>390</v>
      </c>
      <c r="D581" s="53" t="s">
        <v>158</v>
      </c>
      <c r="E581" s="68" t="s">
        <v>155</v>
      </c>
      <c r="F581" s="53" t="s">
        <v>104</v>
      </c>
      <c r="G581" s="53" t="s">
        <v>5021</v>
      </c>
      <c r="H581" s="59" t="s">
        <v>5017</v>
      </c>
      <c r="I581" s="58" t="s">
        <v>391</v>
      </c>
      <c r="J581" s="58" t="s">
        <v>392</v>
      </c>
      <c r="K581" s="103" t="s">
        <v>4425</v>
      </c>
      <c r="L581" s="53" t="s">
        <v>149</v>
      </c>
      <c r="M581" s="53">
        <v>0</v>
      </c>
      <c r="N581" s="68" t="s">
        <v>150</v>
      </c>
      <c r="O581" s="58" t="s">
        <v>5042</v>
      </c>
      <c r="P581" s="53" t="s">
        <v>3898</v>
      </c>
      <c r="Q581" s="58" t="s">
        <v>78</v>
      </c>
      <c r="R581" s="53">
        <v>2024</v>
      </c>
      <c r="S581" s="53" t="s">
        <v>153</v>
      </c>
      <c r="T581" s="53">
        <v>7.8</v>
      </c>
      <c r="U581" s="53"/>
      <c r="V581" s="53"/>
      <c r="W581" s="53"/>
      <c r="X581" s="57" t="s">
        <v>4425</v>
      </c>
      <c r="Y581" s="59"/>
      <c r="Z581" s="53"/>
      <c r="AA581" s="58"/>
      <c r="AB581" s="76" t="s">
        <v>156</v>
      </c>
      <c r="AC581" s="53"/>
      <c r="AD581" s="53"/>
      <c r="AE581" s="58"/>
      <c r="AF581" s="148"/>
      <c r="AG581" s="59" t="s">
        <v>393</v>
      </c>
      <c r="AH581" s="53" t="s">
        <v>155</v>
      </c>
      <c r="AI581" s="58"/>
      <c r="AJ581" s="61" t="s">
        <v>394</v>
      </c>
      <c r="AK581" s="68" t="s">
        <v>156</v>
      </c>
      <c r="AL581" s="59" t="s">
        <v>366</v>
      </c>
      <c r="AM581" s="64" t="s">
        <v>395</v>
      </c>
      <c r="AN581" s="70" t="s">
        <v>396</v>
      </c>
      <c r="AO581" s="53" t="s">
        <v>164</v>
      </c>
      <c r="AP581" s="66" t="s">
        <v>397</v>
      </c>
      <c r="AQ581" s="58" t="s">
        <v>334</v>
      </c>
      <c r="AR581" s="38"/>
      <c r="AT581" s="40"/>
      <c r="AU581" s="40"/>
      <c r="AV581" s="54">
        <v>7620106</v>
      </c>
      <c r="AW581" s="53">
        <v>34</v>
      </c>
      <c r="AY581" s="40"/>
      <c r="AZ581" s="40"/>
      <c r="BI581" s="36"/>
      <c r="BJ581" s="36"/>
      <c r="BK581" s="37"/>
      <c r="BN581" s="16"/>
      <c r="BO581" s="16"/>
    </row>
    <row r="582" spans="1:67" s="67" customFormat="1" ht="15.95" customHeight="1" x14ac:dyDescent="0.25">
      <c r="A582" s="16"/>
      <c r="B582" s="68">
        <f>SUBTOTAL(103,$K$569:K582)</f>
        <v>14</v>
      </c>
      <c r="C582" s="59" t="s">
        <v>398</v>
      </c>
      <c r="D582" s="53" t="s">
        <v>158</v>
      </c>
      <c r="E582" s="53" t="s">
        <v>155</v>
      </c>
      <c r="F582" s="53" t="s">
        <v>104</v>
      </c>
      <c r="G582" s="53" t="s">
        <v>5021</v>
      </c>
      <c r="H582" s="59" t="s">
        <v>5018</v>
      </c>
      <c r="I582" s="58" t="s">
        <v>399</v>
      </c>
      <c r="J582" s="58" t="s">
        <v>1454</v>
      </c>
      <c r="K582" s="103" t="s">
        <v>4426</v>
      </c>
      <c r="L582" s="53" t="s">
        <v>170</v>
      </c>
      <c r="M582" s="68">
        <v>1</v>
      </c>
      <c r="N582" s="53" t="s">
        <v>441</v>
      </c>
      <c r="O582" s="58" t="s">
        <v>5042</v>
      </c>
      <c r="P582" s="53" t="s">
        <v>3898</v>
      </c>
      <c r="Q582" s="58" t="s">
        <v>383</v>
      </c>
      <c r="R582" s="53">
        <v>2024</v>
      </c>
      <c r="S582" s="53" t="s">
        <v>248</v>
      </c>
      <c r="T582" s="53" t="s">
        <v>401</v>
      </c>
      <c r="U582" s="53"/>
      <c r="V582" s="53" t="s">
        <v>402</v>
      </c>
      <c r="W582" s="53" t="s">
        <v>153</v>
      </c>
      <c r="X582" s="57" t="s">
        <v>4426</v>
      </c>
      <c r="Y582" s="53" t="s">
        <v>3845</v>
      </c>
      <c r="Z582" s="53">
        <v>20.3</v>
      </c>
      <c r="AA582" s="58"/>
      <c r="AB582" s="76" t="s">
        <v>156</v>
      </c>
      <c r="AC582" s="58" t="s">
        <v>157</v>
      </c>
      <c r="AD582" s="58" t="s">
        <v>157</v>
      </c>
      <c r="AE582" s="58"/>
      <c r="AF582" s="58"/>
      <c r="AG582" s="64" t="s">
        <v>385</v>
      </c>
      <c r="AH582" s="53" t="s">
        <v>155</v>
      </c>
      <c r="AI582" s="58"/>
      <c r="AJ582" s="61" t="s">
        <v>403</v>
      </c>
      <c r="AK582" s="68" t="s">
        <v>156</v>
      </c>
      <c r="AL582" s="58" t="s">
        <v>387</v>
      </c>
      <c r="AM582" s="64" t="s">
        <v>404</v>
      </c>
      <c r="AN582" s="81" t="s">
        <v>311</v>
      </c>
      <c r="AO582" s="53" t="s">
        <v>164</v>
      </c>
      <c r="AP582" s="66" t="s">
        <v>405</v>
      </c>
      <c r="AQ582" s="169" t="s">
        <v>406</v>
      </c>
      <c r="AU582" s="40"/>
      <c r="AV582" s="54">
        <v>7620106</v>
      </c>
      <c r="AW582" s="53">
        <v>35</v>
      </c>
      <c r="BJ582" s="40"/>
      <c r="BK582" s="40"/>
      <c r="BN582" s="16"/>
      <c r="BO582" s="16"/>
    </row>
    <row r="583" spans="1:67" s="67" customFormat="1" ht="15.95" customHeight="1" x14ac:dyDescent="0.25">
      <c r="A583" s="16"/>
      <c r="B583" s="68">
        <f>SUBTOTAL(103,$K$569:K583)</f>
        <v>15</v>
      </c>
      <c r="C583" s="59" t="s">
        <v>407</v>
      </c>
      <c r="D583" s="53" t="s">
        <v>158</v>
      </c>
      <c r="E583" s="59" t="s">
        <v>155</v>
      </c>
      <c r="F583" s="59" t="s">
        <v>104</v>
      </c>
      <c r="G583" s="53" t="s">
        <v>5021</v>
      </c>
      <c r="H583" s="59" t="s">
        <v>5019</v>
      </c>
      <c r="I583" s="73" t="s">
        <v>408</v>
      </c>
      <c r="J583" s="74" t="s">
        <v>409</v>
      </c>
      <c r="K583" s="75" t="s">
        <v>4427</v>
      </c>
      <c r="L583" s="59" t="s">
        <v>149</v>
      </c>
      <c r="M583" s="53">
        <v>0</v>
      </c>
      <c r="N583" s="59" t="s">
        <v>150</v>
      </c>
      <c r="O583" s="58" t="s">
        <v>5042</v>
      </c>
      <c r="P583" s="53" t="s">
        <v>3898</v>
      </c>
      <c r="Q583" s="58" t="s">
        <v>383</v>
      </c>
      <c r="R583" s="59" t="s">
        <v>410</v>
      </c>
      <c r="S583" s="59" t="s">
        <v>153</v>
      </c>
      <c r="T583" s="59" t="s">
        <v>411</v>
      </c>
      <c r="U583" s="59"/>
      <c r="V583" s="59" t="s">
        <v>282</v>
      </c>
      <c r="W583" s="59" t="s">
        <v>153</v>
      </c>
      <c r="X583" s="75" t="s">
        <v>4427</v>
      </c>
      <c r="Y583" s="59" t="s">
        <v>3846</v>
      </c>
      <c r="Z583" s="59" t="s">
        <v>3847</v>
      </c>
      <c r="AA583" s="58"/>
      <c r="AB583" s="76" t="s">
        <v>156</v>
      </c>
      <c r="AC583" s="59" t="s">
        <v>157</v>
      </c>
      <c r="AD583" s="59" t="s">
        <v>157</v>
      </c>
      <c r="AE583" s="59"/>
      <c r="AF583" s="59"/>
      <c r="AG583" s="59" t="s">
        <v>385</v>
      </c>
      <c r="AH583" s="59" t="s">
        <v>155</v>
      </c>
      <c r="AI583" s="59"/>
      <c r="AJ583" s="77" t="s">
        <v>412</v>
      </c>
      <c r="AK583" s="59" t="s">
        <v>156</v>
      </c>
      <c r="AL583" s="59" t="s">
        <v>413</v>
      </c>
      <c r="AM583" s="74" t="s">
        <v>414</v>
      </c>
      <c r="AN583" s="70">
        <v>976779958</v>
      </c>
      <c r="AO583" s="59" t="s">
        <v>164</v>
      </c>
      <c r="AP583" s="66"/>
      <c r="AQ583" s="58" t="s">
        <v>166</v>
      </c>
      <c r="AR583" s="38"/>
      <c r="AT583" s="40"/>
      <c r="AU583" s="40"/>
      <c r="AV583" s="54">
        <v>7620106</v>
      </c>
      <c r="AW583" s="53">
        <v>36</v>
      </c>
      <c r="AY583" s="40"/>
      <c r="AZ583" s="40"/>
      <c r="BI583" s="36"/>
      <c r="BJ583" s="36"/>
      <c r="BK583" s="37"/>
      <c r="BN583" s="16"/>
      <c r="BO583" s="16"/>
    </row>
    <row r="584" spans="1:67" s="67" customFormat="1" ht="15.95" customHeight="1" x14ac:dyDescent="0.25">
      <c r="A584" s="16"/>
      <c r="B584" s="68">
        <f>SUBTOTAL(103,$K$569:K584)</f>
        <v>16</v>
      </c>
      <c r="C584" s="59" t="s">
        <v>415</v>
      </c>
      <c r="D584" s="53" t="s">
        <v>158</v>
      </c>
      <c r="E584" s="68" t="s">
        <v>155</v>
      </c>
      <c r="F584" s="59" t="s">
        <v>104</v>
      </c>
      <c r="G584" s="53" t="s">
        <v>5021</v>
      </c>
      <c r="H584" s="59" t="s">
        <v>5020</v>
      </c>
      <c r="I584" s="73" t="s">
        <v>416</v>
      </c>
      <c r="J584" s="74" t="s">
        <v>246</v>
      </c>
      <c r="K584" s="75" t="s">
        <v>4428</v>
      </c>
      <c r="L584" s="59" t="s">
        <v>149</v>
      </c>
      <c r="M584" s="53">
        <v>0</v>
      </c>
      <c r="N584" s="59" t="s">
        <v>150</v>
      </c>
      <c r="O584" s="58" t="s">
        <v>5042</v>
      </c>
      <c r="P584" s="53" t="s">
        <v>3898</v>
      </c>
      <c r="Q584" s="73" t="s">
        <v>383</v>
      </c>
      <c r="R584" s="59" t="s">
        <v>343</v>
      </c>
      <c r="S584" s="59" t="s">
        <v>337</v>
      </c>
      <c r="T584" s="59"/>
      <c r="U584" s="59"/>
      <c r="V584" s="59"/>
      <c r="W584" s="59"/>
      <c r="X584" s="75" t="s">
        <v>4428</v>
      </c>
      <c r="Y584" s="59"/>
      <c r="Z584" s="59"/>
      <c r="AA584" s="58"/>
      <c r="AB584" s="76" t="s">
        <v>156</v>
      </c>
      <c r="AC584" s="59"/>
      <c r="AD584" s="59"/>
      <c r="AE584" s="59"/>
      <c r="AF584" s="59"/>
      <c r="AG584" s="59" t="s">
        <v>385</v>
      </c>
      <c r="AH584" s="59" t="s">
        <v>155</v>
      </c>
      <c r="AI584" s="59"/>
      <c r="AJ584" s="77" t="s">
        <v>417</v>
      </c>
      <c r="AK584" s="68" t="s">
        <v>156</v>
      </c>
      <c r="AL584" s="59" t="s">
        <v>340</v>
      </c>
      <c r="AM584" s="74" t="s">
        <v>418</v>
      </c>
      <c r="AN584" s="78" t="s">
        <v>311</v>
      </c>
      <c r="AO584" s="59" t="s">
        <v>164</v>
      </c>
      <c r="AP584" s="66" t="s">
        <v>350</v>
      </c>
      <c r="AQ584" s="58" t="s">
        <v>313</v>
      </c>
      <c r="AR584" s="38"/>
      <c r="AT584" s="40"/>
      <c r="AU584" s="40"/>
      <c r="AV584" s="54">
        <v>7620106</v>
      </c>
      <c r="AW584" s="53">
        <v>37</v>
      </c>
      <c r="AY584" s="40"/>
      <c r="AZ584" s="40"/>
      <c r="BI584" s="36"/>
      <c r="BJ584" s="36"/>
      <c r="BK584" s="37"/>
      <c r="BN584" s="16"/>
      <c r="BO584" s="16"/>
    </row>
    <row r="585" spans="1:67" s="21" customFormat="1" ht="20.25" customHeight="1" x14ac:dyDescent="0.25">
      <c r="A585" s="290"/>
      <c r="B585" s="23"/>
      <c r="C585" s="28"/>
      <c r="D585" s="30"/>
      <c r="E585" s="20"/>
      <c r="F585" s="20"/>
      <c r="G585" s="20"/>
      <c r="H585" s="20"/>
      <c r="K585" s="339"/>
      <c r="L585" s="20"/>
      <c r="M585" s="20"/>
      <c r="N585" s="20"/>
      <c r="O585" s="31"/>
      <c r="P585" s="23"/>
      <c r="R585" s="23"/>
      <c r="S585" s="20"/>
      <c r="T585" s="20"/>
      <c r="U585" s="20"/>
      <c r="V585" s="20"/>
      <c r="W585" s="291"/>
      <c r="X585" s="23"/>
      <c r="Y585" s="20"/>
      <c r="Z585" s="20"/>
      <c r="AA585" s="29"/>
      <c r="AB585" s="20"/>
      <c r="AC585" s="20"/>
      <c r="AD585" s="20"/>
      <c r="AE585" s="20"/>
      <c r="AG585" s="20"/>
      <c r="AH585" s="20"/>
      <c r="AI585" s="20"/>
      <c r="AJ585" s="32"/>
      <c r="AK585" s="20"/>
      <c r="AL585" s="20"/>
      <c r="AM585" s="20"/>
      <c r="AN585" s="33"/>
      <c r="AV585" s="34"/>
      <c r="BJ585" s="20"/>
      <c r="BK585" s="20"/>
      <c r="BN585" s="290"/>
      <c r="BO585" s="290"/>
    </row>
  </sheetData>
  <autoFilter ref="A1:BQ583" xr:uid="{00000000-0009-0000-0000-000001000000}"/>
  <conditionalFormatting sqref="H1:H1048576">
    <cfRule type="duplicateValues" dxfId="1" priority="1"/>
  </conditionalFormatting>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513C-E05A-4AF4-B234-CC7DC43BF86E}">
  <dimension ref="B1:V28"/>
  <sheetViews>
    <sheetView topLeftCell="A7" workbookViewId="0">
      <selection activeCell="N27" sqref="N27:T27"/>
    </sheetView>
  </sheetViews>
  <sheetFormatPr defaultColWidth="9.125" defaultRowHeight="18.75" x14ac:dyDescent="0.3"/>
  <cols>
    <col min="1" max="1" width="2.875" style="13" customWidth="1"/>
    <col min="2" max="2" width="5.25" style="13" customWidth="1"/>
    <col min="3" max="3" width="20.375" style="13" customWidth="1"/>
    <col min="4" max="4" width="7.75" style="13" customWidth="1"/>
    <col min="5" max="5" width="6.75" style="13" customWidth="1"/>
    <col min="6" max="6" width="4.625" style="13" customWidth="1"/>
    <col min="7" max="7" width="4.375" style="13" customWidth="1"/>
    <col min="8" max="8" width="4.625" style="13" customWidth="1"/>
    <col min="9" max="9" width="7.25" style="13" customWidth="1"/>
    <col min="10" max="10" width="7" style="13" customWidth="1"/>
    <col min="11" max="11" width="4.75" style="13" customWidth="1"/>
    <col min="12" max="12" width="5.25" style="13" customWidth="1"/>
    <col min="13" max="13" width="6" style="13" customWidth="1"/>
    <col min="14" max="14" width="7.375" style="13" customWidth="1"/>
    <col min="15" max="15" width="8" style="13" customWidth="1"/>
    <col min="16" max="16" width="7.75" style="13" customWidth="1"/>
    <col min="17" max="17" width="7.625" style="13" customWidth="1"/>
    <col min="18" max="18" width="6.125" style="13" customWidth="1"/>
    <col min="19" max="19" width="8.375" style="13" customWidth="1"/>
    <col min="20" max="20" width="34.75" style="13" customWidth="1"/>
    <col min="21" max="21" width="9.125" style="13"/>
    <col min="22" max="22" width="16.25" style="13" customWidth="1"/>
    <col min="23" max="16384" width="9.125" style="13"/>
  </cols>
  <sheetData>
    <row r="1" spans="2:22" s="12" customFormat="1" ht="20.100000000000001" customHeight="1" x14ac:dyDescent="0.3">
      <c r="B1" s="401" t="s">
        <v>5045</v>
      </c>
      <c r="C1" s="401"/>
      <c r="D1" s="401"/>
      <c r="E1" s="401"/>
      <c r="F1" s="401"/>
      <c r="G1" s="401"/>
      <c r="H1" s="401"/>
      <c r="I1" s="401"/>
      <c r="J1" s="401"/>
      <c r="K1" s="401"/>
      <c r="L1" s="402" t="s">
        <v>5043</v>
      </c>
      <c r="M1" s="402"/>
      <c r="N1" s="402"/>
      <c r="O1" s="402"/>
      <c r="P1" s="402"/>
      <c r="Q1" s="402"/>
      <c r="R1" s="402"/>
      <c r="S1" s="402"/>
      <c r="T1" s="402"/>
    </row>
    <row r="2" spans="2:22" s="12" customFormat="1" ht="20.100000000000001" customHeight="1" x14ac:dyDescent="0.3">
      <c r="B2" s="402" t="s">
        <v>0</v>
      </c>
      <c r="C2" s="402"/>
      <c r="D2" s="402"/>
      <c r="E2" s="402"/>
      <c r="F2" s="402"/>
      <c r="G2" s="402"/>
      <c r="H2" s="402"/>
      <c r="I2" s="402"/>
      <c r="J2" s="402"/>
      <c r="K2" s="402"/>
      <c r="L2" s="402" t="s">
        <v>5044</v>
      </c>
      <c r="M2" s="402"/>
      <c r="N2" s="402"/>
      <c r="O2" s="402"/>
      <c r="P2" s="402"/>
      <c r="Q2" s="402"/>
      <c r="R2" s="402"/>
      <c r="S2" s="402"/>
      <c r="T2" s="402"/>
    </row>
    <row r="3" spans="2:22" ht="8.25" customHeight="1" x14ac:dyDescent="0.3"/>
    <row r="4" spans="2:22" ht="39.75" customHeight="1" x14ac:dyDescent="0.3">
      <c r="B4" s="403" t="s">
        <v>5046</v>
      </c>
      <c r="C4" s="404"/>
      <c r="D4" s="404"/>
      <c r="E4" s="404"/>
      <c r="F4" s="404"/>
      <c r="G4" s="404"/>
      <c r="H4" s="404"/>
      <c r="I4" s="404"/>
      <c r="J4" s="404"/>
      <c r="K4" s="404"/>
      <c r="L4" s="404"/>
      <c r="M4" s="404"/>
      <c r="N4" s="404"/>
      <c r="O4" s="404"/>
      <c r="P4" s="404"/>
      <c r="Q4" s="404"/>
      <c r="R4" s="404"/>
      <c r="S4" s="404"/>
      <c r="T4" s="404"/>
    </row>
    <row r="5" spans="2:22" ht="6" customHeight="1" x14ac:dyDescent="0.3"/>
    <row r="6" spans="2:22" ht="15" customHeight="1" x14ac:dyDescent="0.3">
      <c r="B6" s="408" t="s">
        <v>5</v>
      </c>
      <c r="C6" s="408" t="s">
        <v>7</v>
      </c>
      <c r="D6" s="411" t="s">
        <v>10</v>
      </c>
      <c r="E6" s="418" t="s">
        <v>11</v>
      </c>
      <c r="F6" s="419"/>
      <c r="G6" s="419"/>
      <c r="H6" s="419"/>
      <c r="I6" s="419"/>
      <c r="J6" s="419"/>
      <c r="K6" s="419"/>
      <c r="L6" s="419"/>
      <c r="M6" s="419"/>
      <c r="N6" s="419"/>
      <c r="O6" s="419"/>
      <c r="P6" s="419"/>
      <c r="Q6" s="420"/>
      <c r="R6" s="411" t="s">
        <v>5047</v>
      </c>
      <c r="S6" s="411" t="s">
        <v>13</v>
      </c>
      <c r="T6" s="414" t="s">
        <v>15</v>
      </c>
      <c r="V6" s="405" t="s">
        <v>3890</v>
      </c>
    </row>
    <row r="7" spans="2:22" ht="15" customHeight="1" x14ac:dyDescent="0.3">
      <c r="B7" s="409"/>
      <c r="C7" s="409"/>
      <c r="D7" s="412"/>
      <c r="E7" s="421"/>
      <c r="F7" s="422"/>
      <c r="G7" s="422"/>
      <c r="H7" s="422"/>
      <c r="I7" s="422"/>
      <c r="J7" s="422"/>
      <c r="K7" s="422"/>
      <c r="L7" s="422"/>
      <c r="M7" s="422"/>
      <c r="N7" s="422"/>
      <c r="O7" s="422"/>
      <c r="P7" s="422"/>
      <c r="Q7" s="423"/>
      <c r="R7" s="409"/>
      <c r="S7" s="412"/>
      <c r="T7" s="414"/>
      <c r="V7" s="406"/>
    </row>
    <row r="8" spans="2:22" ht="15" customHeight="1" x14ac:dyDescent="0.3">
      <c r="B8" s="409"/>
      <c r="C8" s="409"/>
      <c r="D8" s="412"/>
      <c r="E8" s="415" t="s">
        <v>17</v>
      </c>
      <c r="F8" s="416"/>
      <c r="G8" s="416"/>
      <c r="H8" s="416"/>
      <c r="I8" s="417"/>
      <c r="J8" s="415" t="s">
        <v>18</v>
      </c>
      <c r="K8" s="416"/>
      <c r="L8" s="416"/>
      <c r="M8" s="416"/>
      <c r="N8" s="417"/>
      <c r="O8" s="415" t="s">
        <v>19</v>
      </c>
      <c r="P8" s="417"/>
      <c r="Q8" s="411" t="s">
        <v>20</v>
      </c>
      <c r="R8" s="409"/>
      <c r="S8" s="412"/>
      <c r="T8" s="414"/>
      <c r="V8" s="406"/>
    </row>
    <row r="9" spans="2:22" ht="33" x14ac:dyDescent="0.3">
      <c r="B9" s="410"/>
      <c r="C9" s="410"/>
      <c r="D9" s="413"/>
      <c r="E9" s="345" t="s">
        <v>21</v>
      </c>
      <c r="F9" s="345" t="s">
        <v>104</v>
      </c>
      <c r="G9" s="345" t="s">
        <v>105</v>
      </c>
      <c r="H9" s="345" t="s">
        <v>106</v>
      </c>
      <c r="I9" s="345" t="s">
        <v>22</v>
      </c>
      <c r="J9" s="345" t="s">
        <v>21</v>
      </c>
      <c r="K9" s="345" t="s">
        <v>104</v>
      </c>
      <c r="L9" s="345" t="s">
        <v>105</v>
      </c>
      <c r="M9" s="345" t="s">
        <v>106</v>
      </c>
      <c r="N9" s="345" t="s">
        <v>22</v>
      </c>
      <c r="O9" s="345" t="s">
        <v>21</v>
      </c>
      <c r="P9" s="345" t="s">
        <v>22</v>
      </c>
      <c r="Q9" s="413"/>
      <c r="R9" s="410"/>
      <c r="S9" s="413"/>
      <c r="T9" s="346"/>
      <c r="V9" s="407"/>
    </row>
    <row r="10" spans="2:22" ht="21.95" customHeight="1" x14ac:dyDescent="0.3">
      <c r="B10" s="347">
        <v>1</v>
      </c>
      <c r="C10" s="348" t="s">
        <v>23</v>
      </c>
      <c r="D10" s="349">
        <v>78</v>
      </c>
      <c r="E10" s="350">
        <v>5</v>
      </c>
      <c r="F10" s="347">
        <v>0</v>
      </c>
      <c r="G10" s="347">
        <v>0</v>
      </c>
      <c r="H10" s="347">
        <v>0</v>
      </c>
      <c r="I10" s="349">
        <v>0</v>
      </c>
      <c r="J10" s="350">
        <v>5</v>
      </c>
      <c r="K10" s="347">
        <v>21</v>
      </c>
      <c r="L10" s="347">
        <v>52</v>
      </c>
      <c r="M10" s="347">
        <v>5</v>
      </c>
      <c r="N10" s="347">
        <f>K10+L10+M10</f>
        <v>78</v>
      </c>
      <c r="O10" s="350">
        <v>21</v>
      </c>
      <c r="P10" s="347">
        <v>0</v>
      </c>
      <c r="Q10" s="349">
        <f>R10+S10</f>
        <v>78</v>
      </c>
      <c r="R10" s="347">
        <v>49</v>
      </c>
      <c r="S10" s="347">
        <v>29</v>
      </c>
      <c r="T10" s="310" t="s">
        <v>40</v>
      </c>
      <c r="V10" s="344" t="s">
        <v>3891</v>
      </c>
    </row>
    <row r="11" spans="2:22" ht="21.95" customHeight="1" x14ac:dyDescent="0.3">
      <c r="B11" s="347">
        <v>2</v>
      </c>
      <c r="C11" s="348" t="s">
        <v>26</v>
      </c>
      <c r="D11" s="349">
        <v>172</v>
      </c>
      <c r="E11" s="350">
        <v>5</v>
      </c>
      <c r="F11" s="347">
        <v>0</v>
      </c>
      <c r="G11" s="347">
        <v>0</v>
      </c>
      <c r="H11" s="347">
        <v>0</v>
      </c>
      <c r="I11" s="349">
        <v>0</v>
      </c>
      <c r="J11" s="350">
        <v>5</v>
      </c>
      <c r="K11" s="347">
        <v>13</v>
      </c>
      <c r="L11" s="347">
        <v>36</v>
      </c>
      <c r="M11" s="347">
        <v>27</v>
      </c>
      <c r="N11" s="347">
        <f>K11+L11+M11</f>
        <v>76</v>
      </c>
      <c r="O11" s="350">
        <v>21</v>
      </c>
      <c r="P11" s="347">
        <v>96</v>
      </c>
      <c r="Q11" s="349">
        <f t="shared" ref="Q11:Q24" si="0">R11+S11</f>
        <v>172</v>
      </c>
      <c r="R11" s="347">
        <v>127</v>
      </c>
      <c r="S11" s="347">
        <v>45</v>
      </c>
      <c r="T11" s="310" t="s">
        <v>40</v>
      </c>
      <c r="V11" s="344" t="s">
        <v>3891</v>
      </c>
    </row>
    <row r="12" spans="2:22" ht="21.95" customHeight="1" x14ac:dyDescent="0.3">
      <c r="B12" s="347">
        <v>3</v>
      </c>
      <c r="C12" s="348" t="s">
        <v>27</v>
      </c>
      <c r="D12" s="349">
        <v>12</v>
      </c>
      <c r="E12" s="350">
        <v>5</v>
      </c>
      <c r="F12" s="347">
        <v>0</v>
      </c>
      <c r="G12" s="347">
        <v>0</v>
      </c>
      <c r="H12" s="347">
        <v>0</v>
      </c>
      <c r="I12" s="349">
        <v>0</v>
      </c>
      <c r="J12" s="350">
        <v>5</v>
      </c>
      <c r="K12" s="347">
        <v>1</v>
      </c>
      <c r="L12" s="347">
        <v>10</v>
      </c>
      <c r="M12" s="347">
        <v>1</v>
      </c>
      <c r="N12" s="347">
        <f t="shared" ref="N12:N24" si="1">K12+L12+M12</f>
        <v>12</v>
      </c>
      <c r="O12" s="350">
        <v>21</v>
      </c>
      <c r="P12" s="347">
        <v>0</v>
      </c>
      <c r="Q12" s="349">
        <f t="shared" si="0"/>
        <v>12</v>
      </c>
      <c r="R12" s="347">
        <v>8</v>
      </c>
      <c r="S12" s="347">
        <v>4</v>
      </c>
      <c r="T12" s="355" t="s">
        <v>28</v>
      </c>
      <c r="V12" s="344" t="s">
        <v>3857</v>
      </c>
    </row>
    <row r="13" spans="2:22" ht="21.95" customHeight="1" x14ac:dyDescent="0.3">
      <c r="B13" s="347">
        <v>4</v>
      </c>
      <c r="C13" s="351" t="s">
        <v>29</v>
      </c>
      <c r="D13" s="349">
        <v>73</v>
      </c>
      <c r="E13" s="350">
        <v>5</v>
      </c>
      <c r="F13" s="347">
        <v>0</v>
      </c>
      <c r="G13" s="347">
        <v>0</v>
      </c>
      <c r="H13" s="347">
        <v>0</v>
      </c>
      <c r="I13" s="349">
        <v>0</v>
      </c>
      <c r="J13" s="350">
        <v>5</v>
      </c>
      <c r="K13" s="347">
        <v>1</v>
      </c>
      <c r="L13" s="347">
        <v>15</v>
      </c>
      <c r="M13" s="347">
        <v>13</v>
      </c>
      <c r="N13" s="347">
        <f t="shared" si="1"/>
        <v>29</v>
      </c>
      <c r="O13" s="350">
        <v>21</v>
      </c>
      <c r="P13" s="347">
        <v>44</v>
      </c>
      <c r="Q13" s="349">
        <f t="shared" si="0"/>
        <v>73</v>
      </c>
      <c r="R13" s="347">
        <v>52</v>
      </c>
      <c r="S13" s="347">
        <v>21</v>
      </c>
      <c r="T13" s="310" t="s">
        <v>40</v>
      </c>
      <c r="V13" s="344" t="s">
        <v>3892</v>
      </c>
    </row>
    <row r="14" spans="2:22" ht="21.95" customHeight="1" x14ac:dyDescent="0.3">
      <c r="B14" s="347">
        <v>5</v>
      </c>
      <c r="C14" s="348" t="s">
        <v>35</v>
      </c>
      <c r="D14" s="349">
        <v>12</v>
      </c>
      <c r="E14" s="350">
        <v>5</v>
      </c>
      <c r="F14" s="347">
        <v>0</v>
      </c>
      <c r="G14" s="347">
        <v>0</v>
      </c>
      <c r="H14" s="347">
        <v>0</v>
      </c>
      <c r="I14" s="349">
        <v>0</v>
      </c>
      <c r="J14" s="350">
        <v>5</v>
      </c>
      <c r="K14" s="347">
        <v>1</v>
      </c>
      <c r="L14" s="347">
        <v>6</v>
      </c>
      <c r="M14" s="347">
        <v>1</v>
      </c>
      <c r="N14" s="347">
        <f t="shared" si="1"/>
        <v>8</v>
      </c>
      <c r="O14" s="350">
        <v>21</v>
      </c>
      <c r="P14" s="347">
        <v>4</v>
      </c>
      <c r="Q14" s="349">
        <f t="shared" si="0"/>
        <v>12</v>
      </c>
      <c r="R14" s="347">
        <v>12</v>
      </c>
      <c r="S14" s="347">
        <v>0</v>
      </c>
      <c r="T14" s="355" t="s">
        <v>49</v>
      </c>
      <c r="V14" s="344" t="s">
        <v>3893</v>
      </c>
    </row>
    <row r="15" spans="2:22" ht="21.95" customHeight="1" x14ac:dyDescent="0.3">
      <c r="B15" s="347">
        <v>6</v>
      </c>
      <c r="C15" s="352" t="s">
        <v>39</v>
      </c>
      <c r="D15" s="349">
        <v>35</v>
      </c>
      <c r="E15" s="350">
        <v>5</v>
      </c>
      <c r="F15" s="347">
        <v>0</v>
      </c>
      <c r="G15" s="347">
        <v>0</v>
      </c>
      <c r="H15" s="347">
        <v>0</v>
      </c>
      <c r="I15" s="349">
        <v>0</v>
      </c>
      <c r="J15" s="350">
        <v>5</v>
      </c>
      <c r="K15" s="347">
        <v>2</v>
      </c>
      <c r="L15" s="347">
        <v>7</v>
      </c>
      <c r="M15" s="347">
        <v>10</v>
      </c>
      <c r="N15" s="347">
        <f t="shared" si="1"/>
        <v>19</v>
      </c>
      <c r="O15" s="350">
        <v>21</v>
      </c>
      <c r="P15" s="347">
        <v>16</v>
      </c>
      <c r="Q15" s="349">
        <f t="shared" si="0"/>
        <v>35</v>
      </c>
      <c r="R15" s="347">
        <v>27</v>
      </c>
      <c r="S15" s="347">
        <v>8</v>
      </c>
      <c r="T15" s="310" t="s">
        <v>40</v>
      </c>
      <c r="V15" s="344" t="s">
        <v>3894</v>
      </c>
    </row>
    <row r="16" spans="2:22" ht="21.95" customHeight="1" x14ac:dyDescent="0.3">
      <c r="B16" s="347">
        <v>7</v>
      </c>
      <c r="C16" s="352" t="s">
        <v>44</v>
      </c>
      <c r="D16" s="349">
        <v>65</v>
      </c>
      <c r="E16" s="350">
        <v>5</v>
      </c>
      <c r="F16" s="347">
        <v>0</v>
      </c>
      <c r="G16" s="347">
        <v>0</v>
      </c>
      <c r="H16" s="347">
        <v>0</v>
      </c>
      <c r="I16" s="349">
        <v>0</v>
      </c>
      <c r="J16" s="350">
        <v>5</v>
      </c>
      <c r="K16" s="347">
        <v>0</v>
      </c>
      <c r="L16" s="347">
        <v>0</v>
      </c>
      <c r="M16" s="347">
        <v>64</v>
      </c>
      <c r="N16" s="347">
        <f t="shared" si="1"/>
        <v>64</v>
      </c>
      <c r="O16" s="350">
        <v>18</v>
      </c>
      <c r="P16" s="347">
        <v>1</v>
      </c>
      <c r="Q16" s="349">
        <f t="shared" si="0"/>
        <v>65</v>
      </c>
      <c r="R16" s="353"/>
      <c r="S16" s="347">
        <v>65</v>
      </c>
      <c r="T16" s="355" t="s">
        <v>25</v>
      </c>
      <c r="V16" s="344" t="s">
        <v>3894</v>
      </c>
    </row>
    <row r="17" spans="2:22" ht="21.95" customHeight="1" x14ac:dyDescent="0.3">
      <c r="B17" s="347">
        <v>8</v>
      </c>
      <c r="C17" s="352" t="s">
        <v>48</v>
      </c>
      <c r="D17" s="349">
        <v>4</v>
      </c>
      <c r="E17" s="350">
        <v>5</v>
      </c>
      <c r="F17" s="347">
        <v>0</v>
      </c>
      <c r="G17" s="347">
        <v>0</v>
      </c>
      <c r="H17" s="347">
        <v>0</v>
      </c>
      <c r="I17" s="349">
        <v>0</v>
      </c>
      <c r="J17" s="350">
        <v>5</v>
      </c>
      <c r="K17" s="347">
        <v>0</v>
      </c>
      <c r="L17" s="347">
        <v>0</v>
      </c>
      <c r="M17" s="347">
        <v>4</v>
      </c>
      <c r="N17" s="347">
        <f t="shared" si="1"/>
        <v>4</v>
      </c>
      <c r="O17" s="350">
        <v>18</v>
      </c>
      <c r="P17" s="347">
        <v>0</v>
      </c>
      <c r="Q17" s="349">
        <f t="shared" si="0"/>
        <v>4</v>
      </c>
      <c r="R17" s="353"/>
      <c r="S17" s="347">
        <v>4</v>
      </c>
      <c r="T17" s="355" t="s">
        <v>49</v>
      </c>
      <c r="V17" s="344" t="s">
        <v>3891</v>
      </c>
    </row>
    <row r="18" spans="2:22" ht="21.95" customHeight="1" x14ac:dyDescent="0.3">
      <c r="B18" s="347">
        <v>9</v>
      </c>
      <c r="C18" s="352" t="s">
        <v>54</v>
      </c>
      <c r="D18" s="349">
        <v>12</v>
      </c>
      <c r="E18" s="350">
        <v>5</v>
      </c>
      <c r="F18" s="347">
        <v>0</v>
      </c>
      <c r="G18" s="347">
        <v>0</v>
      </c>
      <c r="H18" s="347">
        <v>0</v>
      </c>
      <c r="I18" s="349">
        <v>0</v>
      </c>
      <c r="J18" s="350">
        <v>5</v>
      </c>
      <c r="K18" s="347">
        <v>2</v>
      </c>
      <c r="L18" s="347">
        <v>4</v>
      </c>
      <c r="M18" s="347">
        <v>4</v>
      </c>
      <c r="N18" s="347">
        <f t="shared" si="1"/>
        <v>10</v>
      </c>
      <c r="O18" s="350">
        <v>18</v>
      </c>
      <c r="P18" s="347">
        <v>2</v>
      </c>
      <c r="Q18" s="349">
        <f t="shared" si="0"/>
        <v>12</v>
      </c>
      <c r="R18" s="353"/>
      <c r="S18" s="347">
        <v>12</v>
      </c>
      <c r="T18" s="355" t="s">
        <v>49</v>
      </c>
      <c r="V18" s="344" t="s">
        <v>3895</v>
      </c>
    </row>
    <row r="19" spans="2:22" ht="21.95" customHeight="1" x14ac:dyDescent="0.3">
      <c r="B19" s="347">
        <v>10</v>
      </c>
      <c r="C19" s="352" t="s">
        <v>56</v>
      </c>
      <c r="D19" s="349">
        <v>23</v>
      </c>
      <c r="E19" s="350">
        <v>5</v>
      </c>
      <c r="F19" s="347">
        <v>0</v>
      </c>
      <c r="G19" s="347">
        <v>0</v>
      </c>
      <c r="H19" s="347">
        <v>0</v>
      </c>
      <c r="I19" s="349">
        <v>0</v>
      </c>
      <c r="J19" s="350">
        <v>5</v>
      </c>
      <c r="K19" s="347">
        <v>3</v>
      </c>
      <c r="L19" s="347">
        <v>8</v>
      </c>
      <c r="M19" s="347">
        <v>8</v>
      </c>
      <c r="N19" s="347">
        <f t="shared" si="1"/>
        <v>19</v>
      </c>
      <c r="O19" s="350">
        <v>18</v>
      </c>
      <c r="P19" s="347">
        <v>4</v>
      </c>
      <c r="Q19" s="349">
        <f t="shared" si="0"/>
        <v>23</v>
      </c>
      <c r="R19" s="353"/>
      <c r="S19" s="347">
        <v>23</v>
      </c>
      <c r="T19" s="355" t="s">
        <v>25</v>
      </c>
      <c r="V19" s="344" t="s">
        <v>3895</v>
      </c>
    </row>
    <row r="20" spans="2:22" ht="21.95" customHeight="1" x14ac:dyDescent="0.3">
      <c r="B20" s="347">
        <v>11</v>
      </c>
      <c r="C20" s="352" t="s">
        <v>60</v>
      </c>
      <c r="D20" s="349">
        <v>25</v>
      </c>
      <c r="E20" s="350">
        <v>5</v>
      </c>
      <c r="F20" s="347">
        <v>0</v>
      </c>
      <c r="G20" s="347">
        <v>0</v>
      </c>
      <c r="H20" s="347">
        <v>0</v>
      </c>
      <c r="I20" s="349">
        <v>0</v>
      </c>
      <c r="J20" s="350">
        <v>5</v>
      </c>
      <c r="K20" s="347">
        <v>3</v>
      </c>
      <c r="L20" s="347">
        <v>2</v>
      </c>
      <c r="M20" s="347">
        <v>20</v>
      </c>
      <c r="N20" s="347">
        <f t="shared" si="1"/>
        <v>25</v>
      </c>
      <c r="O20" s="350">
        <v>18</v>
      </c>
      <c r="P20" s="347">
        <v>0</v>
      </c>
      <c r="Q20" s="349">
        <f t="shared" si="0"/>
        <v>25</v>
      </c>
      <c r="R20" s="353"/>
      <c r="S20" s="347">
        <v>25</v>
      </c>
      <c r="T20" s="355" t="s">
        <v>25</v>
      </c>
      <c r="V20" s="344" t="s">
        <v>3896</v>
      </c>
    </row>
    <row r="21" spans="2:22" ht="21.95" customHeight="1" x14ac:dyDescent="0.3">
      <c r="B21" s="347">
        <v>12</v>
      </c>
      <c r="C21" s="352" t="s">
        <v>66</v>
      </c>
      <c r="D21" s="349">
        <v>18</v>
      </c>
      <c r="E21" s="350">
        <v>5</v>
      </c>
      <c r="F21" s="347">
        <v>0</v>
      </c>
      <c r="G21" s="347">
        <v>3</v>
      </c>
      <c r="H21" s="347">
        <v>15</v>
      </c>
      <c r="I21" s="349">
        <v>18</v>
      </c>
      <c r="J21" s="350">
        <v>5</v>
      </c>
      <c r="K21" s="347">
        <v>0</v>
      </c>
      <c r="L21" s="347">
        <v>0</v>
      </c>
      <c r="M21" s="347">
        <v>0</v>
      </c>
      <c r="N21" s="347">
        <f t="shared" si="1"/>
        <v>0</v>
      </c>
      <c r="O21" s="350">
        <v>18</v>
      </c>
      <c r="P21" s="347">
        <v>0</v>
      </c>
      <c r="Q21" s="349">
        <f t="shared" si="0"/>
        <v>18</v>
      </c>
      <c r="R21" s="353"/>
      <c r="S21" s="347">
        <v>18</v>
      </c>
      <c r="T21" s="355" t="s">
        <v>25</v>
      </c>
      <c r="V21" s="344" t="s">
        <v>3897</v>
      </c>
    </row>
    <row r="22" spans="2:22" ht="21.95" customHeight="1" x14ac:dyDescent="0.3">
      <c r="B22" s="347">
        <v>13</v>
      </c>
      <c r="C22" s="353" t="s">
        <v>73</v>
      </c>
      <c r="D22" s="349">
        <v>7</v>
      </c>
      <c r="E22" s="350">
        <v>5</v>
      </c>
      <c r="F22" s="347">
        <v>0</v>
      </c>
      <c r="G22" s="347">
        <v>0</v>
      </c>
      <c r="H22" s="347">
        <v>0</v>
      </c>
      <c r="I22" s="349">
        <v>0</v>
      </c>
      <c r="J22" s="350">
        <v>5</v>
      </c>
      <c r="K22" s="347">
        <v>0</v>
      </c>
      <c r="L22" s="347">
        <v>2</v>
      </c>
      <c r="M22" s="347">
        <v>3</v>
      </c>
      <c r="N22" s="347">
        <f t="shared" si="1"/>
        <v>5</v>
      </c>
      <c r="O22" s="350">
        <v>18</v>
      </c>
      <c r="P22" s="347">
        <v>2</v>
      </c>
      <c r="Q22" s="349">
        <f t="shared" si="0"/>
        <v>7</v>
      </c>
      <c r="R22" s="353"/>
      <c r="S22" s="347">
        <v>7</v>
      </c>
      <c r="T22" s="355" t="s">
        <v>28</v>
      </c>
      <c r="V22" s="344" t="s">
        <v>3897</v>
      </c>
    </row>
    <row r="23" spans="2:22" ht="21.95" customHeight="1" x14ac:dyDescent="0.3">
      <c r="B23" s="347">
        <v>14</v>
      </c>
      <c r="C23" s="353" t="s">
        <v>75</v>
      </c>
      <c r="D23" s="349">
        <v>11</v>
      </c>
      <c r="E23" s="350">
        <v>5</v>
      </c>
      <c r="F23" s="347">
        <v>0</v>
      </c>
      <c r="G23" s="347">
        <v>0</v>
      </c>
      <c r="H23" s="347">
        <v>0</v>
      </c>
      <c r="I23" s="349">
        <v>0</v>
      </c>
      <c r="J23" s="350">
        <v>5</v>
      </c>
      <c r="K23" s="347">
        <v>1</v>
      </c>
      <c r="L23" s="347">
        <v>4</v>
      </c>
      <c r="M23" s="347">
        <v>5</v>
      </c>
      <c r="N23" s="347">
        <f t="shared" si="1"/>
        <v>10</v>
      </c>
      <c r="O23" s="350">
        <v>18</v>
      </c>
      <c r="P23" s="347">
        <v>1</v>
      </c>
      <c r="Q23" s="349">
        <f t="shared" si="0"/>
        <v>11</v>
      </c>
      <c r="R23" s="353"/>
      <c r="S23" s="347">
        <v>11</v>
      </c>
      <c r="T23" s="355" t="s">
        <v>25</v>
      </c>
      <c r="V23" s="344" t="s">
        <v>3897</v>
      </c>
    </row>
    <row r="24" spans="2:22" ht="21.95" customHeight="1" x14ac:dyDescent="0.3">
      <c r="B24" s="347">
        <v>15</v>
      </c>
      <c r="C24" s="353" t="s">
        <v>78</v>
      </c>
      <c r="D24" s="349">
        <v>16</v>
      </c>
      <c r="E24" s="350">
        <v>5</v>
      </c>
      <c r="F24" s="347">
        <v>5</v>
      </c>
      <c r="G24" s="347">
        <v>3</v>
      </c>
      <c r="H24" s="347">
        <v>8</v>
      </c>
      <c r="I24" s="349">
        <v>16</v>
      </c>
      <c r="J24" s="350">
        <v>5</v>
      </c>
      <c r="K24" s="347">
        <v>0</v>
      </c>
      <c r="L24" s="347">
        <v>0</v>
      </c>
      <c r="M24" s="347">
        <v>0</v>
      </c>
      <c r="N24" s="347">
        <f t="shared" si="1"/>
        <v>0</v>
      </c>
      <c r="O24" s="350">
        <v>18</v>
      </c>
      <c r="P24" s="347">
        <v>0</v>
      </c>
      <c r="Q24" s="349">
        <f t="shared" si="0"/>
        <v>16</v>
      </c>
      <c r="R24" s="353"/>
      <c r="S24" s="347">
        <v>16</v>
      </c>
      <c r="T24" s="355" t="s">
        <v>25</v>
      </c>
      <c r="V24" s="344" t="s">
        <v>3898</v>
      </c>
    </row>
    <row r="25" spans="2:22" ht="21.95" customHeight="1" x14ac:dyDescent="0.3">
      <c r="B25" s="353"/>
      <c r="C25" s="354" t="s">
        <v>96</v>
      </c>
      <c r="D25" s="349">
        <f>SUM(D10:D24)</f>
        <v>563</v>
      </c>
      <c r="E25" s="349"/>
      <c r="F25" s="349">
        <v>5</v>
      </c>
      <c r="G25" s="349">
        <v>6</v>
      </c>
      <c r="H25" s="349">
        <v>23</v>
      </c>
      <c r="I25" s="349">
        <f>SUM(I10:I24)</f>
        <v>34</v>
      </c>
      <c r="J25" s="349"/>
      <c r="K25" s="349"/>
      <c r="L25" s="349"/>
      <c r="M25" s="349"/>
      <c r="N25" s="349">
        <f>SUM(N10:N24)</f>
        <v>359</v>
      </c>
      <c r="O25" s="349"/>
      <c r="P25" s="349">
        <f>SUM(P10:P24)</f>
        <v>170</v>
      </c>
      <c r="Q25" s="349">
        <f>SUM(Q10:Q24)</f>
        <v>563</v>
      </c>
      <c r="R25" s="349">
        <f>SUM(R10:R24)</f>
        <v>275</v>
      </c>
      <c r="S25" s="349">
        <f>SUM(S10:S24)</f>
        <v>288</v>
      </c>
      <c r="T25" s="356"/>
      <c r="V25" s="358"/>
    </row>
    <row r="26" spans="2:22" ht="7.5" customHeight="1" x14ac:dyDescent="0.3"/>
    <row r="27" spans="2:22" x14ac:dyDescent="0.3">
      <c r="N27" s="401" t="s">
        <v>5050</v>
      </c>
      <c r="O27" s="401"/>
      <c r="P27" s="401"/>
      <c r="Q27" s="401"/>
      <c r="R27" s="401"/>
      <c r="S27" s="401"/>
      <c r="T27" s="401"/>
    </row>
    <row r="28" spans="2:22" x14ac:dyDescent="0.3">
      <c r="N28" s="402" t="s">
        <v>5048</v>
      </c>
      <c r="O28" s="402"/>
      <c r="P28" s="402"/>
      <c r="Q28" s="402"/>
      <c r="R28" s="402"/>
      <c r="S28" s="402"/>
      <c r="T28" s="402"/>
    </row>
  </sheetData>
  <autoFilter ref="B6:V25" xr:uid="{00000000-0009-0000-0000-00000200000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19">
    <mergeCell ref="N27:T27"/>
    <mergeCell ref="N28:T28"/>
    <mergeCell ref="V6:V9"/>
    <mergeCell ref="B6:B9"/>
    <mergeCell ref="C6:C9"/>
    <mergeCell ref="D6:D9"/>
    <mergeCell ref="T6:T8"/>
    <mergeCell ref="E8:I8"/>
    <mergeCell ref="J8:N8"/>
    <mergeCell ref="O8:P8"/>
    <mergeCell ref="Q8:Q9"/>
    <mergeCell ref="E6:Q7"/>
    <mergeCell ref="R6:R9"/>
    <mergeCell ref="S6:S9"/>
    <mergeCell ref="B1:K1"/>
    <mergeCell ref="L1:T1"/>
    <mergeCell ref="L2:T2"/>
    <mergeCell ref="B2:K2"/>
    <mergeCell ref="B4:T4"/>
  </mergeCells>
  <pageMargins left="0" right="0" top="0.5" bottom="0.5" header="0.3" footer="0.3"/>
  <pageSetup paperSize="9" scale="85" orientation="landscape"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812A-37D2-4066-A4BB-44708EFC4DF9}">
  <dimension ref="A1:Y41"/>
  <sheetViews>
    <sheetView tabSelected="1" topLeftCell="H1" workbookViewId="0">
      <pane ySplit="1" topLeftCell="A2" activePane="bottomLeft" state="frozen"/>
      <selection activeCell="C1" sqref="C1"/>
      <selection pane="bottomLeft" activeCell="K1" sqref="K1:O1048576"/>
    </sheetView>
  </sheetViews>
  <sheetFormatPr defaultRowHeight="15.75" x14ac:dyDescent="0.25"/>
  <cols>
    <col min="1" max="1" width="4.375" style="7" customWidth="1"/>
    <col min="2" max="2" width="4.875" style="7" customWidth="1"/>
    <col min="3" max="3" width="7.75" style="7" customWidth="1"/>
    <col min="4" max="4" width="8.75" style="22" customWidth="1"/>
    <col min="5" max="5" width="6.875" style="24" customWidth="1"/>
    <col min="6" max="6" width="11.25" style="24" customWidth="1"/>
    <col min="7" max="7" width="12.375" style="24" customWidth="1"/>
    <col min="8" max="8" width="12.75" style="22" customWidth="1"/>
    <col min="9" max="9" width="8.625" style="27" customWidth="1"/>
    <col min="10" max="10" width="11" style="340" customWidth="1"/>
    <col min="11" max="11" width="5.875" style="24" hidden="1" customWidth="1"/>
    <col min="12" max="12" width="7.25" style="24" hidden="1" customWidth="1"/>
    <col min="13" max="13" width="23.125" style="26" hidden="1" customWidth="1"/>
    <col min="14" max="14" width="11.375" style="357" hidden="1" customWidth="1"/>
    <col min="15" max="15" width="12.25" style="7" hidden="1" customWidth="1"/>
    <col min="16" max="16" width="25.625" style="22" customWidth="1"/>
    <col min="17" max="17" width="29.875" style="27" customWidth="1"/>
    <col min="18" max="18" width="14.625" style="7" customWidth="1"/>
    <col min="19" max="19" width="19.625" style="22" customWidth="1"/>
    <col min="20" max="20" width="14.375" style="359" customWidth="1"/>
    <col min="21" max="21" width="18.375" style="7" customWidth="1"/>
    <col min="22" max="22" width="10.25" style="7" customWidth="1"/>
    <col min="23" max="23" width="36.375" style="22" customWidth="1"/>
    <col min="24" max="24" width="12.75" style="7" customWidth="1"/>
    <col min="25" max="25" width="14.625" style="22" customWidth="1"/>
    <col min="26" max="29" width="9.125" style="22"/>
    <col min="30" max="30" width="12.625" style="22" customWidth="1"/>
    <col min="31" max="220" width="9.125" style="22"/>
    <col min="221" max="221" width="4" style="22" customWidth="1"/>
    <col min="222" max="222" width="5.875" style="22" customWidth="1"/>
    <col min="223" max="223" width="6.375" style="22" customWidth="1"/>
    <col min="224" max="224" width="20.25" style="22" customWidth="1"/>
    <col min="225" max="225" width="7.375" style="22" customWidth="1"/>
    <col min="226" max="226" width="12.75" style="22" customWidth="1"/>
    <col min="227" max="227" width="5.875" style="22" customWidth="1"/>
    <col min="228" max="228" width="8.75" style="22" customWidth="1"/>
    <col min="229" max="229" width="25.625" style="22" customWidth="1"/>
    <col min="230" max="230" width="6" style="22" customWidth="1"/>
    <col min="231" max="231" width="7.375" style="22" customWidth="1"/>
    <col min="232" max="232" width="7.125" style="22" customWidth="1"/>
    <col min="233" max="233" width="7" style="22" customWidth="1"/>
    <col min="234" max="234" width="6" style="22" customWidth="1"/>
    <col min="235" max="235" width="6.25" style="22" customWidth="1"/>
    <col min="236" max="236" width="6.375" style="22" customWidth="1"/>
    <col min="237" max="237" width="19.125" style="22" customWidth="1"/>
    <col min="238" max="238" width="8.125" style="22" customWidth="1"/>
    <col min="239" max="239" width="8.75" style="22" customWidth="1"/>
    <col min="240" max="240" width="11.25" style="22" customWidth="1"/>
    <col min="241" max="241" width="22.875" style="22" customWidth="1"/>
    <col min="242" max="242" width="9.375" style="22" customWidth="1"/>
    <col min="243" max="243" width="9.875" style="22" customWidth="1"/>
    <col min="244" max="245" width="15.875" style="22" customWidth="1"/>
    <col min="246" max="246" width="15" style="22" customWidth="1"/>
    <col min="247" max="247" width="23.25" style="22" customWidth="1"/>
    <col min="248" max="248" width="26.375" style="22" customWidth="1"/>
    <col min="249" max="249" width="11.25" style="22" customWidth="1"/>
    <col min="250" max="250" width="19.625" style="22" customWidth="1"/>
    <col min="251" max="251" width="14.375" style="22" customWidth="1"/>
    <col min="252" max="252" width="18.375" style="22" customWidth="1"/>
    <col min="253" max="253" width="10.25" style="22" customWidth="1"/>
    <col min="254" max="254" width="36.375" style="22" customWidth="1"/>
    <col min="255" max="255" width="20.625" style="22" customWidth="1"/>
    <col min="256" max="256" width="16.375" style="22" customWidth="1"/>
    <col min="257" max="257" width="14.625" style="22" customWidth="1"/>
    <col min="258" max="258" width="10" style="22" customWidth="1"/>
    <col min="259" max="259" width="8" style="22" customWidth="1"/>
    <col min="260" max="260" width="16" style="22" customWidth="1"/>
    <col min="261" max="261" width="16.375" style="22" customWidth="1"/>
    <col min="262" max="262" width="9.125" style="22"/>
    <col min="263" max="263" width="16.25" style="22" customWidth="1"/>
    <col min="264" max="273" width="9.125" style="22"/>
    <col min="274" max="274" width="12.625" style="22" customWidth="1"/>
    <col min="275" max="275" width="22.875" style="22" customWidth="1"/>
    <col min="276" max="276" width="8.75" style="22" customWidth="1"/>
    <col min="277" max="277" width="19.75" style="22" customWidth="1"/>
    <col min="278" max="278" width="9.375" style="22" customWidth="1"/>
    <col min="279" max="279" width="9.125" style="22"/>
    <col min="280" max="280" width="10.875" style="22" customWidth="1"/>
    <col min="281" max="281" width="9.875" style="22" customWidth="1"/>
    <col min="282" max="476" width="9.125" style="22"/>
    <col min="477" max="477" width="4" style="22" customWidth="1"/>
    <col min="478" max="478" width="5.875" style="22" customWidth="1"/>
    <col min="479" max="479" width="6.375" style="22" customWidth="1"/>
    <col min="480" max="480" width="20.25" style="22" customWidth="1"/>
    <col min="481" max="481" width="7.375" style="22" customWidth="1"/>
    <col min="482" max="482" width="12.75" style="22" customWidth="1"/>
    <col min="483" max="483" width="5.875" style="22" customWidth="1"/>
    <col min="484" max="484" width="8.75" style="22" customWidth="1"/>
    <col min="485" max="485" width="25.625" style="22" customWidth="1"/>
    <col min="486" max="486" width="6" style="22" customWidth="1"/>
    <col min="487" max="487" width="7.375" style="22" customWidth="1"/>
    <col min="488" max="488" width="7.125" style="22" customWidth="1"/>
    <col min="489" max="489" width="7" style="22" customWidth="1"/>
    <col min="490" max="490" width="6" style="22" customWidth="1"/>
    <col min="491" max="491" width="6.25" style="22" customWidth="1"/>
    <col min="492" max="492" width="6.375" style="22" customWidth="1"/>
    <col min="493" max="493" width="19.125" style="22" customWidth="1"/>
    <col min="494" max="494" width="8.125" style="22" customWidth="1"/>
    <col min="495" max="495" width="8.75" style="22" customWidth="1"/>
    <col min="496" max="496" width="11.25" style="22" customWidth="1"/>
    <col min="497" max="497" width="22.875" style="22" customWidth="1"/>
    <col min="498" max="498" width="9.375" style="22" customWidth="1"/>
    <col min="499" max="499" width="9.875" style="22" customWidth="1"/>
    <col min="500" max="501" width="15.875" style="22" customWidth="1"/>
    <col min="502" max="502" width="15" style="22" customWidth="1"/>
    <col min="503" max="503" width="23.25" style="22" customWidth="1"/>
    <col min="504" max="504" width="26.375" style="22" customWidth="1"/>
    <col min="505" max="505" width="11.25" style="22" customWidth="1"/>
    <col min="506" max="506" width="19.625" style="22" customWidth="1"/>
    <col min="507" max="507" width="14.375" style="22" customWidth="1"/>
    <col min="508" max="508" width="18.375" style="22" customWidth="1"/>
    <col min="509" max="509" width="10.25" style="22" customWidth="1"/>
    <col min="510" max="510" width="36.375" style="22" customWidth="1"/>
    <col min="511" max="511" width="20.625" style="22" customWidth="1"/>
    <col min="512" max="512" width="16.375" style="22" customWidth="1"/>
    <col min="513" max="513" width="14.625" style="22" customWidth="1"/>
    <col min="514" max="514" width="10" style="22" customWidth="1"/>
    <col min="515" max="515" width="8" style="22" customWidth="1"/>
    <col min="516" max="516" width="16" style="22" customWidth="1"/>
    <col min="517" max="517" width="16.375" style="22" customWidth="1"/>
    <col min="518" max="518" width="9.125" style="22"/>
    <col min="519" max="519" width="16.25" style="22" customWidth="1"/>
    <col min="520" max="529" width="9.125" style="22"/>
    <col min="530" max="530" width="12.625" style="22" customWidth="1"/>
    <col min="531" max="531" width="22.875" style="22" customWidth="1"/>
    <col min="532" max="532" width="8.75" style="22" customWidth="1"/>
    <col min="533" max="533" width="19.75" style="22" customWidth="1"/>
    <col min="534" max="534" width="9.375" style="22" customWidth="1"/>
    <col min="535" max="535" width="9.125" style="22"/>
    <col min="536" max="536" width="10.875" style="22" customWidth="1"/>
    <col min="537" max="537" width="9.875" style="22" customWidth="1"/>
    <col min="538" max="732" width="9.125" style="22"/>
    <col min="733" max="733" width="4" style="22" customWidth="1"/>
    <col min="734" max="734" width="5.875" style="22" customWidth="1"/>
    <col min="735" max="735" width="6.375" style="22" customWidth="1"/>
    <col min="736" max="736" width="20.25" style="22" customWidth="1"/>
    <col min="737" max="737" width="7.375" style="22" customWidth="1"/>
    <col min="738" max="738" width="12.75" style="22" customWidth="1"/>
    <col min="739" max="739" width="5.875" style="22" customWidth="1"/>
    <col min="740" max="740" width="8.75" style="22" customWidth="1"/>
    <col min="741" max="741" width="25.625" style="22" customWidth="1"/>
    <col min="742" max="742" width="6" style="22" customWidth="1"/>
    <col min="743" max="743" width="7.375" style="22" customWidth="1"/>
    <col min="744" max="744" width="7.125" style="22" customWidth="1"/>
    <col min="745" max="745" width="7" style="22" customWidth="1"/>
    <col min="746" max="746" width="6" style="22" customWidth="1"/>
    <col min="747" max="747" width="6.25" style="22" customWidth="1"/>
    <col min="748" max="748" width="6.375" style="22" customWidth="1"/>
    <col min="749" max="749" width="19.125" style="22" customWidth="1"/>
    <col min="750" max="750" width="8.125" style="22" customWidth="1"/>
    <col min="751" max="751" width="8.75" style="22" customWidth="1"/>
    <col min="752" max="752" width="11.25" style="22" customWidth="1"/>
    <col min="753" max="753" width="22.875" style="22" customWidth="1"/>
    <col min="754" max="754" width="9.375" style="22" customWidth="1"/>
    <col min="755" max="755" width="9.875" style="22" customWidth="1"/>
    <col min="756" max="757" width="15.875" style="22" customWidth="1"/>
    <col min="758" max="758" width="15" style="22" customWidth="1"/>
    <col min="759" max="759" width="23.25" style="22" customWidth="1"/>
    <col min="760" max="760" width="26.375" style="22" customWidth="1"/>
    <col min="761" max="761" width="11.25" style="22" customWidth="1"/>
    <col min="762" max="762" width="19.625" style="22" customWidth="1"/>
    <col min="763" max="763" width="14.375" style="22" customWidth="1"/>
    <col min="764" max="764" width="18.375" style="22" customWidth="1"/>
    <col min="765" max="765" width="10.25" style="22" customWidth="1"/>
    <col min="766" max="766" width="36.375" style="22" customWidth="1"/>
    <col min="767" max="767" width="20.625" style="22" customWidth="1"/>
    <col min="768" max="768" width="16.375" style="22" customWidth="1"/>
    <col min="769" max="769" width="14.625" style="22" customWidth="1"/>
    <col min="770" max="770" width="10" style="22" customWidth="1"/>
    <col min="771" max="771" width="8" style="22" customWidth="1"/>
    <col min="772" max="772" width="16" style="22" customWidth="1"/>
    <col min="773" max="773" width="16.375" style="22" customWidth="1"/>
    <col min="774" max="774" width="9.125" style="22"/>
    <col min="775" max="775" width="16.25" style="22" customWidth="1"/>
    <col min="776" max="785" width="9.125" style="22"/>
    <col min="786" max="786" width="12.625" style="22" customWidth="1"/>
    <col min="787" max="787" width="22.875" style="22" customWidth="1"/>
    <col min="788" max="788" width="8.75" style="22" customWidth="1"/>
    <col min="789" max="789" width="19.75" style="22" customWidth="1"/>
    <col min="790" max="790" width="9.375" style="22" customWidth="1"/>
    <col min="791" max="791" width="9.125" style="22"/>
    <col min="792" max="792" width="10.875" style="22" customWidth="1"/>
    <col min="793" max="793" width="9.875" style="22" customWidth="1"/>
    <col min="794" max="988" width="9.125" style="22"/>
    <col min="989" max="989" width="4" style="22" customWidth="1"/>
    <col min="990" max="990" width="5.875" style="22" customWidth="1"/>
    <col min="991" max="991" width="6.375" style="22" customWidth="1"/>
    <col min="992" max="992" width="20.25" style="22" customWidth="1"/>
    <col min="993" max="993" width="7.375" style="22" customWidth="1"/>
    <col min="994" max="994" width="12.75" style="22" customWidth="1"/>
    <col min="995" max="995" width="5.875" style="22" customWidth="1"/>
    <col min="996" max="996" width="8.75" style="22" customWidth="1"/>
    <col min="997" max="997" width="25.625" style="22" customWidth="1"/>
    <col min="998" max="998" width="6" style="22" customWidth="1"/>
    <col min="999" max="999" width="7.375" style="22" customWidth="1"/>
    <col min="1000" max="1000" width="7.125" style="22" customWidth="1"/>
    <col min="1001" max="1001" width="7" style="22" customWidth="1"/>
    <col min="1002" max="1002" width="6" style="22" customWidth="1"/>
    <col min="1003" max="1003" width="6.25" style="22" customWidth="1"/>
    <col min="1004" max="1004" width="6.375" style="22" customWidth="1"/>
    <col min="1005" max="1005" width="19.125" style="22" customWidth="1"/>
    <col min="1006" max="1006" width="8.125" style="22" customWidth="1"/>
    <col min="1007" max="1007" width="8.75" style="22" customWidth="1"/>
    <col min="1008" max="1008" width="11.25" style="22" customWidth="1"/>
    <col min="1009" max="1009" width="22.875" style="22" customWidth="1"/>
    <col min="1010" max="1010" width="9.375" style="22" customWidth="1"/>
    <col min="1011" max="1011" width="9.875" style="22" customWidth="1"/>
    <col min="1012" max="1013" width="15.875" style="22" customWidth="1"/>
    <col min="1014" max="1014" width="15" style="22" customWidth="1"/>
    <col min="1015" max="1015" width="23.25" style="22" customWidth="1"/>
    <col min="1016" max="1016" width="26.375" style="22" customWidth="1"/>
    <col min="1017" max="1017" width="11.25" style="22" customWidth="1"/>
    <col min="1018" max="1018" width="19.625" style="22" customWidth="1"/>
    <col min="1019" max="1019" width="14.375" style="22" customWidth="1"/>
    <col min="1020" max="1020" width="18.375" style="22" customWidth="1"/>
    <col min="1021" max="1021" width="10.25" style="22" customWidth="1"/>
    <col min="1022" max="1022" width="36.375" style="22" customWidth="1"/>
    <col min="1023" max="1023" width="20.625" style="22" customWidth="1"/>
    <col min="1024" max="1024" width="16.375" style="22" customWidth="1"/>
    <col min="1025" max="1025" width="14.625" style="22" customWidth="1"/>
    <col min="1026" max="1026" width="10" style="22" customWidth="1"/>
    <col min="1027" max="1027" width="8" style="22" customWidth="1"/>
    <col min="1028" max="1028" width="16" style="22" customWidth="1"/>
    <col min="1029" max="1029" width="16.375" style="22" customWidth="1"/>
    <col min="1030" max="1030" width="9.125" style="22"/>
    <col min="1031" max="1031" width="16.25" style="22" customWidth="1"/>
    <col min="1032" max="1041" width="9.125" style="22"/>
    <col min="1042" max="1042" width="12.625" style="22" customWidth="1"/>
    <col min="1043" max="1043" width="22.875" style="22" customWidth="1"/>
    <col min="1044" max="1044" width="8.75" style="22" customWidth="1"/>
    <col min="1045" max="1045" width="19.75" style="22" customWidth="1"/>
    <col min="1046" max="1046" width="9.375" style="22" customWidth="1"/>
    <col min="1047" max="1047" width="9.125" style="22"/>
    <col min="1048" max="1048" width="10.875" style="22" customWidth="1"/>
    <col min="1049" max="1049" width="9.875" style="22" customWidth="1"/>
    <col min="1050" max="1244" width="9.125" style="22"/>
    <col min="1245" max="1245" width="4" style="22" customWidth="1"/>
    <col min="1246" max="1246" width="5.875" style="22" customWidth="1"/>
    <col min="1247" max="1247" width="6.375" style="22" customWidth="1"/>
    <col min="1248" max="1248" width="20.25" style="22" customWidth="1"/>
    <col min="1249" max="1249" width="7.375" style="22" customWidth="1"/>
    <col min="1250" max="1250" width="12.75" style="22" customWidth="1"/>
    <col min="1251" max="1251" width="5.875" style="22" customWidth="1"/>
    <col min="1252" max="1252" width="8.75" style="22" customWidth="1"/>
    <col min="1253" max="1253" width="25.625" style="22" customWidth="1"/>
    <col min="1254" max="1254" width="6" style="22" customWidth="1"/>
    <col min="1255" max="1255" width="7.375" style="22" customWidth="1"/>
    <col min="1256" max="1256" width="7.125" style="22" customWidth="1"/>
    <col min="1257" max="1257" width="7" style="22" customWidth="1"/>
    <col min="1258" max="1258" width="6" style="22" customWidth="1"/>
    <col min="1259" max="1259" width="6.25" style="22" customWidth="1"/>
    <col min="1260" max="1260" width="6.375" style="22" customWidth="1"/>
    <col min="1261" max="1261" width="19.125" style="22" customWidth="1"/>
    <col min="1262" max="1262" width="8.125" style="22" customWidth="1"/>
    <col min="1263" max="1263" width="8.75" style="22" customWidth="1"/>
    <col min="1264" max="1264" width="11.25" style="22" customWidth="1"/>
    <col min="1265" max="1265" width="22.875" style="22" customWidth="1"/>
    <col min="1266" max="1266" width="9.375" style="22" customWidth="1"/>
    <col min="1267" max="1267" width="9.875" style="22" customWidth="1"/>
    <col min="1268" max="1269" width="15.875" style="22" customWidth="1"/>
    <col min="1270" max="1270" width="15" style="22" customWidth="1"/>
    <col min="1271" max="1271" width="23.25" style="22" customWidth="1"/>
    <col min="1272" max="1272" width="26.375" style="22" customWidth="1"/>
    <col min="1273" max="1273" width="11.25" style="22" customWidth="1"/>
    <col min="1274" max="1274" width="19.625" style="22" customWidth="1"/>
    <col min="1275" max="1275" width="14.375" style="22" customWidth="1"/>
    <col min="1276" max="1276" width="18.375" style="22" customWidth="1"/>
    <col min="1277" max="1277" width="10.25" style="22" customWidth="1"/>
    <col min="1278" max="1278" width="36.375" style="22" customWidth="1"/>
    <col min="1279" max="1279" width="20.625" style="22" customWidth="1"/>
    <col min="1280" max="1280" width="16.375" style="22" customWidth="1"/>
    <col min="1281" max="1281" width="14.625" style="22" customWidth="1"/>
    <col min="1282" max="1282" width="10" style="22" customWidth="1"/>
    <col min="1283" max="1283" width="8" style="22" customWidth="1"/>
    <col min="1284" max="1284" width="16" style="22" customWidth="1"/>
    <col min="1285" max="1285" width="16.375" style="22" customWidth="1"/>
    <col min="1286" max="1286" width="9.125" style="22"/>
    <col min="1287" max="1287" width="16.25" style="22" customWidth="1"/>
    <col min="1288" max="1297" width="9.125" style="22"/>
    <col min="1298" max="1298" width="12.625" style="22" customWidth="1"/>
    <col min="1299" max="1299" width="22.875" style="22" customWidth="1"/>
    <col min="1300" max="1300" width="8.75" style="22" customWidth="1"/>
    <col min="1301" max="1301" width="19.75" style="22" customWidth="1"/>
    <col min="1302" max="1302" width="9.375" style="22" customWidth="1"/>
    <col min="1303" max="1303" width="9.125" style="22"/>
    <col min="1304" max="1304" width="10.875" style="22" customWidth="1"/>
    <col min="1305" max="1305" width="9.875" style="22" customWidth="1"/>
    <col min="1306" max="1500" width="9.125" style="22"/>
    <col min="1501" max="1501" width="4" style="22" customWidth="1"/>
    <col min="1502" max="1502" width="5.875" style="22" customWidth="1"/>
    <col min="1503" max="1503" width="6.375" style="22" customWidth="1"/>
    <col min="1504" max="1504" width="20.25" style="22" customWidth="1"/>
    <col min="1505" max="1505" width="7.375" style="22" customWidth="1"/>
    <col min="1506" max="1506" width="12.75" style="22" customWidth="1"/>
    <col min="1507" max="1507" width="5.875" style="22" customWidth="1"/>
    <col min="1508" max="1508" width="8.75" style="22" customWidth="1"/>
    <col min="1509" max="1509" width="25.625" style="22" customWidth="1"/>
    <col min="1510" max="1510" width="6" style="22" customWidth="1"/>
    <col min="1511" max="1511" width="7.375" style="22" customWidth="1"/>
    <col min="1512" max="1512" width="7.125" style="22" customWidth="1"/>
    <col min="1513" max="1513" width="7" style="22" customWidth="1"/>
    <col min="1514" max="1514" width="6" style="22" customWidth="1"/>
    <col min="1515" max="1515" width="6.25" style="22" customWidth="1"/>
    <col min="1516" max="1516" width="6.375" style="22" customWidth="1"/>
    <col min="1517" max="1517" width="19.125" style="22" customWidth="1"/>
    <col min="1518" max="1518" width="8.125" style="22" customWidth="1"/>
    <col min="1519" max="1519" width="8.75" style="22" customWidth="1"/>
    <col min="1520" max="1520" width="11.25" style="22" customWidth="1"/>
    <col min="1521" max="1521" width="22.875" style="22" customWidth="1"/>
    <col min="1522" max="1522" width="9.375" style="22" customWidth="1"/>
    <col min="1523" max="1523" width="9.875" style="22" customWidth="1"/>
    <col min="1524" max="1525" width="15.875" style="22" customWidth="1"/>
    <col min="1526" max="1526" width="15" style="22" customWidth="1"/>
    <col min="1527" max="1527" width="23.25" style="22" customWidth="1"/>
    <col min="1528" max="1528" width="26.375" style="22" customWidth="1"/>
    <col min="1529" max="1529" width="11.25" style="22" customWidth="1"/>
    <col min="1530" max="1530" width="19.625" style="22" customWidth="1"/>
    <col min="1531" max="1531" width="14.375" style="22" customWidth="1"/>
    <col min="1532" max="1532" width="18.375" style="22" customWidth="1"/>
    <col min="1533" max="1533" width="10.25" style="22" customWidth="1"/>
    <col min="1534" max="1534" width="36.375" style="22" customWidth="1"/>
    <col min="1535" max="1535" width="20.625" style="22" customWidth="1"/>
    <col min="1536" max="1536" width="16.375" style="22" customWidth="1"/>
    <col min="1537" max="1537" width="14.625" style="22" customWidth="1"/>
    <col min="1538" max="1538" width="10" style="22" customWidth="1"/>
    <col min="1539" max="1539" width="8" style="22" customWidth="1"/>
    <col min="1540" max="1540" width="16" style="22" customWidth="1"/>
    <col min="1541" max="1541" width="16.375" style="22" customWidth="1"/>
    <col min="1542" max="1542" width="9.125" style="22"/>
    <col min="1543" max="1543" width="16.25" style="22" customWidth="1"/>
    <col min="1544" max="1553" width="9.125" style="22"/>
    <col min="1554" max="1554" width="12.625" style="22" customWidth="1"/>
    <col min="1555" max="1555" width="22.875" style="22" customWidth="1"/>
    <col min="1556" max="1556" width="8.75" style="22" customWidth="1"/>
    <col min="1557" max="1557" width="19.75" style="22" customWidth="1"/>
    <col min="1558" max="1558" width="9.375" style="22" customWidth="1"/>
    <col min="1559" max="1559" width="9.125" style="22"/>
    <col min="1560" max="1560" width="10.875" style="22" customWidth="1"/>
    <col min="1561" max="1561" width="9.875" style="22" customWidth="1"/>
    <col min="1562" max="1756" width="9.125" style="22"/>
    <col min="1757" max="1757" width="4" style="22" customWidth="1"/>
    <col min="1758" max="1758" width="5.875" style="22" customWidth="1"/>
    <col min="1759" max="1759" width="6.375" style="22" customWidth="1"/>
    <col min="1760" max="1760" width="20.25" style="22" customWidth="1"/>
    <col min="1761" max="1761" width="7.375" style="22" customWidth="1"/>
    <col min="1762" max="1762" width="12.75" style="22" customWidth="1"/>
    <col min="1763" max="1763" width="5.875" style="22" customWidth="1"/>
    <col min="1764" max="1764" width="8.75" style="22" customWidth="1"/>
    <col min="1765" max="1765" width="25.625" style="22" customWidth="1"/>
    <col min="1766" max="1766" width="6" style="22" customWidth="1"/>
    <col min="1767" max="1767" width="7.375" style="22" customWidth="1"/>
    <col min="1768" max="1768" width="7.125" style="22" customWidth="1"/>
    <col min="1769" max="1769" width="7" style="22" customWidth="1"/>
    <col min="1770" max="1770" width="6" style="22" customWidth="1"/>
    <col min="1771" max="1771" width="6.25" style="22" customWidth="1"/>
    <col min="1772" max="1772" width="6.375" style="22" customWidth="1"/>
    <col min="1773" max="1773" width="19.125" style="22" customWidth="1"/>
    <col min="1774" max="1774" width="8.125" style="22" customWidth="1"/>
    <col min="1775" max="1775" width="8.75" style="22" customWidth="1"/>
    <col min="1776" max="1776" width="11.25" style="22" customWidth="1"/>
    <col min="1777" max="1777" width="22.875" style="22" customWidth="1"/>
    <col min="1778" max="1778" width="9.375" style="22" customWidth="1"/>
    <col min="1779" max="1779" width="9.875" style="22" customWidth="1"/>
    <col min="1780" max="1781" width="15.875" style="22" customWidth="1"/>
    <col min="1782" max="1782" width="15" style="22" customWidth="1"/>
    <col min="1783" max="1783" width="23.25" style="22" customWidth="1"/>
    <col min="1784" max="1784" width="26.375" style="22" customWidth="1"/>
    <col min="1785" max="1785" width="11.25" style="22" customWidth="1"/>
    <col min="1786" max="1786" width="19.625" style="22" customWidth="1"/>
    <col min="1787" max="1787" width="14.375" style="22" customWidth="1"/>
    <col min="1788" max="1788" width="18.375" style="22" customWidth="1"/>
    <col min="1789" max="1789" width="10.25" style="22" customWidth="1"/>
    <col min="1790" max="1790" width="36.375" style="22" customWidth="1"/>
    <col min="1791" max="1791" width="20.625" style="22" customWidth="1"/>
    <col min="1792" max="1792" width="16.375" style="22" customWidth="1"/>
    <col min="1793" max="1793" width="14.625" style="22" customWidth="1"/>
    <col min="1794" max="1794" width="10" style="22" customWidth="1"/>
    <col min="1795" max="1795" width="8" style="22" customWidth="1"/>
    <col min="1796" max="1796" width="16" style="22" customWidth="1"/>
    <col min="1797" max="1797" width="16.375" style="22" customWidth="1"/>
    <col min="1798" max="1798" width="9.125" style="22"/>
    <col min="1799" max="1799" width="16.25" style="22" customWidth="1"/>
    <col min="1800" max="1809" width="9.125" style="22"/>
    <col min="1810" max="1810" width="12.625" style="22" customWidth="1"/>
    <col min="1811" max="1811" width="22.875" style="22" customWidth="1"/>
    <col min="1812" max="1812" width="8.75" style="22" customWidth="1"/>
    <col min="1813" max="1813" width="19.75" style="22" customWidth="1"/>
    <col min="1814" max="1814" width="9.375" style="22" customWidth="1"/>
    <col min="1815" max="1815" width="9.125" style="22"/>
    <col min="1816" max="1816" width="10.875" style="22" customWidth="1"/>
    <col min="1817" max="1817" width="9.875" style="22" customWidth="1"/>
    <col min="1818" max="2012" width="9.125" style="22"/>
    <col min="2013" max="2013" width="4" style="22" customWidth="1"/>
    <col min="2014" max="2014" width="5.875" style="22" customWidth="1"/>
    <col min="2015" max="2015" width="6.375" style="22" customWidth="1"/>
    <col min="2016" max="2016" width="20.25" style="22" customWidth="1"/>
    <col min="2017" max="2017" width="7.375" style="22" customWidth="1"/>
    <col min="2018" max="2018" width="12.75" style="22" customWidth="1"/>
    <col min="2019" max="2019" width="5.875" style="22" customWidth="1"/>
    <col min="2020" max="2020" width="8.75" style="22" customWidth="1"/>
    <col min="2021" max="2021" width="25.625" style="22" customWidth="1"/>
    <col min="2022" max="2022" width="6" style="22" customWidth="1"/>
    <col min="2023" max="2023" width="7.375" style="22" customWidth="1"/>
    <col min="2024" max="2024" width="7.125" style="22" customWidth="1"/>
    <col min="2025" max="2025" width="7" style="22" customWidth="1"/>
    <col min="2026" max="2026" width="6" style="22" customWidth="1"/>
    <col min="2027" max="2027" width="6.25" style="22" customWidth="1"/>
    <col min="2028" max="2028" width="6.375" style="22" customWidth="1"/>
    <col min="2029" max="2029" width="19.125" style="22" customWidth="1"/>
    <col min="2030" max="2030" width="8.125" style="22" customWidth="1"/>
    <col min="2031" max="2031" width="8.75" style="22" customWidth="1"/>
    <col min="2032" max="2032" width="11.25" style="22" customWidth="1"/>
    <col min="2033" max="2033" width="22.875" style="22" customWidth="1"/>
    <col min="2034" max="2034" width="9.375" style="22" customWidth="1"/>
    <col min="2035" max="2035" width="9.875" style="22" customWidth="1"/>
    <col min="2036" max="2037" width="15.875" style="22" customWidth="1"/>
    <col min="2038" max="2038" width="15" style="22" customWidth="1"/>
    <col min="2039" max="2039" width="23.25" style="22" customWidth="1"/>
    <col min="2040" max="2040" width="26.375" style="22" customWidth="1"/>
    <col min="2041" max="2041" width="11.25" style="22" customWidth="1"/>
    <col min="2042" max="2042" width="19.625" style="22" customWidth="1"/>
    <col min="2043" max="2043" width="14.375" style="22" customWidth="1"/>
    <col min="2044" max="2044" width="18.375" style="22" customWidth="1"/>
    <col min="2045" max="2045" width="10.25" style="22" customWidth="1"/>
    <col min="2046" max="2046" width="36.375" style="22" customWidth="1"/>
    <col min="2047" max="2047" width="20.625" style="22" customWidth="1"/>
    <col min="2048" max="2048" width="16.375" style="22" customWidth="1"/>
    <col min="2049" max="2049" width="14.625" style="22" customWidth="1"/>
    <col min="2050" max="2050" width="10" style="22" customWidth="1"/>
    <col min="2051" max="2051" width="8" style="22" customWidth="1"/>
    <col min="2052" max="2052" width="16" style="22" customWidth="1"/>
    <col min="2053" max="2053" width="16.375" style="22" customWidth="1"/>
    <col min="2054" max="2054" width="9.125" style="22"/>
    <col min="2055" max="2055" width="16.25" style="22" customWidth="1"/>
    <col min="2056" max="2065" width="9.125" style="22"/>
    <col min="2066" max="2066" width="12.625" style="22" customWidth="1"/>
    <col min="2067" max="2067" width="22.875" style="22" customWidth="1"/>
    <col min="2068" max="2068" width="8.75" style="22" customWidth="1"/>
    <col min="2069" max="2069" width="19.75" style="22" customWidth="1"/>
    <col min="2070" max="2070" width="9.375" style="22" customWidth="1"/>
    <col min="2071" max="2071" width="9.125" style="22"/>
    <col min="2072" max="2072" width="10.875" style="22" customWidth="1"/>
    <col min="2073" max="2073" width="9.875" style="22" customWidth="1"/>
    <col min="2074" max="2268" width="9.125" style="22"/>
    <col min="2269" max="2269" width="4" style="22" customWidth="1"/>
    <col min="2270" max="2270" width="5.875" style="22" customWidth="1"/>
    <col min="2271" max="2271" width="6.375" style="22" customWidth="1"/>
    <col min="2272" max="2272" width="20.25" style="22" customWidth="1"/>
    <col min="2273" max="2273" width="7.375" style="22" customWidth="1"/>
    <col min="2274" max="2274" width="12.75" style="22" customWidth="1"/>
    <col min="2275" max="2275" width="5.875" style="22" customWidth="1"/>
    <col min="2276" max="2276" width="8.75" style="22" customWidth="1"/>
    <col min="2277" max="2277" width="25.625" style="22" customWidth="1"/>
    <col min="2278" max="2278" width="6" style="22" customWidth="1"/>
    <col min="2279" max="2279" width="7.375" style="22" customWidth="1"/>
    <col min="2280" max="2280" width="7.125" style="22" customWidth="1"/>
    <col min="2281" max="2281" width="7" style="22" customWidth="1"/>
    <col min="2282" max="2282" width="6" style="22" customWidth="1"/>
    <col min="2283" max="2283" width="6.25" style="22" customWidth="1"/>
    <col min="2284" max="2284" width="6.375" style="22" customWidth="1"/>
    <col min="2285" max="2285" width="19.125" style="22" customWidth="1"/>
    <col min="2286" max="2286" width="8.125" style="22" customWidth="1"/>
    <col min="2287" max="2287" width="8.75" style="22" customWidth="1"/>
    <col min="2288" max="2288" width="11.25" style="22" customWidth="1"/>
    <col min="2289" max="2289" width="22.875" style="22" customWidth="1"/>
    <col min="2290" max="2290" width="9.375" style="22" customWidth="1"/>
    <col min="2291" max="2291" width="9.875" style="22" customWidth="1"/>
    <col min="2292" max="2293" width="15.875" style="22" customWidth="1"/>
    <col min="2294" max="2294" width="15" style="22" customWidth="1"/>
    <col min="2295" max="2295" width="23.25" style="22" customWidth="1"/>
    <col min="2296" max="2296" width="26.375" style="22" customWidth="1"/>
    <col min="2297" max="2297" width="11.25" style="22" customWidth="1"/>
    <col min="2298" max="2298" width="19.625" style="22" customWidth="1"/>
    <col min="2299" max="2299" width="14.375" style="22" customWidth="1"/>
    <col min="2300" max="2300" width="18.375" style="22" customWidth="1"/>
    <col min="2301" max="2301" width="10.25" style="22" customWidth="1"/>
    <col min="2302" max="2302" width="36.375" style="22" customWidth="1"/>
    <col min="2303" max="2303" width="20.625" style="22" customWidth="1"/>
    <col min="2304" max="2304" width="16.375" style="22" customWidth="1"/>
    <col min="2305" max="2305" width="14.625" style="22" customWidth="1"/>
    <col min="2306" max="2306" width="10" style="22" customWidth="1"/>
    <col min="2307" max="2307" width="8" style="22" customWidth="1"/>
    <col min="2308" max="2308" width="16" style="22" customWidth="1"/>
    <col min="2309" max="2309" width="16.375" style="22" customWidth="1"/>
    <col min="2310" max="2310" width="9.125" style="22"/>
    <col min="2311" max="2311" width="16.25" style="22" customWidth="1"/>
    <col min="2312" max="2321" width="9.125" style="22"/>
    <col min="2322" max="2322" width="12.625" style="22" customWidth="1"/>
    <col min="2323" max="2323" width="22.875" style="22" customWidth="1"/>
    <col min="2324" max="2324" width="8.75" style="22" customWidth="1"/>
    <col min="2325" max="2325" width="19.75" style="22" customWidth="1"/>
    <col min="2326" max="2326" width="9.375" style="22" customWidth="1"/>
    <col min="2327" max="2327" width="9.125" style="22"/>
    <col min="2328" max="2328" width="10.875" style="22" customWidth="1"/>
    <col min="2329" max="2329" width="9.875" style="22" customWidth="1"/>
    <col min="2330" max="2524" width="9.125" style="22"/>
    <col min="2525" max="2525" width="4" style="22" customWidth="1"/>
    <col min="2526" max="2526" width="5.875" style="22" customWidth="1"/>
    <col min="2527" max="2527" width="6.375" style="22" customWidth="1"/>
    <col min="2528" max="2528" width="20.25" style="22" customWidth="1"/>
    <col min="2529" max="2529" width="7.375" style="22" customWidth="1"/>
    <col min="2530" max="2530" width="12.75" style="22" customWidth="1"/>
    <col min="2531" max="2531" width="5.875" style="22" customWidth="1"/>
    <col min="2532" max="2532" width="8.75" style="22" customWidth="1"/>
    <col min="2533" max="2533" width="25.625" style="22" customWidth="1"/>
    <col min="2534" max="2534" width="6" style="22" customWidth="1"/>
    <col min="2535" max="2535" width="7.375" style="22" customWidth="1"/>
    <col min="2536" max="2536" width="7.125" style="22" customWidth="1"/>
    <col min="2537" max="2537" width="7" style="22" customWidth="1"/>
    <col min="2538" max="2538" width="6" style="22" customWidth="1"/>
    <col min="2539" max="2539" width="6.25" style="22" customWidth="1"/>
    <col min="2540" max="2540" width="6.375" style="22" customWidth="1"/>
    <col min="2541" max="2541" width="19.125" style="22" customWidth="1"/>
    <col min="2542" max="2542" width="8.125" style="22" customWidth="1"/>
    <col min="2543" max="2543" width="8.75" style="22" customWidth="1"/>
    <col min="2544" max="2544" width="11.25" style="22" customWidth="1"/>
    <col min="2545" max="2545" width="22.875" style="22" customWidth="1"/>
    <col min="2546" max="2546" width="9.375" style="22" customWidth="1"/>
    <col min="2547" max="2547" width="9.875" style="22" customWidth="1"/>
    <col min="2548" max="2549" width="15.875" style="22" customWidth="1"/>
    <col min="2550" max="2550" width="15" style="22" customWidth="1"/>
    <col min="2551" max="2551" width="23.25" style="22" customWidth="1"/>
    <col min="2552" max="2552" width="26.375" style="22" customWidth="1"/>
    <col min="2553" max="2553" width="11.25" style="22" customWidth="1"/>
    <col min="2554" max="2554" width="19.625" style="22" customWidth="1"/>
    <col min="2555" max="2555" width="14.375" style="22" customWidth="1"/>
    <col min="2556" max="2556" width="18.375" style="22" customWidth="1"/>
    <col min="2557" max="2557" width="10.25" style="22" customWidth="1"/>
    <col min="2558" max="2558" width="36.375" style="22" customWidth="1"/>
    <col min="2559" max="2559" width="20.625" style="22" customWidth="1"/>
    <col min="2560" max="2560" width="16.375" style="22" customWidth="1"/>
    <col min="2561" max="2561" width="14.625" style="22" customWidth="1"/>
    <col min="2562" max="2562" width="10" style="22" customWidth="1"/>
    <col min="2563" max="2563" width="8" style="22" customWidth="1"/>
    <col min="2564" max="2564" width="16" style="22" customWidth="1"/>
    <col min="2565" max="2565" width="16.375" style="22" customWidth="1"/>
    <col min="2566" max="2566" width="9.125" style="22"/>
    <col min="2567" max="2567" width="16.25" style="22" customWidth="1"/>
    <col min="2568" max="2577" width="9.125" style="22"/>
    <col min="2578" max="2578" width="12.625" style="22" customWidth="1"/>
    <col min="2579" max="2579" width="22.875" style="22" customWidth="1"/>
    <col min="2580" max="2580" width="8.75" style="22" customWidth="1"/>
    <col min="2581" max="2581" width="19.75" style="22" customWidth="1"/>
    <col min="2582" max="2582" width="9.375" style="22" customWidth="1"/>
    <col min="2583" max="2583" width="9.125" style="22"/>
    <col min="2584" max="2584" width="10.875" style="22" customWidth="1"/>
    <col min="2585" max="2585" width="9.875" style="22" customWidth="1"/>
    <col min="2586" max="2780" width="9.125" style="22"/>
    <col min="2781" max="2781" width="4" style="22" customWidth="1"/>
    <col min="2782" max="2782" width="5.875" style="22" customWidth="1"/>
    <col min="2783" max="2783" width="6.375" style="22" customWidth="1"/>
    <col min="2784" max="2784" width="20.25" style="22" customWidth="1"/>
    <col min="2785" max="2785" width="7.375" style="22" customWidth="1"/>
    <col min="2786" max="2786" width="12.75" style="22" customWidth="1"/>
    <col min="2787" max="2787" width="5.875" style="22" customWidth="1"/>
    <col min="2788" max="2788" width="8.75" style="22" customWidth="1"/>
    <col min="2789" max="2789" width="25.625" style="22" customWidth="1"/>
    <col min="2790" max="2790" width="6" style="22" customWidth="1"/>
    <col min="2791" max="2791" width="7.375" style="22" customWidth="1"/>
    <col min="2792" max="2792" width="7.125" style="22" customWidth="1"/>
    <col min="2793" max="2793" width="7" style="22" customWidth="1"/>
    <col min="2794" max="2794" width="6" style="22" customWidth="1"/>
    <col min="2795" max="2795" width="6.25" style="22" customWidth="1"/>
    <col min="2796" max="2796" width="6.375" style="22" customWidth="1"/>
    <col min="2797" max="2797" width="19.125" style="22" customWidth="1"/>
    <col min="2798" max="2798" width="8.125" style="22" customWidth="1"/>
    <col min="2799" max="2799" width="8.75" style="22" customWidth="1"/>
    <col min="2800" max="2800" width="11.25" style="22" customWidth="1"/>
    <col min="2801" max="2801" width="22.875" style="22" customWidth="1"/>
    <col min="2802" max="2802" width="9.375" style="22" customWidth="1"/>
    <col min="2803" max="2803" width="9.875" style="22" customWidth="1"/>
    <col min="2804" max="2805" width="15.875" style="22" customWidth="1"/>
    <col min="2806" max="2806" width="15" style="22" customWidth="1"/>
    <col min="2807" max="2807" width="23.25" style="22" customWidth="1"/>
    <col min="2808" max="2808" width="26.375" style="22" customWidth="1"/>
    <col min="2809" max="2809" width="11.25" style="22" customWidth="1"/>
    <col min="2810" max="2810" width="19.625" style="22" customWidth="1"/>
    <col min="2811" max="2811" width="14.375" style="22" customWidth="1"/>
    <col min="2812" max="2812" width="18.375" style="22" customWidth="1"/>
    <col min="2813" max="2813" width="10.25" style="22" customWidth="1"/>
    <col min="2814" max="2814" width="36.375" style="22" customWidth="1"/>
    <col min="2815" max="2815" width="20.625" style="22" customWidth="1"/>
    <col min="2816" max="2816" width="16.375" style="22" customWidth="1"/>
    <col min="2817" max="2817" width="14.625" style="22" customWidth="1"/>
    <col min="2818" max="2818" width="10" style="22" customWidth="1"/>
    <col min="2819" max="2819" width="8" style="22" customWidth="1"/>
    <col min="2820" max="2820" width="16" style="22" customWidth="1"/>
    <col min="2821" max="2821" width="16.375" style="22" customWidth="1"/>
    <col min="2822" max="2822" width="9.125" style="22"/>
    <col min="2823" max="2823" width="16.25" style="22" customWidth="1"/>
    <col min="2824" max="2833" width="9.125" style="22"/>
    <col min="2834" max="2834" width="12.625" style="22" customWidth="1"/>
    <col min="2835" max="2835" width="22.875" style="22" customWidth="1"/>
    <col min="2836" max="2836" width="8.75" style="22" customWidth="1"/>
    <col min="2837" max="2837" width="19.75" style="22" customWidth="1"/>
    <col min="2838" max="2838" width="9.375" style="22" customWidth="1"/>
    <col min="2839" max="2839" width="9.125" style="22"/>
    <col min="2840" max="2840" width="10.875" style="22" customWidth="1"/>
    <col min="2841" max="2841" width="9.875" style="22" customWidth="1"/>
    <col min="2842" max="3036" width="9.125" style="22"/>
    <col min="3037" max="3037" width="4" style="22" customWidth="1"/>
    <col min="3038" max="3038" width="5.875" style="22" customWidth="1"/>
    <col min="3039" max="3039" width="6.375" style="22" customWidth="1"/>
    <col min="3040" max="3040" width="20.25" style="22" customWidth="1"/>
    <col min="3041" max="3041" width="7.375" style="22" customWidth="1"/>
    <col min="3042" max="3042" width="12.75" style="22" customWidth="1"/>
    <col min="3043" max="3043" width="5.875" style="22" customWidth="1"/>
    <col min="3044" max="3044" width="8.75" style="22" customWidth="1"/>
    <col min="3045" max="3045" width="25.625" style="22" customWidth="1"/>
    <col min="3046" max="3046" width="6" style="22" customWidth="1"/>
    <col min="3047" max="3047" width="7.375" style="22" customWidth="1"/>
    <col min="3048" max="3048" width="7.125" style="22" customWidth="1"/>
    <col min="3049" max="3049" width="7" style="22" customWidth="1"/>
    <col min="3050" max="3050" width="6" style="22" customWidth="1"/>
    <col min="3051" max="3051" width="6.25" style="22" customWidth="1"/>
    <col min="3052" max="3052" width="6.375" style="22" customWidth="1"/>
    <col min="3053" max="3053" width="19.125" style="22" customWidth="1"/>
    <col min="3054" max="3054" width="8.125" style="22" customWidth="1"/>
    <col min="3055" max="3055" width="8.75" style="22" customWidth="1"/>
    <col min="3056" max="3056" width="11.25" style="22" customWidth="1"/>
    <col min="3057" max="3057" width="22.875" style="22" customWidth="1"/>
    <col min="3058" max="3058" width="9.375" style="22" customWidth="1"/>
    <col min="3059" max="3059" width="9.875" style="22" customWidth="1"/>
    <col min="3060" max="3061" width="15.875" style="22" customWidth="1"/>
    <col min="3062" max="3062" width="15" style="22" customWidth="1"/>
    <col min="3063" max="3063" width="23.25" style="22" customWidth="1"/>
    <col min="3064" max="3064" width="26.375" style="22" customWidth="1"/>
    <col min="3065" max="3065" width="11.25" style="22" customWidth="1"/>
    <col min="3066" max="3066" width="19.625" style="22" customWidth="1"/>
    <col min="3067" max="3067" width="14.375" style="22" customWidth="1"/>
    <col min="3068" max="3068" width="18.375" style="22" customWidth="1"/>
    <col min="3069" max="3069" width="10.25" style="22" customWidth="1"/>
    <col min="3070" max="3070" width="36.375" style="22" customWidth="1"/>
    <col min="3071" max="3071" width="20.625" style="22" customWidth="1"/>
    <col min="3072" max="3072" width="16.375" style="22" customWidth="1"/>
    <col min="3073" max="3073" width="14.625" style="22" customWidth="1"/>
    <col min="3074" max="3074" width="10" style="22" customWidth="1"/>
    <col min="3075" max="3075" width="8" style="22" customWidth="1"/>
    <col min="3076" max="3076" width="16" style="22" customWidth="1"/>
    <col min="3077" max="3077" width="16.375" style="22" customWidth="1"/>
    <col min="3078" max="3078" width="9.125" style="22"/>
    <col min="3079" max="3079" width="16.25" style="22" customWidth="1"/>
    <col min="3080" max="3089" width="9.125" style="22"/>
    <col min="3090" max="3090" width="12.625" style="22" customWidth="1"/>
    <col min="3091" max="3091" width="22.875" style="22" customWidth="1"/>
    <col min="3092" max="3092" width="8.75" style="22" customWidth="1"/>
    <col min="3093" max="3093" width="19.75" style="22" customWidth="1"/>
    <col min="3094" max="3094" width="9.375" style="22" customWidth="1"/>
    <col min="3095" max="3095" width="9.125" style="22"/>
    <col min="3096" max="3096" width="10.875" style="22" customWidth="1"/>
    <col min="3097" max="3097" width="9.875" style="22" customWidth="1"/>
    <col min="3098" max="3292" width="9.125" style="22"/>
    <col min="3293" max="3293" width="4" style="22" customWidth="1"/>
    <col min="3294" max="3294" width="5.875" style="22" customWidth="1"/>
    <col min="3295" max="3295" width="6.375" style="22" customWidth="1"/>
    <col min="3296" max="3296" width="20.25" style="22" customWidth="1"/>
    <col min="3297" max="3297" width="7.375" style="22" customWidth="1"/>
    <col min="3298" max="3298" width="12.75" style="22" customWidth="1"/>
    <col min="3299" max="3299" width="5.875" style="22" customWidth="1"/>
    <col min="3300" max="3300" width="8.75" style="22" customWidth="1"/>
    <col min="3301" max="3301" width="25.625" style="22" customWidth="1"/>
    <col min="3302" max="3302" width="6" style="22" customWidth="1"/>
    <col min="3303" max="3303" width="7.375" style="22" customWidth="1"/>
    <col min="3304" max="3304" width="7.125" style="22" customWidth="1"/>
    <col min="3305" max="3305" width="7" style="22" customWidth="1"/>
    <col min="3306" max="3306" width="6" style="22" customWidth="1"/>
    <col min="3307" max="3307" width="6.25" style="22" customWidth="1"/>
    <col min="3308" max="3308" width="6.375" style="22" customWidth="1"/>
    <col min="3309" max="3309" width="19.125" style="22" customWidth="1"/>
    <col min="3310" max="3310" width="8.125" style="22" customWidth="1"/>
    <col min="3311" max="3311" width="8.75" style="22" customWidth="1"/>
    <col min="3312" max="3312" width="11.25" style="22" customWidth="1"/>
    <col min="3313" max="3313" width="22.875" style="22" customWidth="1"/>
    <col min="3314" max="3314" width="9.375" style="22" customWidth="1"/>
    <col min="3315" max="3315" width="9.875" style="22" customWidth="1"/>
    <col min="3316" max="3317" width="15.875" style="22" customWidth="1"/>
    <col min="3318" max="3318" width="15" style="22" customWidth="1"/>
    <col min="3319" max="3319" width="23.25" style="22" customWidth="1"/>
    <col min="3320" max="3320" width="26.375" style="22" customWidth="1"/>
    <col min="3321" max="3321" width="11.25" style="22" customWidth="1"/>
    <col min="3322" max="3322" width="19.625" style="22" customWidth="1"/>
    <col min="3323" max="3323" width="14.375" style="22" customWidth="1"/>
    <col min="3324" max="3324" width="18.375" style="22" customWidth="1"/>
    <col min="3325" max="3325" width="10.25" style="22" customWidth="1"/>
    <col min="3326" max="3326" width="36.375" style="22" customWidth="1"/>
    <col min="3327" max="3327" width="20.625" style="22" customWidth="1"/>
    <col min="3328" max="3328" width="16.375" style="22" customWidth="1"/>
    <col min="3329" max="3329" width="14.625" style="22" customWidth="1"/>
    <col min="3330" max="3330" width="10" style="22" customWidth="1"/>
    <col min="3331" max="3331" width="8" style="22" customWidth="1"/>
    <col min="3332" max="3332" width="16" style="22" customWidth="1"/>
    <col min="3333" max="3333" width="16.375" style="22" customWidth="1"/>
    <col min="3334" max="3334" width="9.125" style="22"/>
    <col min="3335" max="3335" width="16.25" style="22" customWidth="1"/>
    <col min="3336" max="3345" width="9.125" style="22"/>
    <col min="3346" max="3346" width="12.625" style="22" customWidth="1"/>
    <col min="3347" max="3347" width="22.875" style="22" customWidth="1"/>
    <col min="3348" max="3348" width="8.75" style="22" customWidth="1"/>
    <col min="3349" max="3349" width="19.75" style="22" customWidth="1"/>
    <col min="3350" max="3350" width="9.375" style="22" customWidth="1"/>
    <col min="3351" max="3351" width="9.125" style="22"/>
    <col min="3352" max="3352" width="10.875" style="22" customWidth="1"/>
    <col min="3353" max="3353" width="9.875" style="22" customWidth="1"/>
    <col min="3354" max="3548" width="9.125" style="22"/>
    <col min="3549" max="3549" width="4" style="22" customWidth="1"/>
    <col min="3550" max="3550" width="5.875" style="22" customWidth="1"/>
    <col min="3551" max="3551" width="6.375" style="22" customWidth="1"/>
    <col min="3552" max="3552" width="20.25" style="22" customWidth="1"/>
    <col min="3553" max="3553" width="7.375" style="22" customWidth="1"/>
    <col min="3554" max="3554" width="12.75" style="22" customWidth="1"/>
    <col min="3555" max="3555" width="5.875" style="22" customWidth="1"/>
    <col min="3556" max="3556" width="8.75" style="22" customWidth="1"/>
    <col min="3557" max="3557" width="25.625" style="22" customWidth="1"/>
    <col min="3558" max="3558" width="6" style="22" customWidth="1"/>
    <col min="3559" max="3559" width="7.375" style="22" customWidth="1"/>
    <col min="3560" max="3560" width="7.125" style="22" customWidth="1"/>
    <col min="3561" max="3561" width="7" style="22" customWidth="1"/>
    <col min="3562" max="3562" width="6" style="22" customWidth="1"/>
    <col min="3563" max="3563" width="6.25" style="22" customWidth="1"/>
    <col min="3564" max="3564" width="6.375" style="22" customWidth="1"/>
    <col min="3565" max="3565" width="19.125" style="22" customWidth="1"/>
    <col min="3566" max="3566" width="8.125" style="22" customWidth="1"/>
    <col min="3567" max="3567" width="8.75" style="22" customWidth="1"/>
    <col min="3568" max="3568" width="11.25" style="22" customWidth="1"/>
    <col min="3569" max="3569" width="22.875" style="22" customWidth="1"/>
    <col min="3570" max="3570" width="9.375" style="22" customWidth="1"/>
    <col min="3571" max="3571" width="9.875" style="22" customWidth="1"/>
    <col min="3572" max="3573" width="15.875" style="22" customWidth="1"/>
    <col min="3574" max="3574" width="15" style="22" customWidth="1"/>
    <col min="3575" max="3575" width="23.25" style="22" customWidth="1"/>
    <col min="3576" max="3576" width="26.375" style="22" customWidth="1"/>
    <col min="3577" max="3577" width="11.25" style="22" customWidth="1"/>
    <col min="3578" max="3578" width="19.625" style="22" customWidth="1"/>
    <col min="3579" max="3579" width="14.375" style="22" customWidth="1"/>
    <col min="3580" max="3580" width="18.375" style="22" customWidth="1"/>
    <col min="3581" max="3581" width="10.25" style="22" customWidth="1"/>
    <col min="3582" max="3582" width="36.375" style="22" customWidth="1"/>
    <col min="3583" max="3583" width="20.625" style="22" customWidth="1"/>
    <col min="3584" max="3584" width="16.375" style="22" customWidth="1"/>
    <col min="3585" max="3585" width="14.625" style="22" customWidth="1"/>
    <col min="3586" max="3586" width="10" style="22" customWidth="1"/>
    <col min="3587" max="3587" width="8" style="22" customWidth="1"/>
    <col min="3588" max="3588" width="16" style="22" customWidth="1"/>
    <col min="3589" max="3589" width="16.375" style="22" customWidth="1"/>
    <col min="3590" max="3590" width="9.125" style="22"/>
    <col min="3591" max="3591" width="16.25" style="22" customWidth="1"/>
    <col min="3592" max="3601" width="9.125" style="22"/>
    <col min="3602" max="3602" width="12.625" style="22" customWidth="1"/>
    <col min="3603" max="3603" width="22.875" style="22" customWidth="1"/>
    <col min="3604" max="3604" width="8.75" style="22" customWidth="1"/>
    <col min="3605" max="3605" width="19.75" style="22" customWidth="1"/>
    <col min="3606" max="3606" width="9.375" style="22" customWidth="1"/>
    <col min="3607" max="3607" width="9.125" style="22"/>
    <col min="3608" max="3608" width="10.875" style="22" customWidth="1"/>
    <col min="3609" max="3609" width="9.875" style="22" customWidth="1"/>
    <col min="3610" max="3804" width="9.125" style="22"/>
    <col min="3805" max="3805" width="4" style="22" customWidth="1"/>
    <col min="3806" max="3806" width="5.875" style="22" customWidth="1"/>
    <col min="3807" max="3807" width="6.375" style="22" customWidth="1"/>
    <col min="3808" max="3808" width="20.25" style="22" customWidth="1"/>
    <col min="3809" max="3809" width="7.375" style="22" customWidth="1"/>
    <col min="3810" max="3810" width="12.75" style="22" customWidth="1"/>
    <col min="3811" max="3811" width="5.875" style="22" customWidth="1"/>
    <col min="3812" max="3812" width="8.75" style="22" customWidth="1"/>
    <col min="3813" max="3813" width="25.625" style="22" customWidth="1"/>
    <col min="3814" max="3814" width="6" style="22" customWidth="1"/>
    <col min="3815" max="3815" width="7.375" style="22" customWidth="1"/>
    <col min="3816" max="3816" width="7.125" style="22" customWidth="1"/>
    <col min="3817" max="3817" width="7" style="22" customWidth="1"/>
    <col min="3818" max="3818" width="6" style="22" customWidth="1"/>
    <col min="3819" max="3819" width="6.25" style="22" customWidth="1"/>
    <col min="3820" max="3820" width="6.375" style="22" customWidth="1"/>
    <col min="3821" max="3821" width="19.125" style="22" customWidth="1"/>
    <col min="3822" max="3822" width="8.125" style="22" customWidth="1"/>
    <col min="3823" max="3823" width="8.75" style="22" customWidth="1"/>
    <col min="3824" max="3824" width="11.25" style="22" customWidth="1"/>
    <col min="3825" max="3825" width="22.875" style="22" customWidth="1"/>
    <col min="3826" max="3826" width="9.375" style="22" customWidth="1"/>
    <col min="3827" max="3827" width="9.875" style="22" customWidth="1"/>
    <col min="3828" max="3829" width="15.875" style="22" customWidth="1"/>
    <col min="3830" max="3830" width="15" style="22" customWidth="1"/>
    <col min="3831" max="3831" width="23.25" style="22" customWidth="1"/>
    <col min="3832" max="3832" width="26.375" style="22" customWidth="1"/>
    <col min="3833" max="3833" width="11.25" style="22" customWidth="1"/>
    <col min="3834" max="3834" width="19.625" style="22" customWidth="1"/>
    <col min="3835" max="3835" width="14.375" style="22" customWidth="1"/>
    <col min="3836" max="3836" width="18.375" style="22" customWidth="1"/>
    <col min="3837" max="3837" width="10.25" style="22" customWidth="1"/>
    <col min="3838" max="3838" width="36.375" style="22" customWidth="1"/>
    <col min="3839" max="3839" width="20.625" style="22" customWidth="1"/>
    <col min="3840" max="3840" width="16.375" style="22" customWidth="1"/>
    <col min="3841" max="3841" width="14.625" style="22" customWidth="1"/>
    <col min="3842" max="3842" width="10" style="22" customWidth="1"/>
    <col min="3843" max="3843" width="8" style="22" customWidth="1"/>
    <col min="3844" max="3844" width="16" style="22" customWidth="1"/>
    <col min="3845" max="3845" width="16.375" style="22" customWidth="1"/>
    <col min="3846" max="3846" width="9.125" style="22"/>
    <col min="3847" max="3847" width="16.25" style="22" customWidth="1"/>
    <col min="3848" max="3857" width="9.125" style="22"/>
    <col min="3858" max="3858" width="12.625" style="22" customWidth="1"/>
    <col min="3859" max="3859" width="22.875" style="22" customWidth="1"/>
    <col min="3860" max="3860" width="8.75" style="22" customWidth="1"/>
    <col min="3861" max="3861" width="19.75" style="22" customWidth="1"/>
    <col min="3862" max="3862" width="9.375" style="22" customWidth="1"/>
    <col min="3863" max="3863" width="9.125" style="22"/>
    <col min="3864" max="3864" width="10.875" style="22" customWidth="1"/>
    <col min="3865" max="3865" width="9.875" style="22" customWidth="1"/>
    <col min="3866" max="4060" width="9.125" style="22"/>
    <col min="4061" max="4061" width="4" style="22" customWidth="1"/>
    <col min="4062" max="4062" width="5.875" style="22" customWidth="1"/>
    <col min="4063" max="4063" width="6.375" style="22" customWidth="1"/>
    <col min="4064" max="4064" width="20.25" style="22" customWidth="1"/>
    <col min="4065" max="4065" width="7.375" style="22" customWidth="1"/>
    <col min="4066" max="4066" width="12.75" style="22" customWidth="1"/>
    <col min="4067" max="4067" width="5.875" style="22" customWidth="1"/>
    <col min="4068" max="4068" width="8.75" style="22" customWidth="1"/>
    <col min="4069" max="4069" width="25.625" style="22" customWidth="1"/>
    <col min="4070" max="4070" width="6" style="22" customWidth="1"/>
    <col min="4071" max="4071" width="7.375" style="22" customWidth="1"/>
    <col min="4072" max="4072" width="7.125" style="22" customWidth="1"/>
    <col min="4073" max="4073" width="7" style="22" customWidth="1"/>
    <col min="4074" max="4074" width="6" style="22" customWidth="1"/>
    <col min="4075" max="4075" width="6.25" style="22" customWidth="1"/>
    <col min="4076" max="4076" width="6.375" style="22" customWidth="1"/>
    <col min="4077" max="4077" width="19.125" style="22" customWidth="1"/>
    <col min="4078" max="4078" width="8.125" style="22" customWidth="1"/>
    <col min="4079" max="4079" width="8.75" style="22" customWidth="1"/>
    <col min="4080" max="4080" width="11.25" style="22" customWidth="1"/>
    <col min="4081" max="4081" width="22.875" style="22" customWidth="1"/>
    <col min="4082" max="4082" width="9.375" style="22" customWidth="1"/>
    <col min="4083" max="4083" width="9.875" style="22" customWidth="1"/>
    <col min="4084" max="4085" width="15.875" style="22" customWidth="1"/>
    <col min="4086" max="4086" width="15" style="22" customWidth="1"/>
    <col min="4087" max="4087" width="23.25" style="22" customWidth="1"/>
    <col min="4088" max="4088" width="26.375" style="22" customWidth="1"/>
    <col min="4089" max="4089" width="11.25" style="22" customWidth="1"/>
    <col min="4090" max="4090" width="19.625" style="22" customWidth="1"/>
    <col min="4091" max="4091" width="14.375" style="22" customWidth="1"/>
    <col min="4092" max="4092" width="18.375" style="22" customWidth="1"/>
    <col min="4093" max="4093" width="10.25" style="22" customWidth="1"/>
    <col min="4094" max="4094" width="36.375" style="22" customWidth="1"/>
    <col min="4095" max="4095" width="20.625" style="22" customWidth="1"/>
    <col min="4096" max="4096" width="16.375" style="22" customWidth="1"/>
    <col min="4097" max="4097" width="14.625" style="22" customWidth="1"/>
    <col min="4098" max="4098" width="10" style="22" customWidth="1"/>
    <col min="4099" max="4099" width="8" style="22" customWidth="1"/>
    <col min="4100" max="4100" width="16" style="22" customWidth="1"/>
    <col min="4101" max="4101" width="16.375" style="22" customWidth="1"/>
    <col min="4102" max="4102" width="9.125" style="22"/>
    <col min="4103" max="4103" width="16.25" style="22" customWidth="1"/>
    <col min="4104" max="4113" width="9.125" style="22"/>
    <col min="4114" max="4114" width="12.625" style="22" customWidth="1"/>
    <col min="4115" max="4115" width="22.875" style="22" customWidth="1"/>
    <col min="4116" max="4116" width="8.75" style="22" customWidth="1"/>
    <col min="4117" max="4117" width="19.75" style="22" customWidth="1"/>
    <col min="4118" max="4118" width="9.375" style="22" customWidth="1"/>
    <col min="4119" max="4119" width="9.125" style="22"/>
    <col min="4120" max="4120" width="10.875" style="22" customWidth="1"/>
    <col min="4121" max="4121" width="9.875" style="22" customWidth="1"/>
    <col min="4122" max="4316" width="9.125" style="22"/>
    <col min="4317" max="4317" width="4" style="22" customWidth="1"/>
    <col min="4318" max="4318" width="5.875" style="22" customWidth="1"/>
    <col min="4319" max="4319" width="6.375" style="22" customWidth="1"/>
    <col min="4320" max="4320" width="20.25" style="22" customWidth="1"/>
    <col min="4321" max="4321" width="7.375" style="22" customWidth="1"/>
    <col min="4322" max="4322" width="12.75" style="22" customWidth="1"/>
    <col min="4323" max="4323" width="5.875" style="22" customWidth="1"/>
    <col min="4324" max="4324" width="8.75" style="22" customWidth="1"/>
    <col min="4325" max="4325" width="25.625" style="22" customWidth="1"/>
    <col min="4326" max="4326" width="6" style="22" customWidth="1"/>
    <col min="4327" max="4327" width="7.375" style="22" customWidth="1"/>
    <col min="4328" max="4328" width="7.125" style="22" customWidth="1"/>
    <col min="4329" max="4329" width="7" style="22" customWidth="1"/>
    <col min="4330" max="4330" width="6" style="22" customWidth="1"/>
    <col min="4331" max="4331" width="6.25" style="22" customWidth="1"/>
    <col min="4332" max="4332" width="6.375" style="22" customWidth="1"/>
    <col min="4333" max="4333" width="19.125" style="22" customWidth="1"/>
    <col min="4334" max="4334" width="8.125" style="22" customWidth="1"/>
    <col min="4335" max="4335" width="8.75" style="22" customWidth="1"/>
    <col min="4336" max="4336" width="11.25" style="22" customWidth="1"/>
    <col min="4337" max="4337" width="22.875" style="22" customWidth="1"/>
    <col min="4338" max="4338" width="9.375" style="22" customWidth="1"/>
    <col min="4339" max="4339" width="9.875" style="22" customWidth="1"/>
    <col min="4340" max="4341" width="15.875" style="22" customWidth="1"/>
    <col min="4342" max="4342" width="15" style="22" customWidth="1"/>
    <col min="4343" max="4343" width="23.25" style="22" customWidth="1"/>
    <col min="4344" max="4344" width="26.375" style="22" customWidth="1"/>
    <col min="4345" max="4345" width="11.25" style="22" customWidth="1"/>
    <col min="4346" max="4346" width="19.625" style="22" customWidth="1"/>
    <col min="4347" max="4347" width="14.375" style="22" customWidth="1"/>
    <col min="4348" max="4348" width="18.375" style="22" customWidth="1"/>
    <col min="4349" max="4349" width="10.25" style="22" customWidth="1"/>
    <col min="4350" max="4350" width="36.375" style="22" customWidth="1"/>
    <col min="4351" max="4351" width="20.625" style="22" customWidth="1"/>
    <col min="4352" max="4352" width="16.375" style="22" customWidth="1"/>
    <col min="4353" max="4353" width="14.625" style="22" customWidth="1"/>
    <col min="4354" max="4354" width="10" style="22" customWidth="1"/>
    <col min="4355" max="4355" width="8" style="22" customWidth="1"/>
    <col min="4356" max="4356" width="16" style="22" customWidth="1"/>
    <col min="4357" max="4357" width="16.375" style="22" customWidth="1"/>
    <col min="4358" max="4358" width="9.125" style="22"/>
    <col min="4359" max="4359" width="16.25" style="22" customWidth="1"/>
    <col min="4360" max="4369" width="9.125" style="22"/>
    <col min="4370" max="4370" width="12.625" style="22" customWidth="1"/>
    <col min="4371" max="4371" width="22.875" style="22" customWidth="1"/>
    <col min="4372" max="4372" width="8.75" style="22" customWidth="1"/>
    <col min="4373" max="4373" width="19.75" style="22" customWidth="1"/>
    <col min="4374" max="4374" width="9.375" style="22" customWidth="1"/>
    <col min="4375" max="4375" width="9.125" style="22"/>
    <col min="4376" max="4376" width="10.875" style="22" customWidth="1"/>
    <col min="4377" max="4377" width="9.875" style="22" customWidth="1"/>
    <col min="4378" max="4572" width="9.125" style="22"/>
    <col min="4573" max="4573" width="4" style="22" customWidth="1"/>
    <col min="4574" max="4574" width="5.875" style="22" customWidth="1"/>
    <col min="4575" max="4575" width="6.375" style="22" customWidth="1"/>
    <col min="4576" max="4576" width="20.25" style="22" customWidth="1"/>
    <col min="4577" max="4577" width="7.375" style="22" customWidth="1"/>
    <col min="4578" max="4578" width="12.75" style="22" customWidth="1"/>
    <col min="4579" max="4579" width="5.875" style="22" customWidth="1"/>
    <col min="4580" max="4580" width="8.75" style="22" customWidth="1"/>
    <col min="4581" max="4581" width="25.625" style="22" customWidth="1"/>
    <col min="4582" max="4582" width="6" style="22" customWidth="1"/>
    <col min="4583" max="4583" width="7.375" style="22" customWidth="1"/>
    <col min="4584" max="4584" width="7.125" style="22" customWidth="1"/>
    <col min="4585" max="4585" width="7" style="22" customWidth="1"/>
    <col min="4586" max="4586" width="6" style="22" customWidth="1"/>
    <col min="4587" max="4587" width="6.25" style="22" customWidth="1"/>
    <col min="4588" max="4588" width="6.375" style="22" customWidth="1"/>
    <col min="4589" max="4589" width="19.125" style="22" customWidth="1"/>
    <col min="4590" max="4590" width="8.125" style="22" customWidth="1"/>
    <col min="4591" max="4591" width="8.75" style="22" customWidth="1"/>
    <col min="4592" max="4592" width="11.25" style="22" customWidth="1"/>
    <col min="4593" max="4593" width="22.875" style="22" customWidth="1"/>
    <col min="4594" max="4594" width="9.375" style="22" customWidth="1"/>
    <col min="4595" max="4595" width="9.875" style="22" customWidth="1"/>
    <col min="4596" max="4597" width="15.875" style="22" customWidth="1"/>
    <col min="4598" max="4598" width="15" style="22" customWidth="1"/>
    <col min="4599" max="4599" width="23.25" style="22" customWidth="1"/>
    <col min="4600" max="4600" width="26.375" style="22" customWidth="1"/>
    <col min="4601" max="4601" width="11.25" style="22" customWidth="1"/>
    <col min="4602" max="4602" width="19.625" style="22" customWidth="1"/>
    <col min="4603" max="4603" width="14.375" style="22" customWidth="1"/>
    <col min="4604" max="4604" width="18.375" style="22" customWidth="1"/>
    <col min="4605" max="4605" width="10.25" style="22" customWidth="1"/>
    <col min="4606" max="4606" width="36.375" style="22" customWidth="1"/>
    <col min="4607" max="4607" width="20.625" style="22" customWidth="1"/>
    <col min="4608" max="4608" width="16.375" style="22" customWidth="1"/>
    <col min="4609" max="4609" width="14.625" style="22" customWidth="1"/>
    <col min="4610" max="4610" width="10" style="22" customWidth="1"/>
    <col min="4611" max="4611" width="8" style="22" customWidth="1"/>
    <col min="4612" max="4612" width="16" style="22" customWidth="1"/>
    <col min="4613" max="4613" width="16.375" style="22" customWidth="1"/>
    <col min="4614" max="4614" width="9.125" style="22"/>
    <col min="4615" max="4615" width="16.25" style="22" customWidth="1"/>
    <col min="4616" max="4625" width="9.125" style="22"/>
    <col min="4626" max="4626" width="12.625" style="22" customWidth="1"/>
    <col min="4627" max="4627" width="22.875" style="22" customWidth="1"/>
    <col min="4628" max="4628" width="8.75" style="22" customWidth="1"/>
    <col min="4629" max="4629" width="19.75" style="22" customWidth="1"/>
    <col min="4630" max="4630" width="9.375" style="22" customWidth="1"/>
    <col min="4631" max="4631" width="9.125" style="22"/>
    <col min="4632" max="4632" width="10.875" style="22" customWidth="1"/>
    <col min="4633" max="4633" width="9.875" style="22" customWidth="1"/>
    <col min="4634" max="4828" width="9.125" style="22"/>
    <col min="4829" max="4829" width="4" style="22" customWidth="1"/>
    <col min="4830" max="4830" width="5.875" style="22" customWidth="1"/>
    <col min="4831" max="4831" width="6.375" style="22" customWidth="1"/>
    <col min="4832" max="4832" width="20.25" style="22" customWidth="1"/>
    <col min="4833" max="4833" width="7.375" style="22" customWidth="1"/>
    <col min="4834" max="4834" width="12.75" style="22" customWidth="1"/>
    <col min="4835" max="4835" width="5.875" style="22" customWidth="1"/>
    <col min="4836" max="4836" width="8.75" style="22" customWidth="1"/>
    <col min="4837" max="4837" width="25.625" style="22" customWidth="1"/>
    <col min="4838" max="4838" width="6" style="22" customWidth="1"/>
    <col min="4839" max="4839" width="7.375" style="22" customWidth="1"/>
    <col min="4840" max="4840" width="7.125" style="22" customWidth="1"/>
    <col min="4841" max="4841" width="7" style="22" customWidth="1"/>
    <col min="4842" max="4842" width="6" style="22" customWidth="1"/>
    <col min="4843" max="4843" width="6.25" style="22" customWidth="1"/>
    <col min="4844" max="4844" width="6.375" style="22" customWidth="1"/>
    <col min="4845" max="4845" width="19.125" style="22" customWidth="1"/>
    <col min="4846" max="4846" width="8.125" style="22" customWidth="1"/>
    <col min="4847" max="4847" width="8.75" style="22" customWidth="1"/>
    <col min="4848" max="4848" width="11.25" style="22" customWidth="1"/>
    <col min="4849" max="4849" width="22.875" style="22" customWidth="1"/>
    <col min="4850" max="4850" width="9.375" style="22" customWidth="1"/>
    <col min="4851" max="4851" width="9.875" style="22" customWidth="1"/>
    <col min="4852" max="4853" width="15.875" style="22" customWidth="1"/>
    <col min="4854" max="4854" width="15" style="22" customWidth="1"/>
    <col min="4855" max="4855" width="23.25" style="22" customWidth="1"/>
    <col min="4856" max="4856" width="26.375" style="22" customWidth="1"/>
    <col min="4857" max="4857" width="11.25" style="22" customWidth="1"/>
    <col min="4858" max="4858" width="19.625" style="22" customWidth="1"/>
    <col min="4859" max="4859" width="14.375" style="22" customWidth="1"/>
    <col min="4860" max="4860" width="18.375" style="22" customWidth="1"/>
    <col min="4861" max="4861" width="10.25" style="22" customWidth="1"/>
    <col min="4862" max="4862" width="36.375" style="22" customWidth="1"/>
    <col min="4863" max="4863" width="20.625" style="22" customWidth="1"/>
    <col min="4864" max="4864" width="16.375" style="22" customWidth="1"/>
    <col min="4865" max="4865" width="14.625" style="22" customWidth="1"/>
    <col min="4866" max="4866" width="10" style="22" customWidth="1"/>
    <col min="4867" max="4867" width="8" style="22" customWidth="1"/>
    <col min="4868" max="4868" width="16" style="22" customWidth="1"/>
    <col min="4869" max="4869" width="16.375" style="22" customWidth="1"/>
    <col min="4870" max="4870" width="9.125" style="22"/>
    <col min="4871" max="4871" width="16.25" style="22" customWidth="1"/>
    <col min="4872" max="4881" width="9.125" style="22"/>
    <col min="4882" max="4882" width="12.625" style="22" customWidth="1"/>
    <col min="4883" max="4883" width="22.875" style="22" customWidth="1"/>
    <col min="4884" max="4884" width="8.75" style="22" customWidth="1"/>
    <col min="4885" max="4885" width="19.75" style="22" customWidth="1"/>
    <col min="4886" max="4886" width="9.375" style="22" customWidth="1"/>
    <col min="4887" max="4887" width="9.125" style="22"/>
    <col min="4888" max="4888" width="10.875" style="22" customWidth="1"/>
    <col min="4889" max="4889" width="9.875" style="22" customWidth="1"/>
    <col min="4890" max="5084" width="9.125" style="22"/>
    <col min="5085" max="5085" width="4" style="22" customWidth="1"/>
    <col min="5086" max="5086" width="5.875" style="22" customWidth="1"/>
    <col min="5087" max="5087" width="6.375" style="22" customWidth="1"/>
    <col min="5088" max="5088" width="20.25" style="22" customWidth="1"/>
    <col min="5089" max="5089" width="7.375" style="22" customWidth="1"/>
    <col min="5090" max="5090" width="12.75" style="22" customWidth="1"/>
    <col min="5091" max="5091" width="5.875" style="22" customWidth="1"/>
    <col min="5092" max="5092" width="8.75" style="22" customWidth="1"/>
    <col min="5093" max="5093" width="25.625" style="22" customWidth="1"/>
    <col min="5094" max="5094" width="6" style="22" customWidth="1"/>
    <col min="5095" max="5095" width="7.375" style="22" customWidth="1"/>
    <col min="5096" max="5096" width="7.125" style="22" customWidth="1"/>
    <col min="5097" max="5097" width="7" style="22" customWidth="1"/>
    <col min="5098" max="5098" width="6" style="22" customWidth="1"/>
    <col min="5099" max="5099" width="6.25" style="22" customWidth="1"/>
    <col min="5100" max="5100" width="6.375" style="22" customWidth="1"/>
    <col min="5101" max="5101" width="19.125" style="22" customWidth="1"/>
    <col min="5102" max="5102" width="8.125" style="22" customWidth="1"/>
    <col min="5103" max="5103" width="8.75" style="22" customWidth="1"/>
    <col min="5104" max="5104" width="11.25" style="22" customWidth="1"/>
    <col min="5105" max="5105" width="22.875" style="22" customWidth="1"/>
    <col min="5106" max="5106" width="9.375" style="22" customWidth="1"/>
    <col min="5107" max="5107" width="9.875" style="22" customWidth="1"/>
    <col min="5108" max="5109" width="15.875" style="22" customWidth="1"/>
    <col min="5110" max="5110" width="15" style="22" customWidth="1"/>
    <col min="5111" max="5111" width="23.25" style="22" customWidth="1"/>
    <col min="5112" max="5112" width="26.375" style="22" customWidth="1"/>
    <col min="5113" max="5113" width="11.25" style="22" customWidth="1"/>
    <col min="5114" max="5114" width="19.625" style="22" customWidth="1"/>
    <col min="5115" max="5115" width="14.375" style="22" customWidth="1"/>
    <col min="5116" max="5116" width="18.375" style="22" customWidth="1"/>
    <col min="5117" max="5117" width="10.25" style="22" customWidth="1"/>
    <col min="5118" max="5118" width="36.375" style="22" customWidth="1"/>
    <col min="5119" max="5119" width="20.625" style="22" customWidth="1"/>
    <col min="5120" max="5120" width="16.375" style="22" customWidth="1"/>
    <col min="5121" max="5121" width="14.625" style="22" customWidth="1"/>
    <col min="5122" max="5122" width="10" style="22" customWidth="1"/>
    <col min="5123" max="5123" width="8" style="22" customWidth="1"/>
    <col min="5124" max="5124" width="16" style="22" customWidth="1"/>
    <col min="5125" max="5125" width="16.375" style="22" customWidth="1"/>
    <col min="5126" max="5126" width="9.125" style="22"/>
    <col min="5127" max="5127" width="16.25" style="22" customWidth="1"/>
    <col min="5128" max="5137" width="9.125" style="22"/>
    <col min="5138" max="5138" width="12.625" style="22" customWidth="1"/>
    <col min="5139" max="5139" width="22.875" style="22" customWidth="1"/>
    <col min="5140" max="5140" width="8.75" style="22" customWidth="1"/>
    <col min="5141" max="5141" width="19.75" style="22" customWidth="1"/>
    <col min="5142" max="5142" width="9.375" style="22" customWidth="1"/>
    <col min="5143" max="5143" width="9.125" style="22"/>
    <col min="5144" max="5144" width="10.875" style="22" customWidth="1"/>
    <col min="5145" max="5145" width="9.875" style="22" customWidth="1"/>
    <col min="5146" max="5340" width="9.125" style="22"/>
    <col min="5341" max="5341" width="4" style="22" customWidth="1"/>
    <col min="5342" max="5342" width="5.875" style="22" customWidth="1"/>
    <col min="5343" max="5343" width="6.375" style="22" customWidth="1"/>
    <col min="5344" max="5344" width="20.25" style="22" customWidth="1"/>
    <col min="5345" max="5345" width="7.375" style="22" customWidth="1"/>
    <col min="5346" max="5346" width="12.75" style="22" customWidth="1"/>
    <col min="5347" max="5347" width="5.875" style="22" customWidth="1"/>
    <col min="5348" max="5348" width="8.75" style="22" customWidth="1"/>
    <col min="5349" max="5349" width="25.625" style="22" customWidth="1"/>
    <col min="5350" max="5350" width="6" style="22" customWidth="1"/>
    <col min="5351" max="5351" width="7.375" style="22" customWidth="1"/>
    <col min="5352" max="5352" width="7.125" style="22" customWidth="1"/>
    <col min="5353" max="5353" width="7" style="22" customWidth="1"/>
    <col min="5354" max="5354" width="6" style="22" customWidth="1"/>
    <col min="5355" max="5355" width="6.25" style="22" customWidth="1"/>
    <col min="5356" max="5356" width="6.375" style="22" customWidth="1"/>
    <col min="5357" max="5357" width="19.125" style="22" customWidth="1"/>
    <col min="5358" max="5358" width="8.125" style="22" customWidth="1"/>
    <col min="5359" max="5359" width="8.75" style="22" customWidth="1"/>
    <col min="5360" max="5360" width="11.25" style="22" customWidth="1"/>
    <col min="5361" max="5361" width="22.875" style="22" customWidth="1"/>
    <col min="5362" max="5362" width="9.375" style="22" customWidth="1"/>
    <col min="5363" max="5363" width="9.875" style="22" customWidth="1"/>
    <col min="5364" max="5365" width="15.875" style="22" customWidth="1"/>
    <col min="5366" max="5366" width="15" style="22" customWidth="1"/>
    <col min="5367" max="5367" width="23.25" style="22" customWidth="1"/>
    <col min="5368" max="5368" width="26.375" style="22" customWidth="1"/>
    <col min="5369" max="5369" width="11.25" style="22" customWidth="1"/>
    <col min="5370" max="5370" width="19.625" style="22" customWidth="1"/>
    <col min="5371" max="5371" width="14.375" style="22" customWidth="1"/>
    <col min="5372" max="5372" width="18.375" style="22" customWidth="1"/>
    <col min="5373" max="5373" width="10.25" style="22" customWidth="1"/>
    <col min="5374" max="5374" width="36.375" style="22" customWidth="1"/>
    <col min="5375" max="5375" width="20.625" style="22" customWidth="1"/>
    <col min="5376" max="5376" width="16.375" style="22" customWidth="1"/>
    <col min="5377" max="5377" width="14.625" style="22" customWidth="1"/>
    <col min="5378" max="5378" width="10" style="22" customWidth="1"/>
    <col min="5379" max="5379" width="8" style="22" customWidth="1"/>
    <col min="5380" max="5380" width="16" style="22" customWidth="1"/>
    <col min="5381" max="5381" width="16.375" style="22" customWidth="1"/>
    <col min="5382" max="5382" width="9.125" style="22"/>
    <col min="5383" max="5383" width="16.25" style="22" customWidth="1"/>
    <col min="5384" max="5393" width="9.125" style="22"/>
    <col min="5394" max="5394" width="12.625" style="22" customWidth="1"/>
    <col min="5395" max="5395" width="22.875" style="22" customWidth="1"/>
    <col min="5396" max="5396" width="8.75" style="22" customWidth="1"/>
    <col min="5397" max="5397" width="19.75" style="22" customWidth="1"/>
    <col min="5398" max="5398" width="9.375" style="22" customWidth="1"/>
    <col min="5399" max="5399" width="9.125" style="22"/>
    <col min="5400" max="5400" width="10.875" style="22" customWidth="1"/>
    <col min="5401" max="5401" width="9.875" style="22" customWidth="1"/>
    <col min="5402" max="5596" width="9.125" style="22"/>
    <col min="5597" max="5597" width="4" style="22" customWidth="1"/>
    <col min="5598" max="5598" width="5.875" style="22" customWidth="1"/>
    <col min="5599" max="5599" width="6.375" style="22" customWidth="1"/>
    <col min="5600" max="5600" width="20.25" style="22" customWidth="1"/>
    <col min="5601" max="5601" width="7.375" style="22" customWidth="1"/>
    <col min="5602" max="5602" width="12.75" style="22" customWidth="1"/>
    <col min="5603" max="5603" width="5.875" style="22" customWidth="1"/>
    <col min="5604" max="5604" width="8.75" style="22" customWidth="1"/>
    <col min="5605" max="5605" width="25.625" style="22" customWidth="1"/>
    <col min="5606" max="5606" width="6" style="22" customWidth="1"/>
    <col min="5607" max="5607" width="7.375" style="22" customWidth="1"/>
    <col min="5608" max="5608" width="7.125" style="22" customWidth="1"/>
    <col min="5609" max="5609" width="7" style="22" customWidth="1"/>
    <col min="5610" max="5610" width="6" style="22" customWidth="1"/>
    <col min="5611" max="5611" width="6.25" style="22" customWidth="1"/>
    <col min="5612" max="5612" width="6.375" style="22" customWidth="1"/>
    <col min="5613" max="5613" width="19.125" style="22" customWidth="1"/>
    <col min="5614" max="5614" width="8.125" style="22" customWidth="1"/>
    <col min="5615" max="5615" width="8.75" style="22" customWidth="1"/>
    <col min="5616" max="5616" width="11.25" style="22" customWidth="1"/>
    <col min="5617" max="5617" width="22.875" style="22" customWidth="1"/>
    <col min="5618" max="5618" width="9.375" style="22" customWidth="1"/>
    <col min="5619" max="5619" width="9.875" style="22" customWidth="1"/>
    <col min="5620" max="5621" width="15.875" style="22" customWidth="1"/>
    <col min="5622" max="5622" width="15" style="22" customWidth="1"/>
    <col min="5623" max="5623" width="23.25" style="22" customWidth="1"/>
    <col min="5624" max="5624" width="26.375" style="22" customWidth="1"/>
    <col min="5625" max="5625" width="11.25" style="22" customWidth="1"/>
    <col min="5626" max="5626" width="19.625" style="22" customWidth="1"/>
    <col min="5627" max="5627" width="14.375" style="22" customWidth="1"/>
    <col min="5628" max="5628" width="18.375" style="22" customWidth="1"/>
    <col min="5629" max="5629" width="10.25" style="22" customWidth="1"/>
    <col min="5630" max="5630" width="36.375" style="22" customWidth="1"/>
    <col min="5631" max="5631" width="20.625" style="22" customWidth="1"/>
    <col min="5632" max="5632" width="16.375" style="22" customWidth="1"/>
    <col min="5633" max="5633" width="14.625" style="22" customWidth="1"/>
    <col min="5634" max="5634" width="10" style="22" customWidth="1"/>
    <col min="5635" max="5635" width="8" style="22" customWidth="1"/>
    <col min="5636" max="5636" width="16" style="22" customWidth="1"/>
    <col min="5637" max="5637" width="16.375" style="22" customWidth="1"/>
    <col min="5638" max="5638" width="9.125" style="22"/>
    <col min="5639" max="5639" width="16.25" style="22" customWidth="1"/>
    <col min="5640" max="5649" width="9.125" style="22"/>
    <col min="5650" max="5650" width="12.625" style="22" customWidth="1"/>
    <col min="5651" max="5651" width="22.875" style="22" customWidth="1"/>
    <col min="5652" max="5652" width="8.75" style="22" customWidth="1"/>
    <col min="5653" max="5653" width="19.75" style="22" customWidth="1"/>
    <col min="5654" max="5654" width="9.375" style="22" customWidth="1"/>
    <col min="5655" max="5655" width="9.125" style="22"/>
    <col min="5656" max="5656" width="10.875" style="22" customWidth="1"/>
    <col min="5657" max="5657" width="9.875" style="22" customWidth="1"/>
    <col min="5658" max="5852" width="9.125" style="22"/>
    <col min="5853" max="5853" width="4" style="22" customWidth="1"/>
    <col min="5854" max="5854" width="5.875" style="22" customWidth="1"/>
    <col min="5855" max="5855" width="6.375" style="22" customWidth="1"/>
    <col min="5856" max="5856" width="20.25" style="22" customWidth="1"/>
    <col min="5857" max="5857" width="7.375" style="22" customWidth="1"/>
    <col min="5858" max="5858" width="12.75" style="22" customWidth="1"/>
    <col min="5859" max="5859" width="5.875" style="22" customWidth="1"/>
    <col min="5860" max="5860" width="8.75" style="22" customWidth="1"/>
    <col min="5861" max="5861" width="25.625" style="22" customWidth="1"/>
    <col min="5862" max="5862" width="6" style="22" customWidth="1"/>
    <col min="5863" max="5863" width="7.375" style="22" customWidth="1"/>
    <col min="5864" max="5864" width="7.125" style="22" customWidth="1"/>
    <col min="5865" max="5865" width="7" style="22" customWidth="1"/>
    <col min="5866" max="5866" width="6" style="22" customWidth="1"/>
    <col min="5867" max="5867" width="6.25" style="22" customWidth="1"/>
    <col min="5868" max="5868" width="6.375" style="22" customWidth="1"/>
    <col min="5869" max="5869" width="19.125" style="22" customWidth="1"/>
    <col min="5870" max="5870" width="8.125" style="22" customWidth="1"/>
    <col min="5871" max="5871" width="8.75" style="22" customWidth="1"/>
    <col min="5872" max="5872" width="11.25" style="22" customWidth="1"/>
    <col min="5873" max="5873" width="22.875" style="22" customWidth="1"/>
    <col min="5874" max="5874" width="9.375" style="22" customWidth="1"/>
    <col min="5875" max="5875" width="9.875" style="22" customWidth="1"/>
    <col min="5876" max="5877" width="15.875" style="22" customWidth="1"/>
    <col min="5878" max="5878" width="15" style="22" customWidth="1"/>
    <col min="5879" max="5879" width="23.25" style="22" customWidth="1"/>
    <col min="5880" max="5880" width="26.375" style="22" customWidth="1"/>
    <col min="5881" max="5881" width="11.25" style="22" customWidth="1"/>
    <col min="5882" max="5882" width="19.625" style="22" customWidth="1"/>
    <col min="5883" max="5883" width="14.375" style="22" customWidth="1"/>
    <col min="5884" max="5884" width="18.375" style="22" customWidth="1"/>
    <col min="5885" max="5885" width="10.25" style="22" customWidth="1"/>
    <col min="5886" max="5886" width="36.375" style="22" customWidth="1"/>
    <col min="5887" max="5887" width="20.625" style="22" customWidth="1"/>
    <col min="5888" max="5888" width="16.375" style="22" customWidth="1"/>
    <col min="5889" max="5889" width="14.625" style="22" customWidth="1"/>
    <col min="5890" max="5890" width="10" style="22" customWidth="1"/>
    <col min="5891" max="5891" width="8" style="22" customWidth="1"/>
    <col min="5892" max="5892" width="16" style="22" customWidth="1"/>
    <col min="5893" max="5893" width="16.375" style="22" customWidth="1"/>
    <col min="5894" max="5894" width="9.125" style="22"/>
    <col min="5895" max="5895" width="16.25" style="22" customWidth="1"/>
    <col min="5896" max="5905" width="9.125" style="22"/>
    <col min="5906" max="5906" width="12.625" style="22" customWidth="1"/>
    <col min="5907" max="5907" width="22.875" style="22" customWidth="1"/>
    <col min="5908" max="5908" width="8.75" style="22" customWidth="1"/>
    <col min="5909" max="5909" width="19.75" style="22" customWidth="1"/>
    <col min="5910" max="5910" width="9.375" style="22" customWidth="1"/>
    <col min="5911" max="5911" width="9.125" style="22"/>
    <col min="5912" max="5912" width="10.875" style="22" customWidth="1"/>
    <col min="5913" max="5913" width="9.875" style="22" customWidth="1"/>
    <col min="5914" max="6108" width="9.125" style="22"/>
    <col min="6109" max="6109" width="4" style="22" customWidth="1"/>
    <col min="6110" max="6110" width="5.875" style="22" customWidth="1"/>
    <col min="6111" max="6111" width="6.375" style="22" customWidth="1"/>
    <col min="6112" max="6112" width="20.25" style="22" customWidth="1"/>
    <col min="6113" max="6113" width="7.375" style="22" customWidth="1"/>
    <col min="6114" max="6114" width="12.75" style="22" customWidth="1"/>
    <col min="6115" max="6115" width="5.875" style="22" customWidth="1"/>
    <col min="6116" max="6116" width="8.75" style="22" customWidth="1"/>
    <col min="6117" max="6117" width="25.625" style="22" customWidth="1"/>
    <col min="6118" max="6118" width="6" style="22" customWidth="1"/>
    <col min="6119" max="6119" width="7.375" style="22" customWidth="1"/>
    <col min="6120" max="6120" width="7.125" style="22" customWidth="1"/>
    <col min="6121" max="6121" width="7" style="22" customWidth="1"/>
    <col min="6122" max="6122" width="6" style="22" customWidth="1"/>
    <col min="6123" max="6123" width="6.25" style="22" customWidth="1"/>
    <col min="6124" max="6124" width="6.375" style="22" customWidth="1"/>
    <col min="6125" max="6125" width="19.125" style="22" customWidth="1"/>
    <col min="6126" max="6126" width="8.125" style="22" customWidth="1"/>
    <col min="6127" max="6127" width="8.75" style="22" customWidth="1"/>
    <col min="6128" max="6128" width="11.25" style="22" customWidth="1"/>
    <col min="6129" max="6129" width="22.875" style="22" customWidth="1"/>
    <col min="6130" max="6130" width="9.375" style="22" customWidth="1"/>
    <col min="6131" max="6131" width="9.875" style="22" customWidth="1"/>
    <col min="6132" max="6133" width="15.875" style="22" customWidth="1"/>
    <col min="6134" max="6134" width="15" style="22" customWidth="1"/>
    <col min="6135" max="6135" width="23.25" style="22" customWidth="1"/>
    <col min="6136" max="6136" width="26.375" style="22" customWidth="1"/>
    <col min="6137" max="6137" width="11.25" style="22" customWidth="1"/>
    <col min="6138" max="6138" width="19.625" style="22" customWidth="1"/>
    <col min="6139" max="6139" width="14.375" style="22" customWidth="1"/>
    <col min="6140" max="6140" width="18.375" style="22" customWidth="1"/>
    <col min="6141" max="6141" width="10.25" style="22" customWidth="1"/>
    <col min="6142" max="6142" width="36.375" style="22" customWidth="1"/>
    <col min="6143" max="6143" width="20.625" style="22" customWidth="1"/>
    <col min="6144" max="6144" width="16.375" style="22" customWidth="1"/>
    <col min="6145" max="6145" width="14.625" style="22" customWidth="1"/>
    <col min="6146" max="6146" width="10" style="22" customWidth="1"/>
    <col min="6147" max="6147" width="8" style="22" customWidth="1"/>
    <col min="6148" max="6148" width="16" style="22" customWidth="1"/>
    <col min="6149" max="6149" width="16.375" style="22" customWidth="1"/>
    <col min="6150" max="6150" width="9.125" style="22"/>
    <col min="6151" max="6151" width="16.25" style="22" customWidth="1"/>
    <col min="6152" max="6161" width="9.125" style="22"/>
    <col min="6162" max="6162" width="12.625" style="22" customWidth="1"/>
    <col min="6163" max="6163" width="22.875" style="22" customWidth="1"/>
    <col min="6164" max="6164" width="8.75" style="22" customWidth="1"/>
    <col min="6165" max="6165" width="19.75" style="22" customWidth="1"/>
    <col min="6166" max="6166" width="9.375" style="22" customWidth="1"/>
    <col min="6167" max="6167" width="9.125" style="22"/>
    <col min="6168" max="6168" width="10.875" style="22" customWidth="1"/>
    <col min="6169" max="6169" width="9.875" style="22" customWidth="1"/>
    <col min="6170" max="6364" width="9.125" style="22"/>
    <col min="6365" max="6365" width="4" style="22" customWidth="1"/>
    <col min="6366" max="6366" width="5.875" style="22" customWidth="1"/>
    <col min="6367" max="6367" width="6.375" style="22" customWidth="1"/>
    <col min="6368" max="6368" width="20.25" style="22" customWidth="1"/>
    <col min="6369" max="6369" width="7.375" style="22" customWidth="1"/>
    <col min="6370" max="6370" width="12.75" style="22" customWidth="1"/>
    <col min="6371" max="6371" width="5.875" style="22" customWidth="1"/>
    <col min="6372" max="6372" width="8.75" style="22" customWidth="1"/>
    <col min="6373" max="6373" width="25.625" style="22" customWidth="1"/>
    <col min="6374" max="6374" width="6" style="22" customWidth="1"/>
    <col min="6375" max="6375" width="7.375" style="22" customWidth="1"/>
    <col min="6376" max="6376" width="7.125" style="22" customWidth="1"/>
    <col min="6377" max="6377" width="7" style="22" customWidth="1"/>
    <col min="6378" max="6378" width="6" style="22" customWidth="1"/>
    <col min="6379" max="6379" width="6.25" style="22" customWidth="1"/>
    <col min="6380" max="6380" width="6.375" style="22" customWidth="1"/>
    <col min="6381" max="6381" width="19.125" style="22" customWidth="1"/>
    <col min="6382" max="6382" width="8.125" style="22" customWidth="1"/>
    <col min="6383" max="6383" width="8.75" style="22" customWidth="1"/>
    <col min="6384" max="6384" width="11.25" style="22" customWidth="1"/>
    <col min="6385" max="6385" width="22.875" style="22" customWidth="1"/>
    <col min="6386" max="6386" width="9.375" style="22" customWidth="1"/>
    <col min="6387" max="6387" width="9.875" style="22" customWidth="1"/>
    <col min="6388" max="6389" width="15.875" style="22" customWidth="1"/>
    <col min="6390" max="6390" width="15" style="22" customWidth="1"/>
    <col min="6391" max="6391" width="23.25" style="22" customWidth="1"/>
    <col min="6392" max="6392" width="26.375" style="22" customWidth="1"/>
    <col min="6393" max="6393" width="11.25" style="22" customWidth="1"/>
    <col min="6394" max="6394" width="19.625" style="22" customWidth="1"/>
    <col min="6395" max="6395" width="14.375" style="22" customWidth="1"/>
    <col min="6396" max="6396" width="18.375" style="22" customWidth="1"/>
    <col min="6397" max="6397" width="10.25" style="22" customWidth="1"/>
    <col min="6398" max="6398" width="36.375" style="22" customWidth="1"/>
    <col min="6399" max="6399" width="20.625" style="22" customWidth="1"/>
    <col min="6400" max="6400" width="16.375" style="22" customWidth="1"/>
    <col min="6401" max="6401" width="14.625" style="22" customWidth="1"/>
    <col min="6402" max="6402" width="10" style="22" customWidth="1"/>
    <col min="6403" max="6403" width="8" style="22" customWidth="1"/>
    <col min="6404" max="6404" width="16" style="22" customWidth="1"/>
    <col min="6405" max="6405" width="16.375" style="22" customWidth="1"/>
    <col min="6406" max="6406" width="9.125" style="22"/>
    <col min="6407" max="6407" width="16.25" style="22" customWidth="1"/>
    <col min="6408" max="6417" width="9.125" style="22"/>
    <col min="6418" max="6418" width="12.625" style="22" customWidth="1"/>
    <col min="6419" max="6419" width="22.875" style="22" customWidth="1"/>
    <col min="6420" max="6420" width="8.75" style="22" customWidth="1"/>
    <col min="6421" max="6421" width="19.75" style="22" customWidth="1"/>
    <col min="6422" max="6422" width="9.375" style="22" customWidth="1"/>
    <col min="6423" max="6423" width="9.125" style="22"/>
    <col min="6424" max="6424" width="10.875" style="22" customWidth="1"/>
    <col min="6425" max="6425" width="9.875" style="22" customWidth="1"/>
    <col min="6426" max="6620" width="9.125" style="22"/>
    <col min="6621" max="6621" width="4" style="22" customWidth="1"/>
    <col min="6622" max="6622" width="5.875" style="22" customWidth="1"/>
    <col min="6623" max="6623" width="6.375" style="22" customWidth="1"/>
    <col min="6624" max="6624" width="20.25" style="22" customWidth="1"/>
    <col min="6625" max="6625" width="7.375" style="22" customWidth="1"/>
    <col min="6626" max="6626" width="12.75" style="22" customWidth="1"/>
    <col min="6627" max="6627" width="5.875" style="22" customWidth="1"/>
    <col min="6628" max="6628" width="8.75" style="22" customWidth="1"/>
    <col min="6629" max="6629" width="25.625" style="22" customWidth="1"/>
    <col min="6630" max="6630" width="6" style="22" customWidth="1"/>
    <col min="6631" max="6631" width="7.375" style="22" customWidth="1"/>
    <col min="6632" max="6632" width="7.125" style="22" customWidth="1"/>
    <col min="6633" max="6633" width="7" style="22" customWidth="1"/>
    <col min="6634" max="6634" width="6" style="22" customWidth="1"/>
    <col min="6635" max="6635" width="6.25" style="22" customWidth="1"/>
    <col min="6636" max="6636" width="6.375" style="22" customWidth="1"/>
    <col min="6637" max="6637" width="19.125" style="22" customWidth="1"/>
    <col min="6638" max="6638" width="8.125" style="22" customWidth="1"/>
    <col min="6639" max="6639" width="8.75" style="22" customWidth="1"/>
    <col min="6640" max="6640" width="11.25" style="22" customWidth="1"/>
    <col min="6641" max="6641" width="22.875" style="22" customWidth="1"/>
    <col min="6642" max="6642" width="9.375" style="22" customWidth="1"/>
    <col min="6643" max="6643" width="9.875" style="22" customWidth="1"/>
    <col min="6644" max="6645" width="15.875" style="22" customWidth="1"/>
    <col min="6646" max="6646" width="15" style="22" customWidth="1"/>
    <col min="6647" max="6647" width="23.25" style="22" customWidth="1"/>
    <col min="6648" max="6648" width="26.375" style="22" customWidth="1"/>
    <col min="6649" max="6649" width="11.25" style="22" customWidth="1"/>
    <col min="6650" max="6650" width="19.625" style="22" customWidth="1"/>
    <col min="6651" max="6651" width="14.375" style="22" customWidth="1"/>
    <col min="6652" max="6652" width="18.375" style="22" customWidth="1"/>
    <col min="6653" max="6653" width="10.25" style="22" customWidth="1"/>
    <col min="6654" max="6654" width="36.375" style="22" customWidth="1"/>
    <col min="6655" max="6655" width="20.625" style="22" customWidth="1"/>
    <col min="6656" max="6656" width="16.375" style="22" customWidth="1"/>
    <col min="6657" max="6657" width="14.625" style="22" customWidth="1"/>
    <col min="6658" max="6658" width="10" style="22" customWidth="1"/>
    <col min="6659" max="6659" width="8" style="22" customWidth="1"/>
    <col min="6660" max="6660" width="16" style="22" customWidth="1"/>
    <col min="6661" max="6661" width="16.375" style="22" customWidth="1"/>
    <col min="6662" max="6662" width="9.125" style="22"/>
    <col min="6663" max="6663" width="16.25" style="22" customWidth="1"/>
    <col min="6664" max="6673" width="9.125" style="22"/>
    <col min="6674" max="6674" width="12.625" style="22" customWidth="1"/>
    <col min="6675" max="6675" width="22.875" style="22" customWidth="1"/>
    <col min="6676" max="6676" width="8.75" style="22" customWidth="1"/>
    <col min="6677" max="6677" width="19.75" style="22" customWidth="1"/>
    <col min="6678" max="6678" width="9.375" style="22" customWidth="1"/>
    <col min="6679" max="6679" width="9.125" style="22"/>
    <col min="6680" max="6680" width="10.875" style="22" customWidth="1"/>
    <col min="6681" max="6681" width="9.875" style="22" customWidth="1"/>
    <col min="6682" max="6876" width="9.125" style="22"/>
    <col min="6877" max="6877" width="4" style="22" customWidth="1"/>
    <col min="6878" max="6878" width="5.875" style="22" customWidth="1"/>
    <col min="6879" max="6879" width="6.375" style="22" customWidth="1"/>
    <col min="6880" max="6880" width="20.25" style="22" customWidth="1"/>
    <col min="6881" max="6881" width="7.375" style="22" customWidth="1"/>
    <col min="6882" max="6882" width="12.75" style="22" customWidth="1"/>
    <col min="6883" max="6883" width="5.875" style="22" customWidth="1"/>
    <col min="6884" max="6884" width="8.75" style="22" customWidth="1"/>
    <col min="6885" max="6885" width="25.625" style="22" customWidth="1"/>
    <col min="6886" max="6886" width="6" style="22" customWidth="1"/>
    <col min="6887" max="6887" width="7.375" style="22" customWidth="1"/>
    <col min="6888" max="6888" width="7.125" style="22" customWidth="1"/>
    <col min="6889" max="6889" width="7" style="22" customWidth="1"/>
    <col min="6890" max="6890" width="6" style="22" customWidth="1"/>
    <col min="6891" max="6891" width="6.25" style="22" customWidth="1"/>
    <col min="6892" max="6892" width="6.375" style="22" customWidth="1"/>
    <col min="6893" max="6893" width="19.125" style="22" customWidth="1"/>
    <col min="6894" max="6894" width="8.125" style="22" customWidth="1"/>
    <col min="6895" max="6895" width="8.75" style="22" customWidth="1"/>
    <col min="6896" max="6896" width="11.25" style="22" customWidth="1"/>
    <col min="6897" max="6897" width="22.875" style="22" customWidth="1"/>
    <col min="6898" max="6898" width="9.375" style="22" customWidth="1"/>
    <col min="6899" max="6899" width="9.875" style="22" customWidth="1"/>
    <col min="6900" max="6901" width="15.875" style="22" customWidth="1"/>
    <col min="6902" max="6902" width="15" style="22" customWidth="1"/>
    <col min="6903" max="6903" width="23.25" style="22" customWidth="1"/>
    <col min="6904" max="6904" width="26.375" style="22" customWidth="1"/>
    <col min="6905" max="6905" width="11.25" style="22" customWidth="1"/>
    <col min="6906" max="6906" width="19.625" style="22" customWidth="1"/>
    <col min="6907" max="6907" width="14.375" style="22" customWidth="1"/>
    <col min="6908" max="6908" width="18.375" style="22" customWidth="1"/>
    <col min="6909" max="6909" width="10.25" style="22" customWidth="1"/>
    <col min="6910" max="6910" width="36.375" style="22" customWidth="1"/>
    <col min="6911" max="6911" width="20.625" style="22" customWidth="1"/>
    <col min="6912" max="6912" width="16.375" style="22" customWidth="1"/>
    <col min="6913" max="6913" width="14.625" style="22" customWidth="1"/>
    <col min="6914" max="6914" width="10" style="22" customWidth="1"/>
    <col min="6915" max="6915" width="8" style="22" customWidth="1"/>
    <col min="6916" max="6916" width="16" style="22" customWidth="1"/>
    <col min="6917" max="6917" width="16.375" style="22" customWidth="1"/>
    <col min="6918" max="6918" width="9.125" style="22"/>
    <col min="6919" max="6919" width="16.25" style="22" customWidth="1"/>
    <col min="6920" max="6929" width="9.125" style="22"/>
    <col min="6930" max="6930" width="12.625" style="22" customWidth="1"/>
    <col min="6931" max="6931" width="22.875" style="22" customWidth="1"/>
    <col min="6932" max="6932" width="8.75" style="22" customWidth="1"/>
    <col min="6933" max="6933" width="19.75" style="22" customWidth="1"/>
    <col min="6934" max="6934" width="9.375" style="22" customWidth="1"/>
    <col min="6935" max="6935" width="9.125" style="22"/>
    <col min="6936" max="6936" width="10.875" style="22" customWidth="1"/>
    <col min="6937" max="6937" width="9.875" style="22" customWidth="1"/>
    <col min="6938" max="7132" width="9.125" style="22"/>
    <col min="7133" max="7133" width="4" style="22" customWidth="1"/>
    <col min="7134" max="7134" width="5.875" style="22" customWidth="1"/>
    <col min="7135" max="7135" width="6.375" style="22" customWidth="1"/>
    <col min="7136" max="7136" width="20.25" style="22" customWidth="1"/>
    <col min="7137" max="7137" width="7.375" style="22" customWidth="1"/>
    <col min="7138" max="7138" width="12.75" style="22" customWidth="1"/>
    <col min="7139" max="7139" width="5.875" style="22" customWidth="1"/>
    <col min="7140" max="7140" width="8.75" style="22" customWidth="1"/>
    <col min="7141" max="7141" width="25.625" style="22" customWidth="1"/>
    <col min="7142" max="7142" width="6" style="22" customWidth="1"/>
    <col min="7143" max="7143" width="7.375" style="22" customWidth="1"/>
    <col min="7144" max="7144" width="7.125" style="22" customWidth="1"/>
    <col min="7145" max="7145" width="7" style="22" customWidth="1"/>
    <col min="7146" max="7146" width="6" style="22" customWidth="1"/>
    <col min="7147" max="7147" width="6.25" style="22" customWidth="1"/>
    <col min="7148" max="7148" width="6.375" style="22" customWidth="1"/>
    <col min="7149" max="7149" width="19.125" style="22" customWidth="1"/>
    <col min="7150" max="7150" width="8.125" style="22" customWidth="1"/>
    <col min="7151" max="7151" width="8.75" style="22" customWidth="1"/>
    <col min="7152" max="7152" width="11.25" style="22" customWidth="1"/>
    <col min="7153" max="7153" width="22.875" style="22" customWidth="1"/>
    <col min="7154" max="7154" width="9.375" style="22" customWidth="1"/>
    <col min="7155" max="7155" width="9.875" style="22" customWidth="1"/>
    <col min="7156" max="7157" width="15.875" style="22" customWidth="1"/>
    <col min="7158" max="7158" width="15" style="22" customWidth="1"/>
    <col min="7159" max="7159" width="23.25" style="22" customWidth="1"/>
    <col min="7160" max="7160" width="26.375" style="22" customWidth="1"/>
    <col min="7161" max="7161" width="11.25" style="22" customWidth="1"/>
    <col min="7162" max="7162" width="19.625" style="22" customWidth="1"/>
    <col min="7163" max="7163" width="14.375" style="22" customWidth="1"/>
    <col min="7164" max="7164" width="18.375" style="22" customWidth="1"/>
    <col min="7165" max="7165" width="10.25" style="22" customWidth="1"/>
    <col min="7166" max="7166" width="36.375" style="22" customWidth="1"/>
    <col min="7167" max="7167" width="20.625" style="22" customWidth="1"/>
    <col min="7168" max="7168" width="16.375" style="22" customWidth="1"/>
    <col min="7169" max="7169" width="14.625" style="22" customWidth="1"/>
    <col min="7170" max="7170" width="10" style="22" customWidth="1"/>
    <col min="7171" max="7171" width="8" style="22" customWidth="1"/>
    <col min="7172" max="7172" width="16" style="22" customWidth="1"/>
    <col min="7173" max="7173" width="16.375" style="22" customWidth="1"/>
    <col min="7174" max="7174" width="9.125" style="22"/>
    <col min="7175" max="7175" width="16.25" style="22" customWidth="1"/>
    <col min="7176" max="7185" width="9.125" style="22"/>
    <col min="7186" max="7186" width="12.625" style="22" customWidth="1"/>
    <col min="7187" max="7187" width="22.875" style="22" customWidth="1"/>
    <col min="7188" max="7188" width="8.75" style="22" customWidth="1"/>
    <col min="7189" max="7189" width="19.75" style="22" customWidth="1"/>
    <col min="7190" max="7190" width="9.375" style="22" customWidth="1"/>
    <col min="7191" max="7191" width="9.125" style="22"/>
    <col min="7192" max="7192" width="10.875" style="22" customWidth="1"/>
    <col min="7193" max="7193" width="9.875" style="22" customWidth="1"/>
    <col min="7194" max="7388" width="9.125" style="22"/>
    <col min="7389" max="7389" width="4" style="22" customWidth="1"/>
    <col min="7390" max="7390" width="5.875" style="22" customWidth="1"/>
    <col min="7391" max="7391" width="6.375" style="22" customWidth="1"/>
    <col min="7392" max="7392" width="20.25" style="22" customWidth="1"/>
    <col min="7393" max="7393" width="7.375" style="22" customWidth="1"/>
    <col min="7394" max="7394" width="12.75" style="22" customWidth="1"/>
    <col min="7395" max="7395" width="5.875" style="22" customWidth="1"/>
    <col min="7396" max="7396" width="8.75" style="22" customWidth="1"/>
    <col min="7397" max="7397" width="25.625" style="22" customWidth="1"/>
    <col min="7398" max="7398" width="6" style="22" customWidth="1"/>
    <col min="7399" max="7399" width="7.375" style="22" customWidth="1"/>
    <col min="7400" max="7400" width="7.125" style="22" customWidth="1"/>
    <col min="7401" max="7401" width="7" style="22" customWidth="1"/>
    <col min="7402" max="7402" width="6" style="22" customWidth="1"/>
    <col min="7403" max="7403" width="6.25" style="22" customWidth="1"/>
    <col min="7404" max="7404" width="6.375" style="22" customWidth="1"/>
    <col min="7405" max="7405" width="19.125" style="22" customWidth="1"/>
    <col min="7406" max="7406" width="8.125" style="22" customWidth="1"/>
    <col min="7407" max="7407" width="8.75" style="22" customWidth="1"/>
    <col min="7408" max="7408" width="11.25" style="22" customWidth="1"/>
    <col min="7409" max="7409" width="22.875" style="22" customWidth="1"/>
    <col min="7410" max="7410" width="9.375" style="22" customWidth="1"/>
    <col min="7411" max="7411" width="9.875" style="22" customWidth="1"/>
    <col min="7412" max="7413" width="15.875" style="22" customWidth="1"/>
    <col min="7414" max="7414" width="15" style="22" customWidth="1"/>
    <col min="7415" max="7415" width="23.25" style="22" customWidth="1"/>
    <col min="7416" max="7416" width="26.375" style="22" customWidth="1"/>
    <col min="7417" max="7417" width="11.25" style="22" customWidth="1"/>
    <col min="7418" max="7418" width="19.625" style="22" customWidth="1"/>
    <col min="7419" max="7419" width="14.375" style="22" customWidth="1"/>
    <col min="7420" max="7420" width="18.375" style="22" customWidth="1"/>
    <col min="7421" max="7421" width="10.25" style="22" customWidth="1"/>
    <col min="7422" max="7422" width="36.375" style="22" customWidth="1"/>
    <col min="7423" max="7423" width="20.625" style="22" customWidth="1"/>
    <col min="7424" max="7424" width="16.375" style="22" customWidth="1"/>
    <col min="7425" max="7425" width="14.625" style="22" customWidth="1"/>
    <col min="7426" max="7426" width="10" style="22" customWidth="1"/>
    <col min="7427" max="7427" width="8" style="22" customWidth="1"/>
    <col min="7428" max="7428" width="16" style="22" customWidth="1"/>
    <col min="7429" max="7429" width="16.375" style="22" customWidth="1"/>
    <col min="7430" max="7430" width="9.125" style="22"/>
    <col min="7431" max="7431" width="16.25" style="22" customWidth="1"/>
    <col min="7432" max="7441" width="9.125" style="22"/>
    <col min="7442" max="7442" width="12.625" style="22" customWidth="1"/>
    <col min="7443" max="7443" width="22.875" style="22" customWidth="1"/>
    <col min="7444" max="7444" width="8.75" style="22" customWidth="1"/>
    <col min="7445" max="7445" width="19.75" style="22" customWidth="1"/>
    <col min="7446" max="7446" width="9.375" style="22" customWidth="1"/>
    <col min="7447" max="7447" width="9.125" style="22"/>
    <col min="7448" max="7448" width="10.875" style="22" customWidth="1"/>
    <col min="7449" max="7449" width="9.875" style="22" customWidth="1"/>
    <col min="7450" max="7644" width="9.125" style="22"/>
    <col min="7645" max="7645" width="4" style="22" customWidth="1"/>
    <col min="7646" max="7646" width="5.875" style="22" customWidth="1"/>
    <col min="7647" max="7647" width="6.375" style="22" customWidth="1"/>
    <col min="7648" max="7648" width="20.25" style="22" customWidth="1"/>
    <col min="7649" max="7649" width="7.375" style="22" customWidth="1"/>
    <col min="7650" max="7650" width="12.75" style="22" customWidth="1"/>
    <col min="7651" max="7651" width="5.875" style="22" customWidth="1"/>
    <col min="7652" max="7652" width="8.75" style="22" customWidth="1"/>
    <col min="7653" max="7653" width="25.625" style="22" customWidth="1"/>
    <col min="7654" max="7654" width="6" style="22" customWidth="1"/>
    <col min="7655" max="7655" width="7.375" style="22" customWidth="1"/>
    <col min="7656" max="7656" width="7.125" style="22" customWidth="1"/>
    <col min="7657" max="7657" width="7" style="22" customWidth="1"/>
    <col min="7658" max="7658" width="6" style="22" customWidth="1"/>
    <col min="7659" max="7659" width="6.25" style="22" customWidth="1"/>
    <col min="7660" max="7660" width="6.375" style="22" customWidth="1"/>
    <col min="7661" max="7661" width="19.125" style="22" customWidth="1"/>
    <col min="7662" max="7662" width="8.125" style="22" customWidth="1"/>
    <col min="7663" max="7663" width="8.75" style="22" customWidth="1"/>
    <col min="7664" max="7664" width="11.25" style="22" customWidth="1"/>
    <col min="7665" max="7665" width="22.875" style="22" customWidth="1"/>
    <col min="7666" max="7666" width="9.375" style="22" customWidth="1"/>
    <col min="7667" max="7667" width="9.875" style="22" customWidth="1"/>
    <col min="7668" max="7669" width="15.875" style="22" customWidth="1"/>
    <col min="7670" max="7670" width="15" style="22" customWidth="1"/>
    <col min="7671" max="7671" width="23.25" style="22" customWidth="1"/>
    <col min="7672" max="7672" width="26.375" style="22" customWidth="1"/>
    <col min="7673" max="7673" width="11.25" style="22" customWidth="1"/>
    <col min="7674" max="7674" width="19.625" style="22" customWidth="1"/>
    <col min="7675" max="7675" width="14.375" style="22" customWidth="1"/>
    <col min="7676" max="7676" width="18.375" style="22" customWidth="1"/>
    <col min="7677" max="7677" width="10.25" style="22" customWidth="1"/>
    <col min="7678" max="7678" width="36.375" style="22" customWidth="1"/>
    <col min="7679" max="7679" width="20.625" style="22" customWidth="1"/>
    <col min="7680" max="7680" width="16.375" style="22" customWidth="1"/>
    <col min="7681" max="7681" width="14.625" style="22" customWidth="1"/>
    <col min="7682" max="7682" width="10" style="22" customWidth="1"/>
    <col min="7683" max="7683" width="8" style="22" customWidth="1"/>
    <col min="7684" max="7684" width="16" style="22" customWidth="1"/>
    <col min="7685" max="7685" width="16.375" style="22" customWidth="1"/>
    <col min="7686" max="7686" width="9.125" style="22"/>
    <col min="7687" max="7687" width="16.25" style="22" customWidth="1"/>
    <col min="7688" max="7697" width="9.125" style="22"/>
    <col min="7698" max="7698" width="12.625" style="22" customWidth="1"/>
    <col min="7699" max="7699" width="22.875" style="22" customWidth="1"/>
    <col min="7700" max="7700" width="8.75" style="22" customWidth="1"/>
    <col min="7701" max="7701" width="19.75" style="22" customWidth="1"/>
    <col min="7702" max="7702" width="9.375" style="22" customWidth="1"/>
    <col min="7703" max="7703" width="9.125" style="22"/>
    <col min="7704" max="7704" width="10.875" style="22" customWidth="1"/>
    <col min="7705" max="7705" width="9.875" style="22" customWidth="1"/>
    <col min="7706" max="7900" width="9.125" style="22"/>
    <col min="7901" max="7901" width="4" style="22" customWidth="1"/>
    <col min="7902" max="7902" width="5.875" style="22" customWidth="1"/>
    <col min="7903" max="7903" width="6.375" style="22" customWidth="1"/>
    <col min="7904" max="7904" width="20.25" style="22" customWidth="1"/>
    <col min="7905" max="7905" width="7.375" style="22" customWidth="1"/>
    <col min="7906" max="7906" width="12.75" style="22" customWidth="1"/>
    <col min="7907" max="7907" width="5.875" style="22" customWidth="1"/>
    <col min="7908" max="7908" width="8.75" style="22" customWidth="1"/>
    <col min="7909" max="7909" width="25.625" style="22" customWidth="1"/>
    <col min="7910" max="7910" width="6" style="22" customWidth="1"/>
    <col min="7911" max="7911" width="7.375" style="22" customWidth="1"/>
    <col min="7912" max="7912" width="7.125" style="22" customWidth="1"/>
    <col min="7913" max="7913" width="7" style="22" customWidth="1"/>
    <col min="7914" max="7914" width="6" style="22" customWidth="1"/>
    <col min="7915" max="7915" width="6.25" style="22" customWidth="1"/>
    <col min="7916" max="7916" width="6.375" style="22" customWidth="1"/>
    <col min="7917" max="7917" width="19.125" style="22" customWidth="1"/>
    <col min="7918" max="7918" width="8.125" style="22" customWidth="1"/>
    <col min="7919" max="7919" width="8.75" style="22" customWidth="1"/>
    <col min="7920" max="7920" width="11.25" style="22" customWidth="1"/>
    <col min="7921" max="7921" width="22.875" style="22" customWidth="1"/>
    <col min="7922" max="7922" width="9.375" style="22" customWidth="1"/>
    <col min="7923" max="7923" width="9.875" style="22" customWidth="1"/>
    <col min="7924" max="7925" width="15.875" style="22" customWidth="1"/>
    <col min="7926" max="7926" width="15" style="22" customWidth="1"/>
    <col min="7927" max="7927" width="23.25" style="22" customWidth="1"/>
    <col min="7928" max="7928" width="26.375" style="22" customWidth="1"/>
    <col min="7929" max="7929" width="11.25" style="22" customWidth="1"/>
    <col min="7930" max="7930" width="19.625" style="22" customWidth="1"/>
    <col min="7931" max="7931" width="14.375" style="22" customWidth="1"/>
    <col min="7932" max="7932" width="18.375" style="22" customWidth="1"/>
    <col min="7933" max="7933" width="10.25" style="22" customWidth="1"/>
    <col min="7934" max="7934" width="36.375" style="22" customWidth="1"/>
    <col min="7935" max="7935" width="20.625" style="22" customWidth="1"/>
    <col min="7936" max="7936" width="16.375" style="22" customWidth="1"/>
    <col min="7937" max="7937" width="14.625" style="22" customWidth="1"/>
    <col min="7938" max="7938" width="10" style="22" customWidth="1"/>
    <col min="7939" max="7939" width="8" style="22" customWidth="1"/>
    <col min="7940" max="7940" width="16" style="22" customWidth="1"/>
    <col min="7941" max="7941" width="16.375" style="22" customWidth="1"/>
    <col min="7942" max="7942" width="9.125" style="22"/>
    <col min="7943" max="7943" width="16.25" style="22" customWidth="1"/>
    <col min="7944" max="7953" width="9.125" style="22"/>
    <col min="7954" max="7954" width="12.625" style="22" customWidth="1"/>
    <col min="7955" max="7955" width="22.875" style="22" customWidth="1"/>
    <col min="7956" max="7956" width="8.75" style="22" customWidth="1"/>
    <col min="7957" max="7957" width="19.75" style="22" customWidth="1"/>
    <col min="7958" max="7958" width="9.375" style="22" customWidth="1"/>
    <col min="7959" max="7959" width="9.125" style="22"/>
    <col min="7960" max="7960" width="10.875" style="22" customWidth="1"/>
    <col min="7961" max="7961" width="9.875" style="22" customWidth="1"/>
    <col min="7962" max="8156" width="9.125" style="22"/>
    <col min="8157" max="8157" width="4" style="22" customWidth="1"/>
    <col min="8158" max="8158" width="5.875" style="22" customWidth="1"/>
    <col min="8159" max="8159" width="6.375" style="22" customWidth="1"/>
    <col min="8160" max="8160" width="20.25" style="22" customWidth="1"/>
    <col min="8161" max="8161" width="7.375" style="22" customWidth="1"/>
    <col min="8162" max="8162" width="12.75" style="22" customWidth="1"/>
    <col min="8163" max="8163" width="5.875" style="22" customWidth="1"/>
    <col min="8164" max="8164" width="8.75" style="22" customWidth="1"/>
    <col min="8165" max="8165" width="25.625" style="22" customWidth="1"/>
    <col min="8166" max="8166" width="6" style="22" customWidth="1"/>
    <col min="8167" max="8167" width="7.375" style="22" customWidth="1"/>
    <col min="8168" max="8168" width="7.125" style="22" customWidth="1"/>
    <col min="8169" max="8169" width="7" style="22" customWidth="1"/>
    <col min="8170" max="8170" width="6" style="22" customWidth="1"/>
    <col min="8171" max="8171" width="6.25" style="22" customWidth="1"/>
    <col min="8172" max="8172" width="6.375" style="22" customWidth="1"/>
    <col min="8173" max="8173" width="19.125" style="22" customWidth="1"/>
    <col min="8174" max="8174" width="8.125" style="22" customWidth="1"/>
    <col min="8175" max="8175" width="8.75" style="22" customWidth="1"/>
    <col min="8176" max="8176" width="11.25" style="22" customWidth="1"/>
    <col min="8177" max="8177" width="22.875" style="22" customWidth="1"/>
    <col min="8178" max="8178" width="9.375" style="22" customWidth="1"/>
    <col min="8179" max="8179" width="9.875" style="22" customWidth="1"/>
    <col min="8180" max="8181" width="15.875" style="22" customWidth="1"/>
    <col min="8182" max="8182" width="15" style="22" customWidth="1"/>
    <col min="8183" max="8183" width="23.25" style="22" customWidth="1"/>
    <col min="8184" max="8184" width="26.375" style="22" customWidth="1"/>
    <col min="8185" max="8185" width="11.25" style="22" customWidth="1"/>
    <col min="8186" max="8186" width="19.625" style="22" customWidth="1"/>
    <col min="8187" max="8187" width="14.375" style="22" customWidth="1"/>
    <col min="8188" max="8188" width="18.375" style="22" customWidth="1"/>
    <col min="8189" max="8189" width="10.25" style="22" customWidth="1"/>
    <col min="8190" max="8190" width="36.375" style="22" customWidth="1"/>
    <col min="8191" max="8191" width="20.625" style="22" customWidth="1"/>
    <col min="8192" max="8192" width="16.375" style="22" customWidth="1"/>
    <col min="8193" max="8193" width="14.625" style="22" customWidth="1"/>
    <col min="8194" max="8194" width="10" style="22" customWidth="1"/>
    <col min="8195" max="8195" width="8" style="22" customWidth="1"/>
    <col min="8196" max="8196" width="16" style="22" customWidth="1"/>
    <col min="8197" max="8197" width="16.375" style="22" customWidth="1"/>
    <col min="8198" max="8198" width="9.125" style="22"/>
    <col min="8199" max="8199" width="16.25" style="22" customWidth="1"/>
    <col min="8200" max="8209" width="9.125" style="22"/>
    <col min="8210" max="8210" width="12.625" style="22" customWidth="1"/>
    <col min="8211" max="8211" width="22.875" style="22" customWidth="1"/>
    <col min="8212" max="8212" width="8.75" style="22" customWidth="1"/>
    <col min="8213" max="8213" width="19.75" style="22" customWidth="1"/>
    <col min="8214" max="8214" width="9.375" style="22" customWidth="1"/>
    <col min="8215" max="8215" width="9.125" style="22"/>
    <col min="8216" max="8216" width="10.875" style="22" customWidth="1"/>
    <col min="8217" max="8217" width="9.875" style="22" customWidth="1"/>
    <col min="8218" max="8412" width="9.125" style="22"/>
    <col min="8413" max="8413" width="4" style="22" customWidth="1"/>
    <col min="8414" max="8414" width="5.875" style="22" customWidth="1"/>
    <col min="8415" max="8415" width="6.375" style="22" customWidth="1"/>
    <col min="8416" max="8416" width="20.25" style="22" customWidth="1"/>
    <col min="8417" max="8417" width="7.375" style="22" customWidth="1"/>
    <col min="8418" max="8418" width="12.75" style="22" customWidth="1"/>
    <col min="8419" max="8419" width="5.875" style="22" customWidth="1"/>
    <col min="8420" max="8420" width="8.75" style="22" customWidth="1"/>
    <col min="8421" max="8421" width="25.625" style="22" customWidth="1"/>
    <col min="8422" max="8422" width="6" style="22" customWidth="1"/>
    <col min="8423" max="8423" width="7.375" style="22" customWidth="1"/>
    <col min="8424" max="8424" width="7.125" style="22" customWidth="1"/>
    <col min="8425" max="8425" width="7" style="22" customWidth="1"/>
    <col min="8426" max="8426" width="6" style="22" customWidth="1"/>
    <col min="8427" max="8427" width="6.25" style="22" customWidth="1"/>
    <col min="8428" max="8428" width="6.375" style="22" customWidth="1"/>
    <col min="8429" max="8429" width="19.125" style="22" customWidth="1"/>
    <col min="8430" max="8430" width="8.125" style="22" customWidth="1"/>
    <col min="8431" max="8431" width="8.75" style="22" customWidth="1"/>
    <col min="8432" max="8432" width="11.25" style="22" customWidth="1"/>
    <col min="8433" max="8433" width="22.875" style="22" customWidth="1"/>
    <col min="8434" max="8434" width="9.375" style="22" customWidth="1"/>
    <col min="8435" max="8435" width="9.875" style="22" customWidth="1"/>
    <col min="8436" max="8437" width="15.875" style="22" customWidth="1"/>
    <col min="8438" max="8438" width="15" style="22" customWidth="1"/>
    <col min="8439" max="8439" width="23.25" style="22" customWidth="1"/>
    <col min="8440" max="8440" width="26.375" style="22" customWidth="1"/>
    <col min="8441" max="8441" width="11.25" style="22" customWidth="1"/>
    <col min="8442" max="8442" width="19.625" style="22" customWidth="1"/>
    <col min="8443" max="8443" width="14.375" style="22" customWidth="1"/>
    <col min="8444" max="8444" width="18.375" style="22" customWidth="1"/>
    <col min="8445" max="8445" width="10.25" style="22" customWidth="1"/>
    <col min="8446" max="8446" width="36.375" style="22" customWidth="1"/>
    <col min="8447" max="8447" width="20.625" style="22" customWidth="1"/>
    <col min="8448" max="8448" width="16.375" style="22" customWidth="1"/>
    <col min="8449" max="8449" width="14.625" style="22" customWidth="1"/>
    <col min="8450" max="8450" width="10" style="22" customWidth="1"/>
    <col min="8451" max="8451" width="8" style="22" customWidth="1"/>
    <col min="8452" max="8452" width="16" style="22" customWidth="1"/>
    <col min="8453" max="8453" width="16.375" style="22" customWidth="1"/>
    <col min="8454" max="8454" width="9.125" style="22"/>
    <col min="8455" max="8455" width="16.25" style="22" customWidth="1"/>
    <col min="8456" max="8465" width="9.125" style="22"/>
    <col min="8466" max="8466" width="12.625" style="22" customWidth="1"/>
    <col min="8467" max="8467" width="22.875" style="22" customWidth="1"/>
    <col min="8468" max="8468" width="8.75" style="22" customWidth="1"/>
    <col min="8469" max="8469" width="19.75" style="22" customWidth="1"/>
    <col min="8470" max="8470" width="9.375" style="22" customWidth="1"/>
    <col min="8471" max="8471" width="9.125" style="22"/>
    <col min="8472" max="8472" width="10.875" style="22" customWidth="1"/>
    <col min="8473" max="8473" width="9.875" style="22" customWidth="1"/>
    <col min="8474" max="8668" width="9.125" style="22"/>
    <col min="8669" max="8669" width="4" style="22" customWidth="1"/>
    <col min="8670" max="8670" width="5.875" style="22" customWidth="1"/>
    <col min="8671" max="8671" width="6.375" style="22" customWidth="1"/>
    <col min="8672" max="8672" width="20.25" style="22" customWidth="1"/>
    <col min="8673" max="8673" width="7.375" style="22" customWidth="1"/>
    <col min="8674" max="8674" width="12.75" style="22" customWidth="1"/>
    <col min="8675" max="8675" width="5.875" style="22" customWidth="1"/>
    <col min="8676" max="8676" width="8.75" style="22" customWidth="1"/>
    <col min="8677" max="8677" width="25.625" style="22" customWidth="1"/>
    <col min="8678" max="8678" width="6" style="22" customWidth="1"/>
    <col min="8679" max="8679" width="7.375" style="22" customWidth="1"/>
    <col min="8680" max="8680" width="7.125" style="22" customWidth="1"/>
    <col min="8681" max="8681" width="7" style="22" customWidth="1"/>
    <col min="8682" max="8682" width="6" style="22" customWidth="1"/>
    <col min="8683" max="8683" width="6.25" style="22" customWidth="1"/>
    <col min="8684" max="8684" width="6.375" style="22" customWidth="1"/>
    <col min="8685" max="8685" width="19.125" style="22" customWidth="1"/>
    <col min="8686" max="8686" width="8.125" style="22" customWidth="1"/>
    <col min="8687" max="8687" width="8.75" style="22" customWidth="1"/>
    <col min="8688" max="8688" width="11.25" style="22" customWidth="1"/>
    <col min="8689" max="8689" width="22.875" style="22" customWidth="1"/>
    <col min="8690" max="8690" width="9.375" style="22" customWidth="1"/>
    <col min="8691" max="8691" width="9.875" style="22" customWidth="1"/>
    <col min="8692" max="8693" width="15.875" style="22" customWidth="1"/>
    <col min="8694" max="8694" width="15" style="22" customWidth="1"/>
    <col min="8695" max="8695" width="23.25" style="22" customWidth="1"/>
    <col min="8696" max="8696" width="26.375" style="22" customWidth="1"/>
    <col min="8697" max="8697" width="11.25" style="22" customWidth="1"/>
    <col min="8698" max="8698" width="19.625" style="22" customWidth="1"/>
    <col min="8699" max="8699" width="14.375" style="22" customWidth="1"/>
    <col min="8700" max="8700" width="18.375" style="22" customWidth="1"/>
    <col min="8701" max="8701" width="10.25" style="22" customWidth="1"/>
    <col min="8702" max="8702" width="36.375" style="22" customWidth="1"/>
    <col min="8703" max="8703" width="20.625" style="22" customWidth="1"/>
    <col min="8704" max="8704" width="16.375" style="22" customWidth="1"/>
    <col min="8705" max="8705" width="14.625" style="22" customWidth="1"/>
    <col min="8706" max="8706" width="10" style="22" customWidth="1"/>
    <col min="8707" max="8707" width="8" style="22" customWidth="1"/>
    <col min="8708" max="8708" width="16" style="22" customWidth="1"/>
    <col min="8709" max="8709" width="16.375" style="22" customWidth="1"/>
    <col min="8710" max="8710" width="9.125" style="22"/>
    <col min="8711" max="8711" width="16.25" style="22" customWidth="1"/>
    <col min="8712" max="8721" width="9.125" style="22"/>
    <col min="8722" max="8722" width="12.625" style="22" customWidth="1"/>
    <col min="8723" max="8723" width="22.875" style="22" customWidth="1"/>
    <col min="8724" max="8724" width="8.75" style="22" customWidth="1"/>
    <col min="8725" max="8725" width="19.75" style="22" customWidth="1"/>
    <col min="8726" max="8726" width="9.375" style="22" customWidth="1"/>
    <col min="8727" max="8727" width="9.125" style="22"/>
    <col min="8728" max="8728" width="10.875" style="22" customWidth="1"/>
    <col min="8729" max="8729" width="9.875" style="22" customWidth="1"/>
    <col min="8730" max="8924" width="9.125" style="22"/>
    <col min="8925" max="8925" width="4" style="22" customWidth="1"/>
    <col min="8926" max="8926" width="5.875" style="22" customWidth="1"/>
    <col min="8927" max="8927" width="6.375" style="22" customWidth="1"/>
    <col min="8928" max="8928" width="20.25" style="22" customWidth="1"/>
    <col min="8929" max="8929" width="7.375" style="22" customWidth="1"/>
    <col min="8930" max="8930" width="12.75" style="22" customWidth="1"/>
    <col min="8931" max="8931" width="5.875" style="22" customWidth="1"/>
    <col min="8932" max="8932" width="8.75" style="22" customWidth="1"/>
    <col min="8933" max="8933" width="25.625" style="22" customWidth="1"/>
    <col min="8934" max="8934" width="6" style="22" customWidth="1"/>
    <col min="8935" max="8935" width="7.375" style="22" customWidth="1"/>
    <col min="8936" max="8936" width="7.125" style="22" customWidth="1"/>
    <col min="8937" max="8937" width="7" style="22" customWidth="1"/>
    <col min="8938" max="8938" width="6" style="22" customWidth="1"/>
    <col min="8939" max="8939" width="6.25" style="22" customWidth="1"/>
    <col min="8940" max="8940" width="6.375" style="22" customWidth="1"/>
    <col min="8941" max="8941" width="19.125" style="22" customWidth="1"/>
    <col min="8942" max="8942" width="8.125" style="22" customWidth="1"/>
    <col min="8943" max="8943" width="8.75" style="22" customWidth="1"/>
    <col min="8944" max="8944" width="11.25" style="22" customWidth="1"/>
    <col min="8945" max="8945" width="22.875" style="22" customWidth="1"/>
    <col min="8946" max="8946" width="9.375" style="22" customWidth="1"/>
    <col min="8947" max="8947" width="9.875" style="22" customWidth="1"/>
    <col min="8948" max="8949" width="15.875" style="22" customWidth="1"/>
    <col min="8950" max="8950" width="15" style="22" customWidth="1"/>
    <col min="8951" max="8951" width="23.25" style="22" customWidth="1"/>
    <col min="8952" max="8952" width="26.375" style="22" customWidth="1"/>
    <col min="8953" max="8953" width="11.25" style="22" customWidth="1"/>
    <col min="8954" max="8954" width="19.625" style="22" customWidth="1"/>
    <col min="8955" max="8955" width="14.375" style="22" customWidth="1"/>
    <col min="8956" max="8956" width="18.375" style="22" customWidth="1"/>
    <col min="8957" max="8957" width="10.25" style="22" customWidth="1"/>
    <col min="8958" max="8958" width="36.375" style="22" customWidth="1"/>
    <col min="8959" max="8959" width="20.625" style="22" customWidth="1"/>
    <col min="8960" max="8960" width="16.375" style="22" customWidth="1"/>
    <col min="8961" max="8961" width="14.625" style="22" customWidth="1"/>
    <col min="8962" max="8962" width="10" style="22" customWidth="1"/>
    <col min="8963" max="8963" width="8" style="22" customWidth="1"/>
    <col min="8964" max="8964" width="16" style="22" customWidth="1"/>
    <col min="8965" max="8965" width="16.375" style="22" customWidth="1"/>
    <col min="8966" max="8966" width="9.125" style="22"/>
    <col min="8967" max="8967" width="16.25" style="22" customWidth="1"/>
    <col min="8968" max="8977" width="9.125" style="22"/>
    <col min="8978" max="8978" width="12.625" style="22" customWidth="1"/>
    <col min="8979" max="8979" width="22.875" style="22" customWidth="1"/>
    <col min="8980" max="8980" width="8.75" style="22" customWidth="1"/>
    <col min="8981" max="8981" width="19.75" style="22" customWidth="1"/>
    <col min="8982" max="8982" width="9.375" style="22" customWidth="1"/>
    <col min="8983" max="8983" width="9.125" style="22"/>
    <col min="8984" max="8984" width="10.875" style="22" customWidth="1"/>
    <col min="8985" max="8985" width="9.875" style="22" customWidth="1"/>
    <col min="8986" max="9180" width="9.125" style="22"/>
    <col min="9181" max="9181" width="4" style="22" customWidth="1"/>
    <col min="9182" max="9182" width="5.875" style="22" customWidth="1"/>
    <col min="9183" max="9183" width="6.375" style="22" customWidth="1"/>
    <col min="9184" max="9184" width="20.25" style="22" customWidth="1"/>
    <col min="9185" max="9185" width="7.375" style="22" customWidth="1"/>
    <col min="9186" max="9186" width="12.75" style="22" customWidth="1"/>
    <col min="9187" max="9187" width="5.875" style="22" customWidth="1"/>
    <col min="9188" max="9188" width="8.75" style="22" customWidth="1"/>
    <col min="9189" max="9189" width="25.625" style="22" customWidth="1"/>
    <col min="9190" max="9190" width="6" style="22" customWidth="1"/>
    <col min="9191" max="9191" width="7.375" style="22" customWidth="1"/>
    <col min="9192" max="9192" width="7.125" style="22" customWidth="1"/>
    <col min="9193" max="9193" width="7" style="22" customWidth="1"/>
    <col min="9194" max="9194" width="6" style="22" customWidth="1"/>
    <col min="9195" max="9195" width="6.25" style="22" customWidth="1"/>
    <col min="9196" max="9196" width="6.375" style="22" customWidth="1"/>
    <col min="9197" max="9197" width="19.125" style="22" customWidth="1"/>
    <col min="9198" max="9198" width="8.125" style="22" customWidth="1"/>
    <col min="9199" max="9199" width="8.75" style="22" customWidth="1"/>
    <col min="9200" max="9200" width="11.25" style="22" customWidth="1"/>
    <col min="9201" max="9201" width="22.875" style="22" customWidth="1"/>
    <col min="9202" max="9202" width="9.375" style="22" customWidth="1"/>
    <col min="9203" max="9203" width="9.875" style="22" customWidth="1"/>
    <col min="9204" max="9205" width="15.875" style="22" customWidth="1"/>
    <col min="9206" max="9206" width="15" style="22" customWidth="1"/>
    <col min="9207" max="9207" width="23.25" style="22" customWidth="1"/>
    <col min="9208" max="9208" width="26.375" style="22" customWidth="1"/>
    <col min="9209" max="9209" width="11.25" style="22" customWidth="1"/>
    <col min="9210" max="9210" width="19.625" style="22" customWidth="1"/>
    <col min="9211" max="9211" width="14.375" style="22" customWidth="1"/>
    <col min="9212" max="9212" width="18.375" style="22" customWidth="1"/>
    <col min="9213" max="9213" width="10.25" style="22" customWidth="1"/>
    <col min="9214" max="9214" width="36.375" style="22" customWidth="1"/>
    <col min="9215" max="9215" width="20.625" style="22" customWidth="1"/>
    <col min="9216" max="9216" width="16.375" style="22" customWidth="1"/>
    <col min="9217" max="9217" width="14.625" style="22" customWidth="1"/>
    <col min="9218" max="9218" width="10" style="22" customWidth="1"/>
    <col min="9219" max="9219" width="8" style="22" customWidth="1"/>
    <col min="9220" max="9220" width="16" style="22" customWidth="1"/>
    <col min="9221" max="9221" width="16.375" style="22" customWidth="1"/>
    <col min="9222" max="9222" width="9.125" style="22"/>
    <col min="9223" max="9223" width="16.25" style="22" customWidth="1"/>
    <col min="9224" max="9233" width="9.125" style="22"/>
    <col min="9234" max="9234" width="12.625" style="22" customWidth="1"/>
    <col min="9235" max="9235" width="22.875" style="22" customWidth="1"/>
    <col min="9236" max="9236" width="8.75" style="22" customWidth="1"/>
    <col min="9237" max="9237" width="19.75" style="22" customWidth="1"/>
    <col min="9238" max="9238" width="9.375" style="22" customWidth="1"/>
    <col min="9239" max="9239" width="9.125" style="22"/>
    <col min="9240" max="9240" width="10.875" style="22" customWidth="1"/>
    <col min="9241" max="9241" width="9.875" style="22" customWidth="1"/>
    <col min="9242" max="9436" width="9.125" style="22"/>
    <col min="9437" max="9437" width="4" style="22" customWidth="1"/>
    <col min="9438" max="9438" width="5.875" style="22" customWidth="1"/>
    <col min="9439" max="9439" width="6.375" style="22" customWidth="1"/>
    <col min="9440" max="9440" width="20.25" style="22" customWidth="1"/>
    <col min="9441" max="9441" width="7.375" style="22" customWidth="1"/>
    <col min="9442" max="9442" width="12.75" style="22" customWidth="1"/>
    <col min="9443" max="9443" width="5.875" style="22" customWidth="1"/>
    <col min="9444" max="9444" width="8.75" style="22" customWidth="1"/>
    <col min="9445" max="9445" width="25.625" style="22" customWidth="1"/>
    <col min="9446" max="9446" width="6" style="22" customWidth="1"/>
    <col min="9447" max="9447" width="7.375" style="22" customWidth="1"/>
    <col min="9448" max="9448" width="7.125" style="22" customWidth="1"/>
    <col min="9449" max="9449" width="7" style="22" customWidth="1"/>
    <col min="9450" max="9450" width="6" style="22" customWidth="1"/>
    <col min="9451" max="9451" width="6.25" style="22" customWidth="1"/>
    <col min="9452" max="9452" width="6.375" style="22" customWidth="1"/>
    <col min="9453" max="9453" width="19.125" style="22" customWidth="1"/>
    <col min="9454" max="9454" width="8.125" style="22" customWidth="1"/>
    <col min="9455" max="9455" width="8.75" style="22" customWidth="1"/>
    <col min="9456" max="9456" width="11.25" style="22" customWidth="1"/>
    <col min="9457" max="9457" width="22.875" style="22" customWidth="1"/>
    <col min="9458" max="9458" width="9.375" style="22" customWidth="1"/>
    <col min="9459" max="9459" width="9.875" style="22" customWidth="1"/>
    <col min="9460" max="9461" width="15.875" style="22" customWidth="1"/>
    <col min="9462" max="9462" width="15" style="22" customWidth="1"/>
    <col min="9463" max="9463" width="23.25" style="22" customWidth="1"/>
    <col min="9464" max="9464" width="26.375" style="22" customWidth="1"/>
    <col min="9465" max="9465" width="11.25" style="22" customWidth="1"/>
    <col min="9466" max="9466" width="19.625" style="22" customWidth="1"/>
    <col min="9467" max="9467" width="14.375" style="22" customWidth="1"/>
    <col min="9468" max="9468" width="18.375" style="22" customWidth="1"/>
    <col min="9469" max="9469" width="10.25" style="22" customWidth="1"/>
    <col min="9470" max="9470" width="36.375" style="22" customWidth="1"/>
    <col min="9471" max="9471" width="20.625" style="22" customWidth="1"/>
    <col min="9472" max="9472" width="16.375" style="22" customWidth="1"/>
    <col min="9473" max="9473" width="14.625" style="22" customWidth="1"/>
    <col min="9474" max="9474" width="10" style="22" customWidth="1"/>
    <col min="9475" max="9475" width="8" style="22" customWidth="1"/>
    <col min="9476" max="9476" width="16" style="22" customWidth="1"/>
    <col min="9477" max="9477" width="16.375" style="22" customWidth="1"/>
    <col min="9478" max="9478" width="9.125" style="22"/>
    <col min="9479" max="9479" width="16.25" style="22" customWidth="1"/>
    <col min="9480" max="9489" width="9.125" style="22"/>
    <col min="9490" max="9490" width="12.625" style="22" customWidth="1"/>
    <col min="9491" max="9491" width="22.875" style="22" customWidth="1"/>
    <col min="9492" max="9492" width="8.75" style="22" customWidth="1"/>
    <col min="9493" max="9493" width="19.75" style="22" customWidth="1"/>
    <col min="9494" max="9494" width="9.375" style="22" customWidth="1"/>
    <col min="9495" max="9495" width="9.125" style="22"/>
    <col min="9496" max="9496" width="10.875" style="22" customWidth="1"/>
    <col min="9497" max="9497" width="9.875" style="22" customWidth="1"/>
    <col min="9498" max="9692" width="9.125" style="22"/>
    <col min="9693" max="9693" width="4" style="22" customWidth="1"/>
    <col min="9694" max="9694" width="5.875" style="22" customWidth="1"/>
    <col min="9695" max="9695" width="6.375" style="22" customWidth="1"/>
    <col min="9696" max="9696" width="20.25" style="22" customWidth="1"/>
    <col min="9697" max="9697" width="7.375" style="22" customWidth="1"/>
    <col min="9698" max="9698" width="12.75" style="22" customWidth="1"/>
    <col min="9699" max="9699" width="5.875" style="22" customWidth="1"/>
    <col min="9700" max="9700" width="8.75" style="22" customWidth="1"/>
    <col min="9701" max="9701" width="25.625" style="22" customWidth="1"/>
    <col min="9702" max="9702" width="6" style="22" customWidth="1"/>
    <col min="9703" max="9703" width="7.375" style="22" customWidth="1"/>
    <col min="9704" max="9704" width="7.125" style="22" customWidth="1"/>
    <col min="9705" max="9705" width="7" style="22" customWidth="1"/>
    <col min="9706" max="9706" width="6" style="22" customWidth="1"/>
    <col min="9707" max="9707" width="6.25" style="22" customWidth="1"/>
    <col min="9708" max="9708" width="6.375" style="22" customWidth="1"/>
    <col min="9709" max="9709" width="19.125" style="22" customWidth="1"/>
    <col min="9710" max="9710" width="8.125" style="22" customWidth="1"/>
    <col min="9711" max="9711" width="8.75" style="22" customWidth="1"/>
    <col min="9712" max="9712" width="11.25" style="22" customWidth="1"/>
    <col min="9713" max="9713" width="22.875" style="22" customWidth="1"/>
    <col min="9714" max="9714" width="9.375" style="22" customWidth="1"/>
    <col min="9715" max="9715" width="9.875" style="22" customWidth="1"/>
    <col min="9716" max="9717" width="15.875" style="22" customWidth="1"/>
    <col min="9718" max="9718" width="15" style="22" customWidth="1"/>
    <col min="9719" max="9719" width="23.25" style="22" customWidth="1"/>
    <col min="9720" max="9720" width="26.375" style="22" customWidth="1"/>
    <col min="9721" max="9721" width="11.25" style="22" customWidth="1"/>
    <col min="9722" max="9722" width="19.625" style="22" customWidth="1"/>
    <col min="9723" max="9723" width="14.375" style="22" customWidth="1"/>
    <col min="9724" max="9724" width="18.375" style="22" customWidth="1"/>
    <col min="9725" max="9725" width="10.25" style="22" customWidth="1"/>
    <col min="9726" max="9726" width="36.375" style="22" customWidth="1"/>
    <col min="9727" max="9727" width="20.625" style="22" customWidth="1"/>
    <col min="9728" max="9728" width="16.375" style="22" customWidth="1"/>
    <col min="9729" max="9729" width="14.625" style="22" customWidth="1"/>
    <col min="9730" max="9730" width="10" style="22" customWidth="1"/>
    <col min="9731" max="9731" width="8" style="22" customWidth="1"/>
    <col min="9732" max="9732" width="16" style="22" customWidth="1"/>
    <col min="9733" max="9733" width="16.375" style="22" customWidth="1"/>
    <col min="9734" max="9734" width="9.125" style="22"/>
    <col min="9735" max="9735" width="16.25" style="22" customWidth="1"/>
    <col min="9736" max="9745" width="9.125" style="22"/>
    <col min="9746" max="9746" width="12.625" style="22" customWidth="1"/>
    <col min="9747" max="9747" width="22.875" style="22" customWidth="1"/>
    <col min="9748" max="9748" width="8.75" style="22" customWidth="1"/>
    <col min="9749" max="9749" width="19.75" style="22" customWidth="1"/>
    <col min="9750" max="9750" width="9.375" style="22" customWidth="1"/>
    <col min="9751" max="9751" width="9.125" style="22"/>
    <col min="9752" max="9752" width="10.875" style="22" customWidth="1"/>
    <col min="9753" max="9753" width="9.875" style="22" customWidth="1"/>
    <col min="9754" max="9948" width="9.125" style="22"/>
    <col min="9949" max="9949" width="4" style="22" customWidth="1"/>
    <col min="9950" max="9950" width="5.875" style="22" customWidth="1"/>
    <col min="9951" max="9951" width="6.375" style="22" customWidth="1"/>
    <col min="9952" max="9952" width="20.25" style="22" customWidth="1"/>
    <col min="9953" max="9953" width="7.375" style="22" customWidth="1"/>
    <col min="9954" max="9954" width="12.75" style="22" customWidth="1"/>
    <col min="9955" max="9955" width="5.875" style="22" customWidth="1"/>
    <col min="9956" max="9956" width="8.75" style="22" customWidth="1"/>
    <col min="9957" max="9957" width="25.625" style="22" customWidth="1"/>
    <col min="9958" max="9958" width="6" style="22" customWidth="1"/>
    <col min="9959" max="9959" width="7.375" style="22" customWidth="1"/>
    <col min="9960" max="9960" width="7.125" style="22" customWidth="1"/>
    <col min="9961" max="9961" width="7" style="22" customWidth="1"/>
    <col min="9962" max="9962" width="6" style="22" customWidth="1"/>
    <col min="9963" max="9963" width="6.25" style="22" customWidth="1"/>
    <col min="9964" max="9964" width="6.375" style="22" customWidth="1"/>
    <col min="9965" max="9965" width="19.125" style="22" customWidth="1"/>
    <col min="9966" max="9966" width="8.125" style="22" customWidth="1"/>
    <col min="9967" max="9967" width="8.75" style="22" customWidth="1"/>
    <col min="9968" max="9968" width="11.25" style="22" customWidth="1"/>
    <col min="9969" max="9969" width="22.875" style="22" customWidth="1"/>
    <col min="9970" max="9970" width="9.375" style="22" customWidth="1"/>
    <col min="9971" max="9971" width="9.875" style="22" customWidth="1"/>
    <col min="9972" max="9973" width="15.875" style="22" customWidth="1"/>
    <col min="9974" max="9974" width="15" style="22" customWidth="1"/>
    <col min="9975" max="9975" width="23.25" style="22" customWidth="1"/>
    <col min="9976" max="9976" width="26.375" style="22" customWidth="1"/>
    <col min="9977" max="9977" width="11.25" style="22" customWidth="1"/>
    <col min="9978" max="9978" width="19.625" style="22" customWidth="1"/>
    <col min="9979" max="9979" width="14.375" style="22" customWidth="1"/>
    <col min="9980" max="9980" width="18.375" style="22" customWidth="1"/>
    <col min="9981" max="9981" width="10.25" style="22" customWidth="1"/>
    <col min="9982" max="9982" width="36.375" style="22" customWidth="1"/>
    <col min="9983" max="9983" width="20.625" style="22" customWidth="1"/>
    <col min="9984" max="9984" width="16.375" style="22" customWidth="1"/>
    <col min="9985" max="9985" width="14.625" style="22" customWidth="1"/>
    <col min="9986" max="9986" width="10" style="22" customWidth="1"/>
    <col min="9987" max="9987" width="8" style="22" customWidth="1"/>
    <col min="9988" max="9988" width="16" style="22" customWidth="1"/>
    <col min="9989" max="9989" width="16.375" style="22" customWidth="1"/>
    <col min="9990" max="9990" width="9.125" style="22"/>
    <col min="9991" max="9991" width="16.25" style="22" customWidth="1"/>
    <col min="9992" max="10001" width="9.125" style="22"/>
    <col min="10002" max="10002" width="12.625" style="22" customWidth="1"/>
    <col min="10003" max="10003" width="22.875" style="22" customWidth="1"/>
    <col min="10004" max="10004" width="8.75" style="22" customWidth="1"/>
    <col min="10005" max="10005" width="19.75" style="22" customWidth="1"/>
    <col min="10006" max="10006" width="9.375" style="22" customWidth="1"/>
    <col min="10007" max="10007" width="9.125" style="22"/>
    <col min="10008" max="10008" width="10.875" style="22" customWidth="1"/>
    <col min="10009" max="10009" width="9.875" style="22" customWidth="1"/>
    <col min="10010" max="10204" width="9.125" style="22"/>
    <col min="10205" max="10205" width="4" style="22" customWidth="1"/>
    <col min="10206" max="10206" width="5.875" style="22" customWidth="1"/>
    <col min="10207" max="10207" width="6.375" style="22" customWidth="1"/>
    <col min="10208" max="10208" width="20.25" style="22" customWidth="1"/>
    <col min="10209" max="10209" width="7.375" style="22" customWidth="1"/>
    <col min="10210" max="10210" width="12.75" style="22" customWidth="1"/>
    <col min="10211" max="10211" width="5.875" style="22" customWidth="1"/>
    <col min="10212" max="10212" width="8.75" style="22" customWidth="1"/>
    <col min="10213" max="10213" width="25.625" style="22" customWidth="1"/>
    <col min="10214" max="10214" width="6" style="22" customWidth="1"/>
    <col min="10215" max="10215" width="7.375" style="22" customWidth="1"/>
    <col min="10216" max="10216" width="7.125" style="22" customWidth="1"/>
    <col min="10217" max="10217" width="7" style="22" customWidth="1"/>
    <col min="10218" max="10218" width="6" style="22" customWidth="1"/>
    <col min="10219" max="10219" width="6.25" style="22" customWidth="1"/>
    <col min="10220" max="10220" width="6.375" style="22" customWidth="1"/>
    <col min="10221" max="10221" width="19.125" style="22" customWidth="1"/>
    <col min="10222" max="10222" width="8.125" style="22" customWidth="1"/>
    <col min="10223" max="10223" width="8.75" style="22" customWidth="1"/>
    <col min="10224" max="10224" width="11.25" style="22" customWidth="1"/>
    <col min="10225" max="10225" width="22.875" style="22" customWidth="1"/>
    <col min="10226" max="10226" width="9.375" style="22" customWidth="1"/>
    <col min="10227" max="10227" width="9.875" style="22" customWidth="1"/>
    <col min="10228" max="10229" width="15.875" style="22" customWidth="1"/>
    <col min="10230" max="10230" width="15" style="22" customWidth="1"/>
    <col min="10231" max="10231" width="23.25" style="22" customWidth="1"/>
    <col min="10232" max="10232" width="26.375" style="22" customWidth="1"/>
    <col min="10233" max="10233" width="11.25" style="22" customWidth="1"/>
    <col min="10234" max="10234" width="19.625" style="22" customWidth="1"/>
    <col min="10235" max="10235" width="14.375" style="22" customWidth="1"/>
    <col min="10236" max="10236" width="18.375" style="22" customWidth="1"/>
    <col min="10237" max="10237" width="10.25" style="22" customWidth="1"/>
    <col min="10238" max="10238" width="36.375" style="22" customWidth="1"/>
    <col min="10239" max="10239" width="20.625" style="22" customWidth="1"/>
    <col min="10240" max="10240" width="16.375" style="22" customWidth="1"/>
    <col min="10241" max="10241" width="14.625" style="22" customWidth="1"/>
    <col min="10242" max="10242" width="10" style="22" customWidth="1"/>
    <col min="10243" max="10243" width="8" style="22" customWidth="1"/>
    <col min="10244" max="10244" width="16" style="22" customWidth="1"/>
    <col min="10245" max="10245" width="16.375" style="22" customWidth="1"/>
    <col min="10246" max="10246" width="9.125" style="22"/>
    <col min="10247" max="10247" width="16.25" style="22" customWidth="1"/>
    <col min="10248" max="10257" width="9.125" style="22"/>
    <col min="10258" max="10258" width="12.625" style="22" customWidth="1"/>
    <col min="10259" max="10259" width="22.875" style="22" customWidth="1"/>
    <col min="10260" max="10260" width="8.75" style="22" customWidth="1"/>
    <col min="10261" max="10261" width="19.75" style="22" customWidth="1"/>
    <col min="10262" max="10262" width="9.375" style="22" customWidth="1"/>
    <col min="10263" max="10263" width="9.125" style="22"/>
    <col min="10264" max="10264" width="10.875" style="22" customWidth="1"/>
    <col min="10265" max="10265" width="9.875" style="22" customWidth="1"/>
    <col min="10266" max="10460" width="9.125" style="22"/>
    <col min="10461" max="10461" width="4" style="22" customWidth="1"/>
    <col min="10462" max="10462" width="5.875" style="22" customWidth="1"/>
    <col min="10463" max="10463" width="6.375" style="22" customWidth="1"/>
    <col min="10464" max="10464" width="20.25" style="22" customWidth="1"/>
    <col min="10465" max="10465" width="7.375" style="22" customWidth="1"/>
    <col min="10466" max="10466" width="12.75" style="22" customWidth="1"/>
    <col min="10467" max="10467" width="5.875" style="22" customWidth="1"/>
    <col min="10468" max="10468" width="8.75" style="22" customWidth="1"/>
    <col min="10469" max="10469" width="25.625" style="22" customWidth="1"/>
    <col min="10470" max="10470" width="6" style="22" customWidth="1"/>
    <col min="10471" max="10471" width="7.375" style="22" customWidth="1"/>
    <col min="10472" max="10472" width="7.125" style="22" customWidth="1"/>
    <col min="10473" max="10473" width="7" style="22" customWidth="1"/>
    <col min="10474" max="10474" width="6" style="22" customWidth="1"/>
    <col min="10475" max="10475" width="6.25" style="22" customWidth="1"/>
    <col min="10476" max="10476" width="6.375" style="22" customWidth="1"/>
    <col min="10477" max="10477" width="19.125" style="22" customWidth="1"/>
    <col min="10478" max="10478" width="8.125" style="22" customWidth="1"/>
    <col min="10479" max="10479" width="8.75" style="22" customWidth="1"/>
    <col min="10480" max="10480" width="11.25" style="22" customWidth="1"/>
    <col min="10481" max="10481" width="22.875" style="22" customWidth="1"/>
    <col min="10482" max="10482" width="9.375" style="22" customWidth="1"/>
    <col min="10483" max="10483" width="9.875" style="22" customWidth="1"/>
    <col min="10484" max="10485" width="15.875" style="22" customWidth="1"/>
    <col min="10486" max="10486" width="15" style="22" customWidth="1"/>
    <col min="10487" max="10487" width="23.25" style="22" customWidth="1"/>
    <col min="10488" max="10488" width="26.375" style="22" customWidth="1"/>
    <col min="10489" max="10489" width="11.25" style="22" customWidth="1"/>
    <col min="10490" max="10490" width="19.625" style="22" customWidth="1"/>
    <col min="10491" max="10491" width="14.375" style="22" customWidth="1"/>
    <col min="10492" max="10492" width="18.375" style="22" customWidth="1"/>
    <col min="10493" max="10493" width="10.25" style="22" customWidth="1"/>
    <col min="10494" max="10494" width="36.375" style="22" customWidth="1"/>
    <col min="10495" max="10495" width="20.625" style="22" customWidth="1"/>
    <col min="10496" max="10496" width="16.375" style="22" customWidth="1"/>
    <col min="10497" max="10497" width="14.625" style="22" customWidth="1"/>
    <col min="10498" max="10498" width="10" style="22" customWidth="1"/>
    <col min="10499" max="10499" width="8" style="22" customWidth="1"/>
    <col min="10500" max="10500" width="16" style="22" customWidth="1"/>
    <col min="10501" max="10501" width="16.375" style="22" customWidth="1"/>
    <col min="10502" max="10502" width="9.125" style="22"/>
    <col min="10503" max="10503" width="16.25" style="22" customWidth="1"/>
    <col min="10504" max="10513" width="9.125" style="22"/>
    <col min="10514" max="10514" width="12.625" style="22" customWidth="1"/>
    <col min="10515" max="10515" width="22.875" style="22" customWidth="1"/>
    <col min="10516" max="10516" width="8.75" style="22" customWidth="1"/>
    <col min="10517" max="10517" width="19.75" style="22" customWidth="1"/>
    <col min="10518" max="10518" width="9.375" style="22" customWidth="1"/>
    <col min="10519" max="10519" width="9.125" style="22"/>
    <col min="10520" max="10520" width="10.875" style="22" customWidth="1"/>
    <col min="10521" max="10521" width="9.875" style="22" customWidth="1"/>
    <col min="10522" max="10716" width="9.125" style="22"/>
    <col min="10717" max="10717" width="4" style="22" customWidth="1"/>
    <col min="10718" max="10718" width="5.875" style="22" customWidth="1"/>
    <col min="10719" max="10719" width="6.375" style="22" customWidth="1"/>
    <col min="10720" max="10720" width="20.25" style="22" customWidth="1"/>
    <col min="10721" max="10721" width="7.375" style="22" customWidth="1"/>
    <col min="10722" max="10722" width="12.75" style="22" customWidth="1"/>
    <col min="10723" max="10723" width="5.875" style="22" customWidth="1"/>
    <col min="10724" max="10724" width="8.75" style="22" customWidth="1"/>
    <col min="10725" max="10725" width="25.625" style="22" customWidth="1"/>
    <col min="10726" max="10726" width="6" style="22" customWidth="1"/>
    <col min="10727" max="10727" width="7.375" style="22" customWidth="1"/>
    <col min="10728" max="10728" width="7.125" style="22" customWidth="1"/>
    <col min="10729" max="10729" width="7" style="22" customWidth="1"/>
    <col min="10730" max="10730" width="6" style="22" customWidth="1"/>
    <col min="10731" max="10731" width="6.25" style="22" customWidth="1"/>
    <col min="10732" max="10732" width="6.375" style="22" customWidth="1"/>
    <col min="10733" max="10733" width="19.125" style="22" customWidth="1"/>
    <col min="10734" max="10734" width="8.125" style="22" customWidth="1"/>
    <col min="10735" max="10735" width="8.75" style="22" customWidth="1"/>
    <col min="10736" max="10736" width="11.25" style="22" customWidth="1"/>
    <col min="10737" max="10737" width="22.875" style="22" customWidth="1"/>
    <col min="10738" max="10738" width="9.375" style="22" customWidth="1"/>
    <col min="10739" max="10739" width="9.875" style="22" customWidth="1"/>
    <col min="10740" max="10741" width="15.875" style="22" customWidth="1"/>
    <col min="10742" max="10742" width="15" style="22" customWidth="1"/>
    <col min="10743" max="10743" width="23.25" style="22" customWidth="1"/>
    <col min="10744" max="10744" width="26.375" style="22" customWidth="1"/>
    <col min="10745" max="10745" width="11.25" style="22" customWidth="1"/>
    <col min="10746" max="10746" width="19.625" style="22" customWidth="1"/>
    <col min="10747" max="10747" width="14.375" style="22" customWidth="1"/>
    <col min="10748" max="10748" width="18.375" style="22" customWidth="1"/>
    <col min="10749" max="10749" width="10.25" style="22" customWidth="1"/>
    <col min="10750" max="10750" width="36.375" style="22" customWidth="1"/>
    <col min="10751" max="10751" width="20.625" style="22" customWidth="1"/>
    <col min="10752" max="10752" width="16.375" style="22" customWidth="1"/>
    <col min="10753" max="10753" width="14.625" style="22" customWidth="1"/>
    <col min="10754" max="10754" width="10" style="22" customWidth="1"/>
    <col min="10755" max="10755" width="8" style="22" customWidth="1"/>
    <col min="10756" max="10756" width="16" style="22" customWidth="1"/>
    <col min="10757" max="10757" width="16.375" style="22" customWidth="1"/>
    <col min="10758" max="10758" width="9.125" style="22"/>
    <col min="10759" max="10759" width="16.25" style="22" customWidth="1"/>
    <col min="10760" max="10769" width="9.125" style="22"/>
    <col min="10770" max="10770" width="12.625" style="22" customWidth="1"/>
    <col min="10771" max="10771" width="22.875" style="22" customWidth="1"/>
    <col min="10772" max="10772" width="8.75" style="22" customWidth="1"/>
    <col min="10773" max="10773" width="19.75" style="22" customWidth="1"/>
    <col min="10774" max="10774" width="9.375" style="22" customWidth="1"/>
    <col min="10775" max="10775" width="9.125" style="22"/>
    <col min="10776" max="10776" width="10.875" style="22" customWidth="1"/>
    <col min="10777" max="10777" width="9.875" style="22" customWidth="1"/>
    <col min="10778" max="10972" width="9.125" style="22"/>
    <col min="10973" max="10973" width="4" style="22" customWidth="1"/>
    <col min="10974" max="10974" width="5.875" style="22" customWidth="1"/>
    <col min="10975" max="10975" width="6.375" style="22" customWidth="1"/>
    <col min="10976" max="10976" width="20.25" style="22" customWidth="1"/>
    <col min="10977" max="10977" width="7.375" style="22" customWidth="1"/>
    <col min="10978" max="10978" width="12.75" style="22" customWidth="1"/>
    <col min="10979" max="10979" width="5.875" style="22" customWidth="1"/>
    <col min="10980" max="10980" width="8.75" style="22" customWidth="1"/>
    <col min="10981" max="10981" width="25.625" style="22" customWidth="1"/>
    <col min="10982" max="10982" width="6" style="22" customWidth="1"/>
    <col min="10983" max="10983" width="7.375" style="22" customWidth="1"/>
    <col min="10984" max="10984" width="7.125" style="22" customWidth="1"/>
    <col min="10985" max="10985" width="7" style="22" customWidth="1"/>
    <col min="10986" max="10986" width="6" style="22" customWidth="1"/>
    <col min="10987" max="10987" width="6.25" style="22" customWidth="1"/>
    <col min="10988" max="10988" width="6.375" style="22" customWidth="1"/>
    <col min="10989" max="10989" width="19.125" style="22" customWidth="1"/>
    <col min="10990" max="10990" width="8.125" style="22" customWidth="1"/>
    <col min="10991" max="10991" width="8.75" style="22" customWidth="1"/>
    <col min="10992" max="10992" width="11.25" style="22" customWidth="1"/>
    <col min="10993" max="10993" width="22.875" style="22" customWidth="1"/>
    <col min="10994" max="10994" width="9.375" style="22" customWidth="1"/>
    <col min="10995" max="10995" width="9.875" style="22" customWidth="1"/>
    <col min="10996" max="10997" width="15.875" style="22" customWidth="1"/>
    <col min="10998" max="10998" width="15" style="22" customWidth="1"/>
    <col min="10999" max="10999" width="23.25" style="22" customWidth="1"/>
    <col min="11000" max="11000" width="26.375" style="22" customWidth="1"/>
    <col min="11001" max="11001" width="11.25" style="22" customWidth="1"/>
    <col min="11002" max="11002" width="19.625" style="22" customWidth="1"/>
    <col min="11003" max="11003" width="14.375" style="22" customWidth="1"/>
    <col min="11004" max="11004" width="18.375" style="22" customWidth="1"/>
    <col min="11005" max="11005" width="10.25" style="22" customWidth="1"/>
    <col min="11006" max="11006" width="36.375" style="22" customWidth="1"/>
    <col min="11007" max="11007" width="20.625" style="22" customWidth="1"/>
    <col min="11008" max="11008" width="16.375" style="22" customWidth="1"/>
    <col min="11009" max="11009" width="14.625" style="22" customWidth="1"/>
    <col min="11010" max="11010" width="10" style="22" customWidth="1"/>
    <col min="11011" max="11011" width="8" style="22" customWidth="1"/>
    <col min="11012" max="11012" width="16" style="22" customWidth="1"/>
    <col min="11013" max="11013" width="16.375" style="22" customWidth="1"/>
    <col min="11014" max="11014" width="9.125" style="22"/>
    <col min="11015" max="11015" width="16.25" style="22" customWidth="1"/>
    <col min="11016" max="11025" width="9.125" style="22"/>
    <col min="11026" max="11026" width="12.625" style="22" customWidth="1"/>
    <col min="11027" max="11027" width="22.875" style="22" customWidth="1"/>
    <col min="11028" max="11028" width="8.75" style="22" customWidth="1"/>
    <col min="11029" max="11029" width="19.75" style="22" customWidth="1"/>
    <col min="11030" max="11030" width="9.375" style="22" customWidth="1"/>
    <col min="11031" max="11031" width="9.125" style="22"/>
    <col min="11032" max="11032" width="10.875" style="22" customWidth="1"/>
    <col min="11033" max="11033" width="9.875" style="22" customWidth="1"/>
    <col min="11034" max="11228" width="9.125" style="22"/>
    <col min="11229" max="11229" width="4" style="22" customWidth="1"/>
    <col min="11230" max="11230" width="5.875" style="22" customWidth="1"/>
    <col min="11231" max="11231" width="6.375" style="22" customWidth="1"/>
    <col min="11232" max="11232" width="20.25" style="22" customWidth="1"/>
    <col min="11233" max="11233" width="7.375" style="22" customWidth="1"/>
    <col min="11234" max="11234" width="12.75" style="22" customWidth="1"/>
    <col min="11235" max="11235" width="5.875" style="22" customWidth="1"/>
    <col min="11236" max="11236" width="8.75" style="22" customWidth="1"/>
    <col min="11237" max="11237" width="25.625" style="22" customWidth="1"/>
    <col min="11238" max="11238" width="6" style="22" customWidth="1"/>
    <col min="11239" max="11239" width="7.375" style="22" customWidth="1"/>
    <col min="11240" max="11240" width="7.125" style="22" customWidth="1"/>
    <col min="11241" max="11241" width="7" style="22" customWidth="1"/>
    <col min="11242" max="11242" width="6" style="22" customWidth="1"/>
    <col min="11243" max="11243" width="6.25" style="22" customWidth="1"/>
    <col min="11244" max="11244" width="6.375" style="22" customWidth="1"/>
    <col min="11245" max="11245" width="19.125" style="22" customWidth="1"/>
    <col min="11246" max="11246" width="8.125" style="22" customWidth="1"/>
    <col min="11247" max="11247" width="8.75" style="22" customWidth="1"/>
    <col min="11248" max="11248" width="11.25" style="22" customWidth="1"/>
    <col min="11249" max="11249" width="22.875" style="22" customWidth="1"/>
    <col min="11250" max="11250" width="9.375" style="22" customWidth="1"/>
    <col min="11251" max="11251" width="9.875" style="22" customWidth="1"/>
    <col min="11252" max="11253" width="15.875" style="22" customWidth="1"/>
    <col min="11254" max="11254" width="15" style="22" customWidth="1"/>
    <col min="11255" max="11255" width="23.25" style="22" customWidth="1"/>
    <col min="11256" max="11256" width="26.375" style="22" customWidth="1"/>
    <col min="11257" max="11257" width="11.25" style="22" customWidth="1"/>
    <col min="11258" max="11258" width="19.625" style="22" customWidth="1"/>
    <col min="11259" max="11259" width="14.375" style="22" customWidth="1"/>
    <col min="11260" max="11260" width="18.375" style="22" customWidth="1"/>
    <col min="11261" max="11261" width="10.25" style="22" customWidth="1"/>
    <col min="11262" max="11262" width="36.375" style="22" customWidth="1"/>
    <col min="11263" max="11263" width="20.625" style="22" customWidth="1"/>
    <col min="11264" max="11264" width="16.375" style="22" customWidth="1"/>
    <col min="11265" max="11265" width="14.625" style="22" customWidth="1"/>
    <col min="11266" max="11266" width="10" style="22" customWidth="1"/>
    <col min="11267" max="11267" width="8" style="22" customWidth="1"/>
    <col min="11268" max="11268" width="16" style="22" customWidth="1"/>
    <col min="11269" max="11269" width="16.375" style="22" customWidth="1"/>
    <col min="11270" max="11270" width="9.125" style="22"/>
    <col min="11271" max="11271" width="16.25" style="22" customWidth="1"/>
    <col min="11272" max="11281" width="9.125" style="22"/>
    <col min="11282" max="11282" width="12.625" style="22" customWidth="1"/>
    <col min="11283" max="11283" width="22.875" style="22" customWidth="1"/>
    <col min="11284" max="11284" width="8.75" style="22" customWidth="1"/>
    <col min="11285" max="11285" width="19.75" style="22" customWidth="1"/>
    <col min="11286" max="11286" width="9.375" style="22" customWidth="1"/>
    <col min="11287" max="11287" width="9.125" style="22"/>
    <col min="11288" max="11288" width="10.875" style="22" customWidth="1"/>
    <col min="11289" max="11289" width="9.875" style="22" customWidth="1"/>
    <col min="11290" max="11484" width="9.125" style="22"/>
    <col min="11485" max="11485" width="4" style="22" customWidth="1"/>
    <col min="11486" max="11486" width="5.875" style="22" customWidth="1"/>
    <col min="11487" max="11487" width="6.375" style="22" customWidth="1"/>
    <col min="11488" max="11488" width="20.25" style="22" customWidth="1"/>
    <col min="11489" max="11489" width="7.375" style="22" customWidth="1"/>
    <col min="11490" max="11490" width="12.75" style="22" customWidth="1"/>
    <col min="11491" max="11491" width="5.875" style="22" customWidth="1"/>
    <col min="11492" max="11492" width="8.75" style="22" customWidth="1"/>
    <col min="11493" max="11493" width="25.625" style="22" customWidth="1"/>
    <col min="11494" max="11494" width="6" style="22" customWidth="1"/>
    <col min="11495" max="11495" width="7.375" style="22" customWidth="1"/>
    <col min="11496" max="11496" width="7.125" style="22" customWidth="1"/>
    <col min="11497" max="11497" width="7" style="22" customWidth="1"/>
    <col min="11498" max="11498" width="6" style="22" customWidth="1"/>
    <col min="11499" max="11499" width="6.25" style="22" customWidth="1"/>
    <col min="11500" max="11500" width="6.375" style="22" customWidth="1"/>
    <col min="11501" max="11501" width="19.125" style="22" customWidth="1"/>
    <col min="11502" max="11502" width="8.125" style="22" customWidth="1"/>
    <col min="11503" max="11503" width="8.75" style="22" customWidth="1"/>
    <col min="11504" max="11504" width="11.25" style="22" customWidth="1"/>
    <col min="11505" max="11505" width="22.875" style="22" customWidth="1"/>
    <col min="11506" max="11506" width="9.375" style="22" customWidth="1"/>
    <col min="11507" max="11507" width="9.875" style="22" customWidth="1"/>
    <col min="11508" max="11509" width="15.875" style="22" customWidth="1"/>
    <col min="11510" max="11510" width="15" style="22" customWidth="1"/>
    <col min="11511" max="11511" width="23.25" style="22" customWidth="1"/>
    <col min="11512" max="11512" width="26.375" style="22" customWidth="1"/>
    <col min="11513" max="11513" width="11.25" style="22" customWidth="1"/>
    <col min="11514" max="11514" width="19.625" style="22" customWidth="1"/>
    <col min="11515" max="11515" width="14.375" style="22" customWidth="1"/>
    <col min="11516" max="11516" width="18.375" style="22" customWidth="1"/>
    <col min="11517" max="11517" width="10.25" style="22" customWidth="1"/>
    <col min="11518" max="11518" width="36.375" style="22" customWidth="1"/>
    <col min="11519" max="11519" width="20.625" style="22" customWidth="1"/>
    <col min="11520" max="11520" width="16.375" style="22" customWidth="1"/>
    <col min="11521" max="11521" width="14.625" style="22" customWidth="1"/>
    <col min="11522" max="11522" width="10" style="22" customWidth="1"/>
    <col min="11523" max="11523" width="8" style="22" customWidth="1"/>
    <col min="11524" max="11524" width="16" style="22" customWidth="1"/>
    <col min="11525" max="11525" width="16.375" style="22" customWidth="1"/>
    <col min="11526" max="11526" width="9.125" style="22"/>
    <col min="11527" max="11527" width="16.25" style="22" customWidth="1"/>
    <col min="11528" max="11537" width="9.125" style="22"/>
    <col min="11538" max="11538" width="12.625" style="22" customWidth="1"/>
    <col min="11539" max="11539" width="22.875" style="22" customWidth="1"/>
    <col min="11540" max="11540" width="8.75" style="22" customWidth="1"/>
    <col min="11541" max="11541" width="19.75" style="22" customWidth="1"/>
    <col min="11542" max="11542" width="9.375" style="22" customWidth="1"/>
    <col min="11543" max="11543" width="9.125" style="22"/>
    <col min="11544" max="11544" width="10.875" style="22" customWidth="1"/>
    <col min="11545" max="11545" width="9.875" style="22" customWidth="1"/>
    <col min="11546" max="11740" width="9.125" style="22"/>
    <col min="11741" max="11741" width="4" style="22" customWidth="1"/>
    <col min="11742" max="11742" width="5.875" style="22" customWidth="1"/>
    <col min="11743" max="11743" width="6.375" style="22" customWidth="1"/>
    <col min="11744" max="11744" width="20.25" style="22" customWidth="1"/>
    <col min="11745" max="11745" width="7.375" style="22" customWidth="1"/>
    <col min="11746" max="11746" width="12.75" style="22" customWidth="1"/>
    <col min="11747" max="11747" width="5.875" style="22" customWidth="1"/>
    <col min="11748" max="11748" width="8.75" style="22" customWidth="1"/>
    <col min="11749" max="11749" width="25.625" style="22" customWidth="1"/>
    <col min="11750" max="11750" width="6" style="22" customWidth="1"/>
    <col min="11751" max="11751" width="7.375" style="22" customWidth="1"/>
    <col min="11752" max="11752" width="7.125" style="22" customWidth="1"/>
    <col min="11753" max="11753" width="7" style="22" customWidth="1"/>
    <col min="11754" max="11754" width="6" style="22" customWidth="1"/>
    <col min="11755" max="11755" width="6.25" style="22" customWidth="1"/>
    <col min="11756" max="11756" width="6.375" style="22" customWidth="1"/>
    <col min="11757" max="11757" width="19.125" style="22" customWidth="1"/>
    <col min="11758" max="11758" width="8.125" style="22" customWidth="1"/>
    <col min="11759" max="11759" width="8.75" style="22" customWidth="1"/>
    <col min="11760" max="11760" width="11.25" style="22" customWidth="1"/>
    <col min="11761" max="11761" width="22.875" style="22" customWidth="1"/>
    <col min="11762" max="11762" width="9.375" style="22" customWidth="1"/>
    <col min="11763" max="11763" width="9.875" style="22" customWidth="1"/>
    <col min="11764" max="11765" width="15.875" style="22" customWidth="1"/>
    <col min="11766" max="11766" width="15" style="22" customWidth="1"/>
    <col min="11767" max="11767" width="23.25" style="22" customWidth="1"/>
    <col min="11768" max="11768" width="26.375" style="22" customWidth="1"/>
    <col min="11769" max="11769" width="11.25" style="22" customWidth="1"/>
    <col min="11770" max="11770" width="19.625" style="22" customWidth="1"/>
    <col min="11771" max="11771" width="14.375" style="22" customWidth="1"/>
    <col min="11772" max="11772" width="18.375" style="22" customWidth="1"/>
    <col min="11773" max="11773" width="10.25" style="22" customWidth="1"/>
    <col min="11774" max="11774" width="36.375" style="22" customWidth="1"/>
    <col min="11775" max="11775" width="20.625" style="22" customWidth="1"/>
    <col min="11776" max="11776" width="16.375" style="22" customWidth="1"/>
    <col min="11777" max="11777" width="14.625" style="22" customWidth="1"/>
    <col min="11778" max="11778" width="10" style="22" customWidth="1"/>
    <col min="11779" max="11779" width="8" style="22" customWidth="1"/>
    <col min="11780" max="11780" width="16" style="22" customWidth="1"/>
    <col min="11781" max="11781" width="16.375" style="22" customWidth="1"/>
    <col min="11782" max="11782" width="9.125" style="22"/>
    <col min="11783" max="11783" width="16.25" style="22" customWidth="1"/>
    <col min="11784" max="11793" width="9.125" style="22"/>
    <col min="11794" max="11794" width="12.625" style="22" customWidth="1"/>
    <col min="11795" max="11795" width="22.875" style="22" customWidth="1"/>
    <col min="11796" max="11796" width="8.75" style="22" customWidth="1"/>
    <col min="11797" max="11797" width="19.75" style="22" customWidth="1"/>
    <col min="11798" max="11798" width="9.375" style="22" customWidth="1"/>
    <col min="11799" max="11799" width="9.125" style="22"/>
    <col min="11800" max="11800" width="10.875" style="22" customWidth="1"/>
    <col min="11801" max="11801" width="9.875" style="22" customWidth="1"/>
    <col min="11802" max="11996" width="9.125" style="22"/>
    <col min="11997" max="11997" width="4" style="22" customWidth="1"/>
    <col min="11998" max="11998" width="5.875" style="22" customWidth="1"/>
    <col min="11999" max="11999" width="6.375" style="22" customWidth="1"/>
    <col min="12000" max="12000" width="20.25" style="22" customWidth="1"/>
    <col min="12001" max="12001" width="7.375" style="22" customWidth="1"/>
    <col min="12002" max="12002" width="12.75" style="22" customWidth="1"/>
    <col min="12003" max="12003" width="5.875" style="22" customWidth="1"/>
    <col min="12004" max="12004" width="8.75" style="22" customWidth="1"/>
    <col min="12005" max="12005" width="25.625" style="22" customWidth="1"/>
    <col min="12006" max="12006" width="6" style="22" customWidth="1"/>
    <col min="12007" max="12007" width="7.375" style="22" customWidth="1"/>
    <col min="12008" max="12008" width="7.125" style="22" customWidth="1"/>
    <col min="12009" max="12009" width="7" style="22" customWidth="1"/>
    <col min="12010" max="12010" width="6" style="22" customWidth="1"/>
    <col min="12011" max="12011" width="6.25" style="22" customWidth="1"/>
    <col min="12012" max="12012" width="6.375" style="22" customWidth="1"/>
    <col min="12013" max="12013" width="19.125" style="22" customWidth="1"/>
    <col min="12014" max="12014" width="8.125" style="22" customWidth="1"/>
    <col min="12015" max="12015" width="8.75" style="22" customWidth="1"/>
    <col min="12016" max="12016" width="11.25" style="22" customWidth="1"/>
    <col min="12017" max="12017" width="22.875" style="22" customWidth="1"/>
    <col min="12018" max="12018" width="9.375" style="22" customWidth="1"/>
    <col min="12019" max="12019" width="9.875" style="22" customWidth="1"/>
    <col min="12020" max="12021" width="15.875" style="22" customWidth="1"/>
    <col min="12022" max="12022" width="15" style="22" customWidth="1"/>
    <col min="12023" max="12023" width="23.25" style="22" customWidth="1"/>
    <col min="12024" max="12024" width="26.375" style="22" customWidth="1"/>
    <col min="12025" max="12025" width="11.25" style="22" customWidth="1"/>
    <col min="12026" max="12026" width="19.625" style="22" customWidth="1"/>
    <col min="12027" max="12027" width="14.375" style="22" customWidth="1"/>
    <col min="12028" max="12028" width="18.375" style="22" customWidth="1"/>
    <col min="12029" max="12029" width="10.25" style="22" customWidth="1"/>
    <col min="12030" max="12030" width="36.375" style="22" customWidth="1"/>
    <col min="12031" max="12031" width="20.625" style="22" customWidth="1"/>
    <col min="12032" max="12032" width="16.375" style="22" customWidth="1"/>
    <col min="12033" max="12033" width="14.625" style="22" customWidth="1"/>
    <col min="12034" max="12034" width="10" style="22" customWidth="1"/>
    <col min="12035" max="12035" width="8" style="22" customWidth="1"/>
    <col min="12036" max="12036" width="16" style="22" customWidth="1"/>
    <col min="12037" max="12037" width="16.375" style="22" customWidth="1"/>
    <col min="12038" max="12038" width="9.125" style="22"/>
    <col min="12039" max="12039" width="16.25" style="22" customWidth="1"/>
    <col min="12040" max="12049" width="9.125" style="22"/>
    <col min="12050" max="12050" width="12.625" style="22" customWidth="1"/>
    <col min="12051" max="12051" width="22.875" style="22" customWidth="1"/>
    <col min="12052" max="12052" width="8.75" style="22" customWidth="1"/>
    <col min="12053" max="12053" width="19.75" style="22" customWidth="1"/>
    <col min="12054" max="12054" width="9.375" style="22" customWidth="1"/>
    <col min="12055" max="12055" width="9.125" style="22"/>
    <col min="12056" max="12056" width="10.875" style="22" customWidth="1"/>
    <col min="12057" max="12057" width="9.875" style="22" customWidth="1"/>
    <col min="12058" max="12252" width="9.125" style="22"/>
    <col min="12253" max="12253" width="4" style="22" customWidth="1"/>
    <col min="12254" max="12254" width="5.875" style="22" customWidth="1"/>
    <col min="12255" max="12255" width="6.375" style="22" customWidth="1"/>
    <col min="12256" max="12256" width="20.25" style="22" customWidth="1"/>
    <col min="12257" max="12257" width="7.375" style="22" customWidth="1"/>
    <col min="12258" max="12258" width="12.75" style="22" customWidth="1"/>
    <col min="12259" max="12259" width="5.875" style="22" customWidth="1"/>
    <col min="12260" max="12260" width="8.75" style="22" customWidth="1"/>
    <col min="12261" max="12261" width="25.625" style="22" customWidth="1"/>
    <col min="12262" max="12262" width="6" style="22" customWidth="1"/>
    <col min="12263" max="12263" width="7.375" style="22" customWidth="1"/>
    <col min="12264" max="12264" width="7.125" style="22" customWidth="1"/>
    <col min="12265" max="12265" width="7" style="22" customWidth="1"/>
    <col min="12266" max="12266" width="6" style="22" customWidth="1"/>
    <col min="12267" max="12267" width="6.25" style="22" customWidth="1"/>
    <col min="12268" max="12268" width="6.375" style="22" customWidth="1"/>
    <col min="12269" max="12269" width="19.125" style="22" customWidth="1"/>
    <col min="12270" max="12270" width="8.125" style="22" customWidth="1"/>
    <col min="12271" max="12271" width="8.75" style="22" customWidth="1"/>
    <col min="12272" max="12272" width="11.25" style="22" customWidth="1"/>
    <col min="12273" max="12273" width="22.875" style="22" customWidth="1"/>
    <col min="12274" max="12274" width="9.375" style="22" customWidth="1"/>
    <col min="12275" max="12275" width="9.875" style="22" customWidth="1"/>
    <col min="12276" max="12277" width="15.875" style="22" customWidth="1"/>
    <col min="12278" max="12278" width="15" style="22" customWidth="1"/>
    <col min="12279" max="12279" width="23.25" style="22" customWidth="1"/>
    <col min="12280" max="12280" width="26.375" style="22" customWidth="1"/>
    <col min="12281" max="12281" width="11.25" style="22" customWidth="1"/>
    <col min="12282" max="12282" width="19.625" style="22" customWidth="1"/>
    <col min="12283" max="12283" width="14.375" style="22" customWidth="1"/>
    <col min="12284" max="12284" width="18.375" style="22" customWidth="1"/>
    <col min="12285" max="12285" width="10.25" style="22" customWidth="1"/>
    <col min="12286" max="12286" width="36.375" style="22" customWidth="1"/>
    <col min="12287" max="12287" width="20.625" style="22" customWidth="1"/>
    <col min="12288" max="12288" width="16.375" style="22" customWidth="1"/>
    <col min="12289" max="12289" width="14.625" style="22" customWidth="1"/>
    <col min="12290" max="12290" width="10" style="22" customWidth="1"/>
    <col min="12291" max="12291" width="8" style="22" customWidth="1"/>
    <col min="12292" max="12292" width="16" style="22" customWidth="1"/>
    <col min="12293" max="12293" width="16.375" style="22" customWidth="1"/>
    <col min="12294" max="12294" width="9.125" style="22"/>
    <col min="12295" max="12295" width="16.25" style="22" customWidth="1"/>
    <col min="12296" max="12305" width="9.125" style="22"/>
    <col min="12306" max="12306" width="12.625" style="22" customWidth="1"/>
    <col min="12307" max="12307" width="22.875" style="22" customWidth="1"/>
    <col min="12308" max="12308" width="8.75" style="22" customWidth="1"/>
    <col min="12309" max="12309" width="19.75" style="22" customWidth="1"/>
    <col min="12310" max="12310" width="9.375" style="22" customWidth="1"/>
    <col min="12311" max="12311" width="9.125" style="22"/>
    <col min="12312" max="12312" width="10.875" style="22" customWidth="1"/>
    <col min="12313" max="12313" width="9.875" style="22" customWidth="1"/>
    <col min="12314" max="12508" width="9.125" style="22"/>
    <col min="12509" max="12509" width="4" style="22" customWidth="1"/>
    <col min="12510" max="12510" width="5.875" style="22" customWidth="1"/>
    <col min="12511" max="12511" width="6.375" style="22" customWidth="1"/>
    <col min="12512" max="12512" width="20.25" style="22" customWidth="1"/>
    <col min="12513" max="12513" width="7.375" style="22" customWidth="1"/>
    <col min="12514" max="12514" width="12.75" style="22" customWidth="1"/>
    <col min="12515" max="12515" width="5.875" style="22" customWidth="1"/>
    <col min="12516" max="12516" width="8.75" style="22" customWidth="1"/>
    <col min="12517" max="12517" width="25.625" style="22" customWidth="1"/>
    <col min="12518" max="12518" width="6" style="22" customWidth="1"/>
    <col min="12519" max="12519" width="7.375" style="22" customWidth="1"/>
    <col min="12520" max="12520" width="7.125" style="22" customWidth="1"/>
    <col min="12521" max="12521" width="7" style="22" customWidth="1"/>
    <col min="12522" max="12522" width="6" style="22" customWidth="1"/>
    <col min="12523" max="12523" width="6.25" style="22" customWidth="1"/>
    <col min="12524" max="12524" width="6.375" style="22" customWidth="1"/>
    <col min="12525" max="12525" width="19.125" style="22" customWidth="1"/>
    <col min="12526" max="12526" width="8.125" style="22" customWidth="1"/>
    <col min="12527" max="12527" width="8.75" style="22" customWidth="1"/>
    <col min="12528" max="12528" width="11.25" style="22" customWidth="1"/>
    <col min="12529" max="12529" width="22.875" style="22" customWidth="1"/>
    <col min="12530" max="12530" width="9.375" style="22" customWidth="1"/>
    <col min="12531" max="12531" width="9.875" style="22" customWidth="1"/>
    <col min="12532" max="12533" width="15.875" style="22" customWidth="1"/>
    <col min="12534" max="12534" width="15" style="22" customWidth="1"/>
    <col min="12535" max="12535" width="23.25" style="22" customWidth="1"/>
    <col min="12536" max="12536" width="26.375" style="22" customWidth="1"/>
    <col min="12537" max="12537" width="11.25" style="22" customWidth="1"/>
    <col min="12538" max="12538" width="19.625" style="22" customWidth="1"/>
    <col min="12539" max="12539" width="14.375" style="22" customWidth="1"/>
    <col min="12540" max="12540" width="18.375" style="22" customWidth="1"/>
    <col min="12541" max="12541" width="10.25" style="22" customWidth="1"/>
    <col min="12542" max="12542" width="36.375" style="22" customWidth="1"/>
    <col min="12543" max="12543" width="20.625" style="22" customWidth="1"/>
    <col min="12544" max="12544" width="16.375" style="22" customWidth="1"/>
    <col min="12545" max="12545" width="14.625" style="22" customWidth="1"/>
    <col min="12546" max="12546" width="10" style="22" customWidth="1"/>
    <col min="12547" max="12547" width="8" style="22" customWidth="1"/>
    <col min="12548" max="12548" width="16" style="22" customWidth="1"/>
    <col min="12549" max="12549" width="16.375" style="22" customWidth="1"/>
    <col min="12550" max="12550" width="9.125" style="22"/>
    <col min="12551" max="12551" width="16.25" style="22" customWidth="1"/>
    <col min="12552" max="12561" width="9.125" style="22"/>
    <col min="12562" max="12562" width="12.625" style="22" customWidth="1"/>
    <col min="12563" max="12563" width="22.875" style="22" customWidth="1"/>
    <col min="12564" max="12564" width="8.75" style="22" customWidth="1"/>
    <col min="12565" max="12565" width="19.75" style="22" customWidth="1"/>
    <col min="12566" max="12566" width="9.375" style="22" customWidth="1"/>
    <col min="12567" max="12567" width="9.125" style="22"/>
    <col min="12568" max="12568" width="10.875" style="22" customWidth="1"/>
    <col min="12569" max="12569" width="9.875" style="22" customWidth="1"/>
    <col min="12570" max="12764" width="9.125" style="22"/>
    <col min="12765" max="12765" width="4" style="22" customWidth="1"/>
    <col min="12766" max="12766" width="5.875" style="22" customWidth="1"/>
    <col min="12767" max="12767" width="6.375" style="22" customWidth="1"/>
    <col min="12768" max="12768" width="20.25" style="22" customWidth="1"/>
    <col min="12769" max="12769" width="7.375" style="22" customWidth="1"/>
    <col min="12770" max="12770" width="12.75" style="22" customWidth="1"/>
    <col min="12771" max="12771" width="5.875" style="22" customWidth="1"/>
    <col min="12772" max="12772" width="8.75" style="22" customWidth="1"/>
    <col min="12773" max="12773" width="25.625" style="22" customWidth="1"/>
    <col min="12774" max="12774" width="6" style="22" customWidth="1"/>
    <col min="12775" max="12775" width="7.375" style="22" customWidth="1"/>
    <col min="12776" max="12776" width="7.125" style="22" customWidth="1"/>
    <col min="12777" max="12777" width="7" style="22" customWidth="1"/>
    <col min="12778" max="12778" width="6" style="22" customWidth="1"/>
    <col min="12779" max="12779" width="6.25" style="22" customWidth="1"/>
    <col min="12780" max="12780" width="6.375" style="22" customWidth="1"/>
    <col min="12781" max="12781" width="19.125" style="22" customWidth="1"/>
    <col min="12782" max="12782" width="8.125" style="22" customWidth="1"/>
    <col min="12783" max="12783" width="8.75" style="22" customWidth="1"/>
    <col min="12784" max="12784" width="11.25" style="22" customWidth="1"/>
    <col min="12785" max="12785" width="22.875" style="22" customWidth="1"/>
    <col min="12786" max="12786" width="9.375" style="22" customWidth="1"/>
    <col min="12787" max="12787" width="9.875" style="22" customWidth="1"/>
    <col min="12788" max="12789" width="15.875" style="22" customWidth="1"/>
    <col min="12790" max="12790" width="15" style="22" customWidth="1"/>
    <col min="12791" max="12791" width="23.25" style="22" customWidth="1"/>
    <col min="12792" max="12792" width="26.375" style="22" customWidth="1"/>
    <col min="12793" max="12793" width="11.25" style="22" customWidth="1"/>
    <col min="12794" max="12794" width="19.625" style="22" customWidth="1"/>
    <col min="12795" max="12795" width="14.375" style="22" customWidth="1"/>
    <col min="12796" max="12796" width="18.375" style="22" customWidth="1"/>
    <col min="12797" max="12797" width="10.25" style="22" customWidth="1"/>
    <col min="12798" max="12798" width="36.375" style="22" customWidth="1"/>
    <col min="12799" max="12799" width="20.625" style="22" customWidth="1"/>
    <col min="12800" max="12800" width="16.375" style="22" customWidth="1"/>
    <col min="12801" max="12801" width="14.625" style="22" customWidth="1"/>
    <col min="12802" max="12802" width="10" style="22" customWidth="1"/>
    <col min="12803" max="12803" width="8" style="22" customWidth="1"/>
    <col min="12804" max="12804" width="16" style="22" customWidth="1"/>
    <col min="12805" max="12805" width="16.375" style="22" customWidth="1"/>
    <col min="12806" max="12806" width="9.125" style="22"/>
    <col min="12807" max="12807" width="16.25" style="22" customWidth="1"/>
    <col min="12808" max="12817" width="9.125" style="22"/>
    <col min="12818" max="12818" width="12.625" style="22" customWidth="1"/>
    <col min="12819" max="12819" width="22.875" style="22" customWidth="1"/>
    <col min="12820" max="12820" width="8.75" style="22" customWidth="1"/>
    <col min="12821" max="12821" width="19.75" style="22" customWidth="1"/>
    <col min="12822" max="12822" width="9.375" style="22" customWidth="1"/>
    <col min="12823" max="12823" width="9.125" style="22"/>
    <col min="12824" max="12824" width="10.875" style="22" customWidth="1"/>
    <col min="12825" max="12825" width="9.875" style="22" customWidth="1"/>
    <col min="12826" max="13020" width="9.125" style="22"/>
    <col min="13021" max="13021" width="4" style="22" customWidth="1"/>
    <col min="13022" max="13022" width="5.875" style="22" customWidth="1"/>
    <col min="13023" max="13023" width="6.375" style="22" customWidth="1"/>
    <col min="13024" max="13024" width="20.25" style="22" customWidth="1"/>
    <col min="13025" max="13025" width="7.375" style="22" customWidth="1"/>
    <col min="13026" max="13026" width="12.75" style="22" customWidth="1"/>
    <col min="13027" max="13027" width="5.875" style="22" customWidth="1"/>
    <col min="13028" max="13028" width="8.75" style="22" customWidth="1"/>
    <col min="13029" max="13029" width="25.625" style="22" customWidth="1"/>
    <col min="13030" max="13030" width="6" style="22" customWidth="1"/>
    <col min="13031" max="13031" width="7.375" style="22" customWidth="1"/>
    <col min="13032" max="13032" width="7.125" style="22" customWidth="1"/>
    <col min="13033" max="13033" width="7" style="22" customWidth="1"/>
    <col min="13034" max="13034" width="6" style="22" customWidth="1"/>
    <col min="13035" max="13035" width="6.25" style="22" customWidth="1"/>
    <col min="13036" max="13036" width="6.375" style="22" customWidth="1"/>
    <col min="13037" max="13037" width="19.125" style="22" customWidth="1"/>
    <col min="13038" max="13038" width="8.125" style="22" customWidth="1"/>
    <col min="13039" max="13039" width="8.75" style="22" customWidth="1"/>
    <col min="13040" max="13040" width="11.25" style="22" customWidth="1"/>
    <col min="13041" max="13041" width="22.875" style="22" customWidth="1"/>
    <col min="13042" max="13042" width="9.375" style="22" customWidth="1"/>
    <col min="13043" max="13043" width="9.875" style="22" customWidth="1"/>
    <col min="13044" max="13045" width="15.875" style="22" customWidth="1"/>
    <col min="13046" max="13046" width="15" style="22" customWidth="1"/>
    <col min="13047" max="13047" width="23.25" style="22" customWidth="1"/>
    <col min="13048" max="13048" width="26.375" style="22" customWidth="1"/>
    <col min="13049" max="13049" width="11.25" style="22" customWidth="1"/>
    <col min="13050" max="13050" width="19.625" style="22" customWidth="1"/>
    <col min="13051" max="13051" width="14.375" style="22" customWidth="1"/>
    <col min="13052" max="13052" width="18.375" style="22" customWidth="1"/>
    <col min="13053" max="13053" width="10.25" style="22" customWidth="1"/>
    <col min="13054" max="13054" width="36.375" style="22" customWidth="1"/>
    <col min="13055" max="13055" width="20.625" style="22" customWidth="1"/>
    <col min="13056" max="13056" width="16.375" style="22" customWidth="1"/>
    <col min="13057" max="13057" width="14.625" style="22" customWidth="1"/>
    <col min="13058" max="13058" width="10" style="22" customWidth="1"/>
    <col min="13059" max="13059" width="8" style="22" customWidth="1"/>
    <col min="13060" max="13060" width="16" style="22" customWidth="1"/>
    <col min="13061" max="13061" width="16.375" style="22" customWidth="1"/>
    <col min="13062" max="13062" width="9.125" style="22"/>
    <col min="13063" max="13063" width="16.25" style="22" customWidth="1"/>
    <col min="13064" max="13073" width="9.125" style="22"/>
    <col min="13074" max="13074" width="12.625" style="22" customWidth="1"/>
    <col min="13075" max="13075" width="22.875" style="22" customWidth="1"/>
    <col min="13076" max="13076" width="8.75" style="22" customWidth="1"/>
    <col min="13077" max="13077" width="19.75" style="22" customWidth="1"/>
    <col min="13078" max="13078" width="9.375" style="22" customWidth="1"/>
    <col min="13079" max="13079" width="9.125" style="22"/>
    <col min="13080" max="13080" width="10.875" style="22" customWidth="1"/>
    <col min="13081" max="13081" width="9.875" style="22" customWidth="1"/>
    <col min="13082" max="13276" width="9.125" style="22"/>
    <col min="13277" max="13277" width="4" style="22" customWidth="1"/>
    <col min="13278" max="13278" width="5.875" style="22" customWidth="1"/>
    <col min="13279" max="13279" width="6.375" style="22" customWidth="1"/>
    <col min="13280" max="13280" width="20.25" style="22" customWidth="1"/>
    <col min="13281" max="13281" width="7.375" style="22" customWidth="1"/>
    <col min="13282" max="13282" width="12.75" style="22" customWidth="1"/>
    <col min="13283" max="13283" width="5.875" style="22" customWidth="1"/>
    <col min="13284" max="13284" width="8.75" style="22" customWidth="1"/>
    <col min="13285" max="13285" width="25.625" style="22" customWidth="1"/>
    <col min="13286" max="13286" width="6" style="22" customWidth="1"/>
    <col min="13287" max="13287" width="7.375" style="22" customWidth="1"/>
    <col min="13288" max="13288" width="7.125" style="22" customWidth="1"/>
    <col min="13289" max="13289" width="7" style="22" customWidth="1"/>
    <col min="13290" max="13290" width="6" style="22" customWidth="1"/>
    <col min="13291" max="13291" width="6.25" style="22" customWidth="1"/>
    <col min="13292" max="13292" width="6.375" style="22" customWidth="1"/>
    <col min="13293" max="13293" width="19.125" style="22" customWidth="1"/>
    <col min="13294" max="13294" width="8.125" style="22" customWidth="1"/>
    <col min="13295" max="13295" width="8.75" style="22" customWidth="1"/>
    <col min="13296" max="13296" width="11.25" style="22" customWidth="1"/>
    <col min="13297" max="13297" width="22.875" style="22" customWidth="1"/>
    <col min="13298" max="13298" width="9.375" style="22" customWidth="1"/>
    <col min="13299" max="13299" width="9.875" style="22" customWidth="1"/>
    <col min="13300" max="13301" width="15.875" style="22" customWidth="1"/>
    <col min="13302" max="13302" width="15" style="22" customWidth="1"/>
    <col min="13303" max="13303" width="23.25" style="22" customWidth="1"/>
    <col min="13304" max="13304" width="26.375" style="22" customWidth="1"/>
    <col min="13305" max="13305" width="11.25" style="22" customWidth="1"/>
    <col min="13306" max="13306" width="19.625" style="22" customWidth="1"/>
    <col min="13307" max="13307" width="14.375" style="22" customWidth="1"/>
    <col min="13308" max="13308" width="18.375" style="22" customWidth="1"/>
    <col min="13309" max="13309" width="10.25" style="22" customWidth="1"/>
    <col min="13310" max="13310" width="36.375" style="22" customWidth="1"/>
    <col min="13311" max="13311" width="20.625" style="22" customWidth="1"/>
    <col min="13312" max="13312" width="16.375" style="22" customWidth="1"/>
    <col min="13313" max="13313" width="14.625" style="22" customWidth="1"/>
    <col min="13314" max="13314" width="10" style="22" customWidth="1"/>
    <col min="13315" max="13315" width="8" style="22" customWidth="1"/>
    <col min="13316" max="13316" width="16" style="22" customWidth="1"/>
    <col min="13317" max="13317" width="16.375" style="22" customWidth="1"/>
    <col min="13318" max="13318" width="9.125" style="22"/>
    <col min="13319" max="13319" width="16.25" style="22" customWidth="1"/>
    <col min="13320" max="13329" width="9.125" style="22"/>
    <col min="13330" max="13330" width="12.625" style="22" customWidth="1"/>
    <col min="13331" max="13331" width="22.875" style="22" customWidth="1"/>
    <col min="13332" max="13332" width="8.75" style="22" customWidth="1"/>
    <col min="13333" max="13333" width="19.75" style="22" customWidth="1"/>
    <col min="13334" max="13334" width="9.375" style="22" customWidth="1"/>
    <col min="13335" max="13335" width="9.125" style="22"/>
    <col min="13336" max="13336" width="10.875" style="22" customWidth="1"/>
    <col min="13337" max="13337" width="9.875" style="22" customWidth="1"/>
    <col min="13338" max="13532" width="9.125" style="22"/>
    <col min="13533" max="13533" width="4" style="22" customWidth="1"/>
    <col min="13534" max="13534" width="5.875" style="22" customWidth="1"/>
    <col min="13535" max="13535" width="6.375" style="22" customWidth="1"/>
    <col min="13536" max="13536" width="20.25" style="22" customWidth="1"/>
    <col min="13537" max="13537" width="7.375" style="22" customWidth="1"/>
    <col min="13538" max="13538" width="12.75" style="22" customWidth="1"/>
    <col min="13539" max="13539" width="5.875" style="22" customWidth="1"/>
    <col min="13540" max="13540" width="8.75" style="22" customWidth="1"/>
    <col min="13541" max="13541" width="25.625" style="22" customWidth="1"/>
    <col min="13542" max="13542" width="6" style="22" customWidth="1"/>
    <col min="13543" max="13543" width="7.375" style="22" customWidth="1"/>
    <col min="13544" max="13544" width="7.125" style="22" customWidth="1"/>
    <col min="13545" max="13545" width="7" style="22" customWidth="1"/>
    <col min="13546" max="13546" width="6" style="22" customWidth="1"/>
    <col min="13547" max="13547" width="6.25" style="22" customWidth="1"/>
    <col min="13548" max="13548" width="6.375" style="22" customWidth="1"/>
    <col min="13549" max="13549" width="19.125" style="22" customWidth="1"/>
    <col min="13550" max="13550" width="8.125" style="22" customWidth="1"/>
    <col min="13551" max="13551" width="8.75" style="22" customWidth="1"/>
    <col min="13552" max="13552" width="11.25" style="22" customWidth="1"/>
    <col min="13553" max="13553" width="22.875" style="22" customWidth="1"/>
    <col min="13554" max="13554" width="9.375" style="22" customWidth="1"/>
    <col min="13555" max="13555" width="9.875" style="22" customWidth="1"/>
    <col min="13556" max="13557" width="15.875" style="22" customWidth="1"/>
    <col min="13558" max="13558" width="15" style="22" customWidth="1"/>
    <col min="13559" max="13559" width="23.25" style="22" customWidth="1"/>
    <col min="13560" max="13560" width="26.375" style="22" customWidth="1"/>
    <col min="13561" max="13561" width="11.25" style="22" customWidth="1"/>
    <col min="13562" max="13562" width="19.625" style="22" customWidth="1"/>
    <col min="13563" max="13563" width="14.375" style="22" customWidth="1"/>
    <col min="13564" max="13564" width="18.375" style="22" customWidth="1"/>
    <col min="13565" max="13565" width="10.25" style="22" customWidth="1"/>
    <col min="13566" max="13566" width="36.375" style="22" customWidth="1"/>
    <col min="13567" max="13567" width="20.625" style="22" customWidth="1"/>
    <col min="13568" max="13568" width="16.375" style="22" customWidth="1"/>
    <col min="13569" max="13569" width="14.625" style="22" customWidth="1"/>
    <col min="13570" max="13570" width="10" style="22" customWidth="1"/>
    <col min="13571" max="13571" width="8" style="22" customWidth="1"/>
    <col min="13572" max="13572" width="16" style="22" customWidth="1"/>
    <col min="13573" max="13573" width="16.375" style="22" customWidth="1"/>
    <col min="13574" max="13574" width="9.125" style="22"/>
    <col min="13575" max="13575" width="16.25" style="22" customWidth="1"/>
    <col min="13576" max="13585" width="9.125" style="22"/>
    <col min="13586" max="13586" width="12.625" style="22" customWidth="1"/>
    <col min="13587" max="13587" width="22.875" style="22" customWidth="1"/>
    <col min="13588" max="13588" width="8.75" style="22" customWidth="1"/>
    <col min="13589" max="13589" width="19.75" style="22" customWidth="1"/>
    <col min="13590" max="13590" width="9.375" style="22" customWidth="1"/>
    <col min="13591" max="13591" width="9.125" style="22"/>
    <col min="13592" max="13592" width="10.875" style="22" customWidth="1"/>
    <col min="13593" max="13593" width="9.875" style="22" customWidth="1"/>
    <col min="13594" max="13788" width="9.125" style="22"/>
    <col min="13789" max="13789" width="4" style="22" customWidth="1"/>
    <col min="13790" max="13790" width="5.875" style="22" customWidth="1"/>
    <col min="13791" max="13791" width="6.375" style="22" customWidth="1"/>
    <col min="13792" max="13792" width="20.25" style="22" customWidth="1"/>
    <col min="13793" max="13793" width="7.375" style="22" customWidth="1"/>
    <col min="13794" max="13794" width="12.75" style="22" customWidth="1"/>
    <col min="13795" max="13795" width="5.875" style="22" customWidth="1"/>
    <col min="13796" max="13796" width="8.75" style="22" customWidth="1"/>
    <col min="13797" max="13797" width="25.625" style="22" customWidth="1"/>
    <col min="13798" max="13798" width="6" style="22" customWidth="1"/>
    <col min="13799" max="13799" width="7.375" style="22" customWidth="1"/>
    <col min="13800" max="13800" width="7.125" style="22" customWidth="1"/>
    <col min="13801" max="13801" width="7" style="22" customWidth="1"/>
    <col min="13802" max="13802" width="6" style="22" customWidth="1"/>
    <col min="13803" max="13803" width="6.25" style="22" customWidth="1"/>
    <col min="13804" max="13804" width="6.375" style="22" customWidth="1"/>
    <col min="13805" max="13805" width="19.125" style="22" customWidth="1"/>
    <col min="13806" max="13806" width="8.125" style="22" customWidth="1"/>
    <col min="13807" max="13807" width="8.75" style="22" customWidth="1"/>
    <col min="13808" max="13808" width="11.25" style="22" customWidth="1"/>
    <col min="13809" max="13809" width="22.875" style="22" customWidth="1"/>
    <col min="13810" max="13810" width="9.375" style="22" customWidth="1"/>
    <col min="13811" max="13811" width="9.875" style="22" customWidth="1"/>
    <col min="13812" max="13813" width="15.875" style="22" customWidth="1"/>
    <col min="13814" max="13814" width="15" style="22" customWidth="1"/>
    <col min="13815" max="13815" width="23.25" style="22" customWidth="1"/>
    <col min="13816" max="13816" width="26.375" style="22" customWidth="1"/>
    <col min="13817" max="13817" width="11.25" style="22" customWidth="1"/>
    <col min="13818" max="13818" width="19.625" style="22" customWidth="1"/>
    <col min="13819" max="13819" width="14.375" style="22" customWidth="1"/>
    <col min="13820" max="13820" width="18.375" style="22" customWidth="1"/>
    <col min="13821" max="13821" width="10.25" style="22" customWidth="1"/>
    <col min="13822" max="13822" width="36.375" style="22" customWidth="1"/>
    <col min="13823" max="13823" width="20.625" style="22" customWidth="1"/>
    <col min="13824" max="13824" width="16.375" style="22" customWidth="1"/>
    <col min="13825" max="13825" width="14.625" style="22" customWidth="1"/>
    <col min="13826" max="13826" width="10" style="22" customWidth="1"/>
    <col min="13827" max="13827" width="8" style="22" customWidth="1"/>
    <col min="13828" max="13828" width="16" style="22" customWidth="1"/>
    <col min="13829" max="13829" width="16.375" style="22" customWidth="1"/>
    <col min="13830" max="13830" width="9.125" style="22"/>
    <col min="13831" max="13831" width="16.25" style="22" customWidth="1"/>
    <col min="13832" max="13841" width="9.125" style="22"/>
    <col min="13842" max="13842" width="12.625" style="22" customWidth="1"/>
    <col min="13843" max="13843" width="22.875" style="22" customWidth="1"/>
    <col min="13844" max="13844" width="8.75" style="22" customWidth="1"/>
    <col min="13845" max="13845" width="19.75" style="22" customWidth="1"/>
    <col min="13846" max="13846" width="9.375" style="22" customWidth="1"/>
    <col min="13847" max="13847" width="9.125" style="22"/>
    <col min="13848" max="13848" width="10.875" style="22" customWidth="1"/>
    <col min="13849" max="13849" width="9.875" style="22" customWidth="1"/>
    <col min="13850" max="14044" width="9.125" style="22"/>
    <col min="14045" max="14045" width="4" style="22" customWidth="1"/>
    <col min="14046" max="14046" width="5.875" style="22" customWidth="1"/>
    <col min="14047" max="14047" width="6.375" style="22" customWidth="1"/>
    <col min="14048" max="14048" width="20.25" style="22" customWidth="1"/>
    <col min="14049" max="14049" width="7.375" style="22" customWidth="1"/>
    <col min="14050" max="14050" width="12.75" style="22" customWidth="1"/>
    <col min="14051" max="14051" width="5.875" style="22" customWidth="1"/>
    <col min="14052" max="14052" width="8.75" style="22" customWidth="1"/>
    <col min="14053" max="14053" width="25.625" style="22" customWidth="1"/>
    <col min="14054" max="14054" width="6" style="22" customWidth="1"/>
    <col min="14055" max="14055" width="7.375" style="22" customWidth="1"/>
    <col min="14056" max="14056" width="7.125" style="22" customWidth="1"/>
    <col min="14057" max="14057" width="7" style="22" customWidth="1"/>
    <col min="14058" max="14058" width="6" style="22" customWidth="1"/>
    <col min="14059" max="14059" width="6.25" style="22" customWidth="1"/>
    <col min="14060" max="14060" width="6.375" style="22" customWidth="1"/>
    <col min="14061" max="14061" width="19.125" style="22" customWidth="1"/>
    <col min="14062" max="14062" width="8.125" style="22" customWidth="1"/>
    <col min="14063" max="14063" width="8.75" style="22" customWidth="1"/>
    <col min="14064" max="14064" width="11.25" style="22" customWidth="1"/>
    <col min="14065" max="14065" width="22.875" style="22" customWidth="1"/>
    <col min="14066" max="14066" width="9.375" style="22" customWidth="1"/>
    <col min="14067" max="14067" width="9.875" style="22" customWidth="1"/>
    <col min="14068" max="14069" width="15.875" style="22" customWidth="1"/>
    <col min="14070" max="14070" width="15" style="22" customWidth="1"/>
    <col min="14071" max="14071" width="23.25" style="22" customWidth="1"/>
    <col min="14072" max="14072" width="26.375" style="22" customWidth="1"/>
    <col min="14073" max="14073" width="11.25" style="22" customWidth="1"/>
    <col min="14074" max="14074" width="19.625" style="22" customWidth="1"/>
    <col min="14075" max="14075" width="14.375" style="22" customWidth="1"/>
    <col min="14076" max="14076" width="18.375" style="22" customWidth="1"/>
    <col min="14077" max="14077" width="10.25" style="22" customWidth="1"/>
    <col min="14078" max="14078" width="36.375" style="22" customWidth="1"/>
    <col min="14079" max="14079" width="20.625" style="22" customWidth="1"/>
    <col min="14080" max="14080" width="16.375" style="22" customWidth="1"/>
    <col min="14081" max="14081" width="14.625" style="22" customWidth="1"/>
    <col min="14082" max="14082" width="10" style="22" customWidth="1"/>
    <col min="14083" max="14083" width="8" style="22" customWidth="1"/>
    <col min="14084" max="14084" width="16" style="22" customWidth="1"/>
    <col min="14085" max="14085" width="16.375" style="22" customWidth="1"/>
    <col min="14086" max="14086" width="9.125" style="22"/>
    <col min="14087" max="14087" width="16.25" style="22" customWidth="1"/>
    <col min="14088" max="14097" width="9.125" style="22"/>
    <col min="14098" max="14098" width="12.625" style="22" customWidth="1"/>
    <col min="14099" max="14099" width="22.875" style="22" customWidth="1"/>
    <col min="14100" max="14100" width="8.75" style="22" customWidth="1"/>
    <col min="14101" max="14101" width="19.75" style="22" customWidth="1"/>
    <col min="14102" max="14102" width="9.375" style="22" customWidth="1"/>
    <col min="14103" max="14103" width="9.125" style="22"/>
    <col min="14104" max="14104" width="10.875" style="22" customWidth="1"/>
    <col min="14105" max="14105" width="9.875" style="22" customWidth="1"/>
    <col min="14106" max="14300" width="9.125" style="22"/>
    <col min="14301" max="14301" width="4" style="22" customWidth="1"/>
    <col min="14302" max="14302" width="5.875" style="22" customWidth="1"/>
    <col min="14303" max="14303" width="6.375" style="22" customWidth="1"/>
    <col min="14304" max="14304" width="20.25" style="22" customWidth="1"/>
    <col min="14305" max="14305" width="7.375" style="22" customWidth="1"/>
    <col min="14306" max="14306" width="12.75" style="22" customWidth="1"/>
    <col min="14307" max="14307" width="5.875" style="22" customWidth="1"/>
    <col min="14308" max="14308" width="8.75" style="22" customWidth="1"/>
    <col min="14309" max="14309" width="25.625" style="22" customWidth="1"/>
    <col min="14310" max="14310" width="6" style="22" customWidth="1"/>
    <col min="14311" max="14311" width="7.375" style="22" customWidth="1"/>
    <col min="14312" max="14312" width="7.125" style="22" customWidth="1"/>
    <col min="14313" max="14313" width="7" style="22" customWidth="1"/>
    <col min="14314" max="14314" width="6" style="22" customWidth="1"/>
    <col min="14315" max="14315" width="6.25" style="22" customWidth="1"/>
    <col min="14316" max="14316" width="6.375" style="22" customWidth="1"/>
    <col min="14317" max="14317" width="19.125" style="22" customWidth="1"/>
    <col min="14318" max="14318" width="8.125" style="22" customWidth="1"/>
    <col min="14319" max="14319" width="8.75" style="22" customWidth="1"/>
    <col min="14320" max="14320" width="11.25" style="22" customWidth="1"/>
    <col min="14321" max="14321" width="22.875" style="22" customWidth="1"/>
    <col min="14322" max="14322" width="9.375" style="22" customWidth="1"/>
    <col min="14323" max="14323" width="9.875" style="22" customWidth="1"/>
    <col min="14324" max="14325" width="15.875" style="22" customWidth="1"/>
    <col min="14326" max="14326" width="15" style="22" customWidth="1"/>
    <col min="14327" max="14327" width="23.25" style="22" customWidth="1"/>
    <col min="14328" max="14328" width="26.375" style="22" customWidth="1"/>
    <col min="14329" max="14329" width="11.25" style="22" customWidth="1"/>
    <col min="14330" max="14330" width="19.625" style="22" customWidth="1"/>
    <col min="14331" max="14331" width="14.375" style="22" customWidth="1"/>
    <col min="14332" max="14332" width="18.375" style="22" customWidth="1"/>
    <col min="14333" max="14333" width="10.25" style="22" customWidth="1"/>
    <col min="14334" max="14334" width="36.375" style="22" customWidth="1"/>
    <col min="14335" max="14335" width="20.625" style="22" customWidth="1"/>
    <col min="14336" max="14336" width="16.375" style="22" customWidth="1"/>
    <col min="14337" max="14337" width="14.625" style="22" customWidth="1"/>
    <col min="14338" max="14338" width="10" style="22" customWidth="1"/>
    <col min="14339" max="14339" width="8" style="22" customWidth="1"/>
    <col min="14340" max="14340" width="16" style="22" customWidth="1"/>
    <col min="14341" max="14341" width="16.375" style="22" customWidth="1"/>
    <col min="14342" max="14342" width="9.125" style="22"/>
    <col min="14343" max="14343" width="16.25" style="22" customWidth="1"/>
    <col min="14344" max="14353" width="9.125" style="22"/>
    <col min="14354" max="14354" width="12.625" style="22" customWidth="1"/>
    <col min="14355" max="14355" width="22.875" style="22" customWidth="1"/>
    <col min="14356" max="14356" width="8.75" style="22" customWidth="1"/>
    <col min="14357" max="14357" width="19.75" style="22" customWidth="1"/>
    <col min="14358" max="14358" width="9.375" style="22" customWidth="1"/>
    <col min="14359" max="14359" width="9.125" style="22"/>
    <col min="14360" max="14360" width="10.875" style="22" customWidth="1"/>
    <col min="14361" max="14361" width="9.875" style="22" customWidth="1"/>
    <col min="14362" max="14556" width="9.125" style="22"/>
    <col min="14557" max="14557" width="4" style="22" customWidth="1"/>
    <col min="14558" max="14558" width="5.875" style="22" customWidth="1"/>
    <col min="14559" max="14559" width="6.375" style="22" customWidth="1"/>
    <col min="14560" max="14560" width="20.25" style="22" customWidth="1"/>
    <col min="14561" max="14561" width="7.375" style="22" customWidth="1"/>
    <col min="14562" max="14562" width="12.75" style="22" customWidth="1"/>
    <col min="14563" max="14563" width="5.875" style="22" customWidth="1"/>
    <col min="14564" max="14564" width="8.75" style="22" customWidth="1"/>
    <col min="14565" max="14565" width="25.625" style="22" customWidth="1"/>
    <col min="14566" max="14566" width="6" style="22" customWidth="1"/>
    <col min="14567" max="14567" width="7.375" style="22" customWidth="1"/>
    <col min="14568" max="14568" width="7.125" style="22" customWidth="1"/>
    <col min="14569" max="14569" width="7" style="22" customWidth="1"/>
    <col min="14570" max="14570" width="6" style="22" customWidth="1"/>
    <col min="14571" max="14571" width="6.25" style="22" customWidth="1"/>
    <col min="14572" max="14572" width="6.375" style="22" customWidth="1"/>
    <col min="14573" max="14573" width="19.125" style="22" customWidth="1"/>
    <col min="14574" max="14574" width="8.125" style="22" customWidth="1"/>
    <col min="14575" max="14575" width="8.75" style="22" customWidth="1"/>
    <col min="14576" max="14576" width="11.25" style="22" customWidth="1"/>
    <col min="14577" max="14577" width="22.875" style="22" customWidth="1"/>
    <col min="14578" max="14578" width="9.375" style="22" customWidth="1"/>
    <col min="14579" max="14579" width="9.875" style="22" customWidth="1"/>
    <col min="14580" max="14581" width="15.875" style="22" customWidth="1"/>
    <col min="14582" max="14582" width="15" style="22" customWidth="1"/>
    <col min="14583" max="14583" width="23.25" style="22" customWidth="1"/>
    <col min="14584" max="14584" width="26.375" style="22" customWidth="1"/>
    <col min="14585" max="14585" width="11.25" style="22" customWidth="1"/>
    <col min="14586" max="14586" width="19.625" style="22" customWidth="1"/>
    <col min="14587" max="14587" width="14.375" style="22" customWidth="1"/>
    <col min="14588" max="14588" width="18.375" style="22" customWidth="1"/>
    <col min="14589" max="14589" width="10.25" style="22" customWidth="1"/>
    <col min="14590" max="14590" width="36.375" style="22" customWidth="1"/>
    <col min="14591" max="14591" width="20.625" style="22" customWidth="1"/>
    <col min="14592" max="14592" width="16.375" style="22" customWidth="1"/>
    <col min="14593" max="14593" width="14.625" style="22" customWidth="1"/>
    <col min="14594" max="14594" width="10" style="22" customWidth="1"/>
    <col min="14595" max="14595" width="8" style="22" customWidth="1"/>
    <col min="14596" max="14596" width="16" style="22" customWidth="1"/>
    <col min="14597" max="14597" width="16.375" style="22" customWidth="1"/>
    <col min="14598" max="14598" width="9.125" style="22"/>
    <col min="14599" max="14599" width="16.25" style="22" customWidth="1"/>
    <col min="14600" max="14609" width="9.125" style="22"/>
    <col min="14610" max="14610" width="12.625" style="22" customWidth="1"/>
    <col min="14611" max="14611" width="22.875" style="22" customWidth="1"/>
    <col min="14612" max="14612" width="8.75" style="22" customWidth="1"/>
    <col min="14613" max="14613" width="19.75" style="22" customWidth="1"/>
    <col min="14614" max="14614" width="9.375" style="22" customWidth="1"/>
    <col min="14615" max="14615" width="9.125" style="22"/>
    <col min="14616" max="14616" width="10.875" style="22" customWidth="1"/>
    <col min="14617" max="14617" width="9.875" style="22" customWidth="1"/>
    <col min="14618" max="14812" width="9.125" style="22"/>
    <col min="14813" max="14813" width="4" style="22" customWidth="1"/>
    <col min="14814" max="14814" width="5.875" style="22" customWidth="1"/>
    <col min="14815" max="14815" width="6.375" style="22" customWidth="1"/>
    <col min="14816" max="14816" width="20.25" style="22" customWidth="1"/>
    <col min="14817" max="14817" width="7.375" style="22" customWidth="1"/>
    <col min="14818" max="14818" width="12.75" style="22" customWidth="1"/>
    <col min="14819" max="14819" width="5.875" style="22" customWidth="1"/>
    <col min="14820" max="14820" width="8.75" style="22" customWidth="1"/>
    <col min="14821" max="14821" width="25.625" style="22" customWidth="1"/>
    <col min="14822" max="14822" width="6" style="22" customWidth="1"/>
    <col min="14823" max="14823" width="7.375" style="22" customWidth="1"/>
    <col min="14824" max="14824" width="7.125" style="22" customWidth="1"/>
    <col min="14825" max="14825" width="7" style="22" customWidth="1"/>
    <col min="14826" max="14826" width="6" style="22" customWidth="1"/>
    <col min="14827" max="14827" width="6.25" style="22" customWidth="1"/>
    <col min="14828" max="14828" width="6.375" style="22" customWidth="1"/>
    <col min="14829" max="14829" width="19.125" style="22" customWidth="1"/>
    <col min="14830" max="14830" width="8.125" style="22" customWidth="1"/>
    <col min="14831" max="14831" width="8.75" style="22" customWidth="1"/>
    <col min="14832" max="14832" width="11.25" style="22" customWidth="1"/>
    <col min="14833" max="14833" width="22.875" style="22" customWidth="1"/>
    <col min="14834" max="14834" width="9.375" style="22" customWidth="1"/>
    <col min="14835" max="14835" width="9.875" style="22" customWidth="1"/>
    <col min="14836" max="14837" width="15.875" style="22" customWidth="1"/>
    <col min="14838" max="14838" width="15" style="22" customWidth="1"/>
    <col min="14839" max="14839" width="23.25" style="22" customWidth="1"/>
    <col min="14840" max="14840" width="26.375" style="22" customWidth="1"/>
    <col min="14841" max="14841" width="11.25" style="22" customWidth="1"/>
    <col min="14842" max="14842" width="19.625" style="22" customWidth="1"/>
    <col min="14843" max="14843" width="14.375" style="22" customWidth="1"/>
    <col min="14844" max="14844" width="18.375" style="22" customWidth="1"/>
    <col min="14845" max="14845" width="10.25" style="22" customWidth="1"/>
    <col min="14846" max="14846" width="36.375" style="22" customWidth="1"/>
    <col min="14847" max="14847" width="20.625" style="22" customWidth="1"/>
    <col min="14848" max="14848" width="16.375" style="22" customWidth="1"/>
    <col min="14849" max="14849" width="14.625" style="22" customWidth="1"/>
    <col min="14850" max="14850" width="10" style="22" customWidth="1"/>
    <col min="14851" max="14851" width="8" style="22" customWidth="1"/>
    <col min="14852" max="14852" width="16" style="22" customWidth="1"/>
    <col min="14853" max="14853" width="16.375" style="22" customWidth="1"/>
    <col min="14854" max="14854" width="9.125" style="22"/>
    <col min="14855" max="14855" width="16.25" style="22" customWidth="1"/>
    <col min="14856" max="14865" width="9.125" style="22"/>
    <col min="14866" max="14866" width="12.625" style="22" customWidth="1"/>
    <col min="14867" max="14867" width="22.875" style="22" customWidth="1"/>
    <col min="14868" max="14868" width="8.75" style="22" customWidth="1"/>
    <col min="14869" max="14869" width="19.75" style="22" customWidth="1"/>
    <col min="14870" max="14870" width="9.375" style="22" customWidth="1"/>
    <col min="14871" max="14871" width="9.125" style="22"/>
    <col min="14872" max="14872" width="10.875" style="22" customWidth="1"/>
    <col min="14873" max="14873" width="9.875" style="22" customWidth="1"/>
    <col min="14874" max="15068" width="9.125" style="22"/>
    <col min="15069" max="15069" width="4" style="22" customWidth="1"/>
    <col min="15070" max="15070" width="5.875" style="22" customWidth="1"/>
    <col min="15071" max="15071" width="6.375" style="22" customWidth="1"/>
    <col min="15072" max="15072" width="20.25" style="22" customWidth="1"/>
    <col min="15073" max="15073" width="7.375" style="22" customWidth="1"/>
    <col min="15074" max="15074" width="12.75" style="22" customWidth="1"/>
    <col min="15075" max="15075" width="5.875" style="22" customWidth="1"/>
    <col min="15076" max="15076" width="8.75" style="22" customWidth="1"/>
    <col min="15077" max="15077" width="25.625" style="22" customWidth="1"/>
    <col min="15078" max="15078" width="6" style="22" customWidth="1"/>
    <col min="15079" max="15079" width="7.375" style="22" customWidth="1"/>
    <col min="15080" max="15080" width="7.125" style="22" customWidth="1"/>
    <col min="15081" max="15081" width="7" style="22" customWidth="1"/>
    <col min="15082" max="15082" width="6" style="22" customWidth="1"/>
    <col min="15083" max="15083" width="6.25" style="22" customWidth="1"/>
    <col min="15084" max="15084" width="6.375" style="22" customWidth="1"/>
    <col min="15085" max="15085" width="19.125" style="22" customWidth="1"/>
    <col min="15086" max="15086" width="8.125" style="22" customWidth="1"/>
    <col min="15087" max="15087" width="8.75" style="22" customWidth="1"/>
    <col min="15088" max="15088" width="11.25" style="22" customWidth="1"/>
    <col min="15089" max="15089" width="22.875" style="22" customWidth="1"/>
    <col min="15090" max="15090" width="9.375" style="22" customWidth="1"/>
    <col min="15091" max="15091" width="9.875" style="22" customWidth="1"/>
    <col min="15092" max="15093" width="15.875" style="22" customWidth="1"/>
    <col min="15094" max="15094" width="15" style="22" customWidth="1"/>
    <col min="15095" max="15095" width="23.25" style="22" customWidth="1"/>
    <col min="15096" max="15096" width="26.375" style="22" customWidth="1"/>
    <col min="15097" max="15097" width="11.25" style="22" customWidth="1"/>
    <col min="15098" max="15098" width="19.625" style="22" customWidth="1"/>
    <col min="15099" max="15099" width="14.375" style="22" customWidth="1"/>
    <col min="15100" max="15100" width="18.375" style="22" customWidth="1"/>
    <col min="15101" max="15101" width="10.25" style="22" customWidth="1"/>
    <col min="15102" max="15102" width="36.375" style="22" customWidth="1"/>
    <col min="15103" max="15103" width="20.625" style="22" customWidth="1"/>
    <col min="15104" max="15104" width="16.375" style="22" customWidth="1"/>
    <col min="15105" max="15105" width="14.625" style="22" customWidth="1"/>
    <col min="15106" max="15106" width="10" style="22" customWidth="1"/>
    <col min="15107" max="15107" width="8" style="22" customWidth="1"/>
    <col min="15108" max="15108" width="16" style="22" customWidth="1"/>
    <col min="15109" max="15109" width="16.375" style="22" customWidth="1"/>
    <col min="15110" max="15110" width="9.125" style="22"/>
    <col min="15111" max="15111" width="16.25" style="22" customWidth="1"/>
    <col min="15112" max="15121" width="9.125" style="22"/>
    <col min="15122" max="15122" width="12.625" style="22" customWidth="1"/>
    <col min="15123" max="15123" width="22.875" style="22" customWidth="1"/>
    <col min="15124" max="15124" width="8.75" style="22" customWidth="1"/>
    <col min="15125" max="15125" width="19.75" style="22" customWidth="1"/>
    <col min="15126" max="15126" width="9.375" style="22" customWidth="1"/>
    <col min="15127" max="15127" width="9.125" style="22"/>
    <col min="15128" max="15128" width="10.875" style="22" customWidth="1"/>
    <col min="15129" max="15129" width="9.875" style="22" customWidth="1"/>
    <col min="15130" max="15324" width="9.125" style="22"/>
    <col min="15325" max="15325" width="4" style="22" customWidth="1"/>
    <col min="15326" max="15326" width="5.875" style="22" customWidth="1"/>
    <col min="15327" max="15327" width="6.375" style="22" customWidth="1"/>
    <col min="15328" max="15328" width="20.25" style="22" customWidth="1"/>
    <col min="15329" max="15329" width="7.375" style="22" customWidth="1"/>
    <col min="15330" max="15330" width="12.75" style="22" customWidth="1"/>
    <col min="15331" max="15331" width="5.875" style="22" customWidth="1"/>
    <col min="15332" max="15332" width="8.75" style="22" customWidth="1"/>
    <col min="15333" max="15333" width="25.625" style="22" customWidth="1"/>
    <col min="15334" max="15334" width="6" style="22" customWidth="1"/>
    <col min="15335" max="15335" width="7.375" style="22" customWidth="1"/>
    <col min="15336" max="15336" width="7.125" style="22" customWidth="1"/>
    <col min="15337" max="15337" width="7" style="22" customWidth="1"/>
    <col min="15338" max="15338" width="6" style="22" customWidth="1"/>
    <col min="15339" max="15339" width="6.25" style="22" customWidth="1"/>
    <col min="15340" max="15340" width="6.375" style="22" customWidth="1"/>
    <col min="15341" max="15341" width="19.125" style="22" customWidth="1"/>
    <col min="15342" max="15342" width="8.125" style="22" customWidth="1"/>
    <col min="15343" max="15343" width="8.75" style="22" customWidth="1"/>
    <col min="15344" max="15344" width="11.25" style="22" customWidth="1"/>
    <col min="15345" max="15345" width="22.875" style="22" customWidth="1"/>
    <col min="15346" max="15346" width="9.375" style="22" customWidth="1"/>
    <col min="15347" max="15347" width="9.875" style="22" customWidth="1"/>
    <col min="15348" max="15349" width="15.875" style="22" customWidth="1"/>
    <col min="15350" max="15350" width="15" style="22" customWidth="1"/>
    <col min="15351" max="15351" width="23.25" style="22" customWidth="1"/>
    <col min="15352" max="15352" width="26.375" style="22" customWidth="1"/>
    <col min="15353" max="15353" width="11.25" style="22" customWidth="1"/>
    <col min="15354" max="15354" width="19.625" style="22" customWidth="1"/>
    <col min="15355" max="15355" width="14.375" style="22" customWidth="1"/>
    <col min="15356" max="15356" width="18.375" style="22" customWidth="1"/>
    <col min="15357" max="15357" width="10.25" style="22" customWidth="1"/>
    <col min="15358" max="15358" width="36.375" style="22" customWidth="1"/>
    <col min="15359" max="15359" width="20.625" style="22" customWidth="1"/>
    <col min="15360" max="15360" width="16.375" style="22" customWidth="1"/>
    <col min="15361" max="15361" width="14.625" style="22" customWidth="1"/>
    <col min="15362" max="15362" width="10" style="22" customWidth="1"/>
    <col min="15363" max="15363" width="8" style="22" customWidth="1"/>
    <col min="15364" max="15364" width="16" style="22" customWidth="1"/>
    <col min="15365" max="15365" width="16.375" style="22" customWidth="1"/>
    <col min="15366" max="15366" width="9.125" style="22"/>
    <col min="15367" max="15367" width="16.25" style="22" customWidth="1"/>
    <col min="15368" max="15377" width="9.125" style="22"/>
    <col min="15378" max="15378" width="12.625" style="22" customWidth="1"/>
    <col min="15379" max="15379" width="22.875" style="22" customWidth="1"/>
    <col min="15380" max="15380" width="8.75" style="22" customWidth="1"/>
    <col min="15381" max="15381" width="19.75" style="22" customWidth="1"/>
    <col min="15382" max="15382" width="9.375" style="22" customWidth="1"/>
    <col min="15383" max="15383" width="9.125" style="22"/>
    <col min="15384" max="15384" width="10.875" style="22" customWidth="1"/>
    <col min="15385" max="15385" width="9.875" style="22" customWidth="1"/>
    <col min="15386" max="15580" width="9.125" style="22"/>
    <col min="15581" max="15581" width="4" style="22" customWidth="1"/>
    <col min="15582" max="15582" width="5.875" style="22" customWidth="1"/>
    <col min="15583" max="15583" width="6.375" style="22" customWidth="1"/>
    <col min="15584" max="15584" width="20.25" style="22" customWidth="1"/>
    <col min="15585" max="15585" width="7.375" style="22" customWidth="1"/>
    <col min="15586" max="15586" width="12.75" style="22" customWidth="1"/>
    <col min="15587" max="15587" width="5.875" style="22" customWidth="1"/>
    <col min="15588" max="15588" width="8.75" style="22" customWidth="1"/>
    <col min="15589" max="15589" width="25.625" style="22" customWidth="1"/>
    <col min="15590" max="15590" width="6" style="22" customWidth="1"/>
    <col min="15591" max="15591" width="7.375" style="22" customWidth="1"/>
    <col min="15592" max="15592" width="7.125" style="22" customWidth="1"/>
    <col min="15593" max="15593" width="7" style="22" customWidth="1"/>
    <col min="15594" max="15594" width="6" style="22" customWidth="1"/>
    <col min="15595" max="15595" width="6.25" style="22" customWidth="1"/>
    <col min="15596" max="15596" width="6.375" style="22" customWidth="1"/>
    <col min="15597" max="15597" width="19.125" style="22" customWidth="1"/>
    <col min="15598" max="15598" width="8.125" style="22" customWidth="1"/>
    <col min="15599" max="15599" width="8.75" style="22" customWidth="1"/>
    <col min="15600" max="15600" width="11.25" style="22" customWidth="1"/>
    <col min="15601" max="15601" width="22.875" style="22" customWidth="1"/>
    <col min="15602" max="15602" width="9.375" style="22" customWidth="1"/>
    <col min="15603" max="15603" width="9.875" style="22" customWidth="1"/>
    <col min="15604" max="15605" width="15.875" style="22" customWidth="1"/>
    <col min="15606" max="15606" width="15" style="22" customWidth="1"/>
    <col min="15607" max="15607" width="23.25" style="22" customWidth="1"/>
    <col min="15608" max="15608" width="26.375" style="22" customWidth="1"/>
    <col min="15609" max="15609" width="11.25" style="22" customWidth="1"/>
    <col min="15610" max="15610" width="19.625" style="22" customWidth="1"/>
    <col min="15611" max="15611" width="14.375" style="22" customWidth="1"/>
    <col min="15612" max="15612" width="18.375" style="22" customWidth="1"/>
    <col min="15613" max="15613" width="10.25" style="22" customWidth="1"/>
    <col min="15614" max="15614" width="36.375" style="22" customWidth="1"/>
    <col min="15615" max="15615" width="20.625" style="22" customWidth="1"/>
    <col min="15616" max="15616" width="16.375" style="22" customWidth="1"/>
    <col min="15617" max="15617" width="14.625" style="22" customWidth="1"/>
    <col min="15618" max="15618" width="10" style="22" customWidth="1"/>
    <col min="15619" max="15619" width="8" style="22" customWidth="1"/>
    <col min="15620" max="15620" width="16" style="22" customWidth="1"/>
    <col min="15621" max="15621" width="16.375" style="22" customWidth="1"/>
    <col min="15622" max="15622" width="9.125" style="22"/>
    <col min="15623" max="15623" width="16.25" style="22" customWidth="1"/>
    <col min="15624" max="15633" width="9.125" style="22"/>
    <col min="15634" max="15634" width="12.625" style="22" customWidth="1"/>
    <col min="15635" max="15635" width="22.875" style="22" customWidth="1"/>
    <col min="15636" max="15636" width="8.75" style="22" customWidth="1"/>
    <col min="15637" max="15637" width="19.75" style="22" customWidth="1"/>
    <col min="15638" max="15638" width="9.375" style="22" customWidth="1"/>
    <col min="15639" max="15639" width="9.125" style="22"/>
    <col min="15640" max="15640" width="10.875" style="22" customWidth="1"/>
    <col min="15641" max="15641" width="9.875" style="22" customWidth="1"/>
    <col min="15642" max="15836" width="9.125" style="22"/>
    <col min="15837" max="15837" width="4" style="22" customWidth="1"/>
    <col min="15838" max="15838" width="5.875" style="22" customWidth="1"/>
    <col min="15839" max="15839" width="6.375" style="22" customWidth="1"/>
    <col min="15840" max="15840" width="20.25" style="22" customWidth="1"/>
    <col min="15841" max="15841" width="7.375" style="22" customWidth="1"/>
    <col min="15842" max="15842" width="12.75" style="22" customWidth="1"/>
    <col min="15843" max="15843" width="5.875" style="22" customWidth="1"/>
    <col min="15844" max="15844" width="8.75" style="22" customWidth="1"/>
    <col min="15845" max="15845" width="25.625" style="22" customWidth="1"/>
    <col min="15846" max="15846" width="6" style="22" customWidth="1"/>
    <col min="15847" max="15847" width="7.375" style="22" customWidth="1"/>
    <col min="15848" max="15848" width="7.125" style="22" customWidth="1"/>
    <col min="15849" max="15849" width="7" style="22" customWidth="1"/>
    <col min="15850" max="15850" width="6" style="22" customWidth="1"/>
    <col min="15851" max="15851" width="6.25" style="22" customWidth="1"/>
    <col min="15852" max="15852" width="6.375" style="22" customWidth="1"/>
    <col min="15853" max="15853" width="19.125" style="22" customWidth="1"/>
    <col min="15854" max="15854" width="8.125" style="22" customWidth="1"/>
    <col min="15855" max="15855" width="8.75" style="22" customWidth="1"/>
    <col min="15856" max="15856" width="11.25" style="22" customWidth="1"/>
    <col min="15857" max="15857" width="22.875" style="22" customWidth="1"/>
    <col min="15858" max="15858" width="9.375" style="22" customWidth="1"/>
    <col min="15859" max="15859" width="9.875" style="22" customWidth="1"/>
    <col min="15860" max="15861" width="15.875" style="22" customWidth="1"/>
    <col min="15862" max="15862" width="15" style="22" customWidth="1"/>
    <col min="15863" max="15863" width="23.25" style="22" customWidth="1"/>
    <col min="15864" max="15864" width="26.375" style="22" customWidth="1"/>
    <col min="15865" max="15865" width="11.25" style="22" customWidth="1"/>
    <col min="15866" max="15866" width="19.625" style="22" customWidth="1"/>
    <col min="15867" max="15867" width="14.375" style="22" customWidth="1"/>
    <col min="15868" max="15868" width="18.375" style="22" customWidth="1"/>
    <col min="15869" max="15869" width="10.25" style="22" customWidth="1"/>
    <col min="15870" max="15870" width="36.375" style="22" customWidth="1"/>
    <col min="15871" max="15871" width="20.625" style="22" customWidth="1"/>
    <col min="15872" max="15872" width="16.375" style="22" customWidth="1"/>
    <col min="15873" max="15873" width="14.625" style="22" customWidth="1"/>
    <col min="15874" max="15874" width="10" style="22" customWidth="1"/>
    <col min="15875" max="15875" width="8" style="22" customWidth="1"/>
    <col min="15876" max="15876" width="16" style="22" customWidth="1"/>
    <col min="15877" max="15877" width="16.375" style="22" customWidth="1"/>
    <col min="15878" max="15878" width="9.125" style="22"/>
    <col min="15879" max="15879" width="16.25" style="22" customWidth="1"/>
    <col min="15880" max="15889" width="9.125" style="22"/>
    <col min="15890" max="15890" width="12.625" style="22" customWidth="1"/>
    <col min="15891" max="15891" width="22.875" style="22" customWidth="1"/>
    <col min="15892" max="15892" width="8.75" style="22" customWidth="1"/>
    <col min="15893" max="15893" width="19.75" style="22" customWidth="1"/>
    <col min="15894" max="15894" width="9.375" style="22" customWidth="1"/>
    <col min="15895" max="15895" width="9.125" style="22"/>
    <col min="15896" max="15896" width="10.875" style="22" customWidth="1"/>
    <col min="15897" max="15897" width="9.875" style="22" customWidth="1"/>
    <col min="15898" max="16092" width="9.125" style="22"/>
    <col min="16093" max="16093" width="4" style="22" customWidth="1"/>
    <col min="16094" max="16094" width="5.875" style="22" customWidth="1"/>
    <col min="16095" max="16095" width="6.375" style="22" customWidth="1"/>
    <col min="16096" max="16096" width="20.25" style="22" customWidth="1"/>
    <col min="16097" max="16097" width="7.375" style="22" customWidth="1"/>
    <col min="16098" max="16098" width="12.75" style="22" customWidth="1"/>
    <col min="16099" max="16099" width="5.875" style="22" customWidth="1"/>
    <col min="16100" max="16100" width="8.75" style="22" customWidth="1"/>
    <col min="16101" max="16101" width="25.625" style="22" customWidth="1"/>
    <col min="16102" max="16102" width="6" style="22" customWidth="1"/>
    <col min="16103" max="16103" width="7.375" style="22" customWidth="1"/>
    <col min="16104" max="16104" width="7.125" style="22" customWidth="1"/>
    <col min="16105" max="16105" width="7" style="22" customWidth="1"/>
    <col min="16106" max="16106" width="6" style="22" customWidth="1"/>
    <col min="16107" max="16107" width="6.25" style="22" customWidth="1"/>
    <col min="16108" max="16108" width="6.375" style="22" customWidth="1"/>
    <col min="16109" max="16109" width="19.125" style="22" customWidth="1"/>
    <col min="16110" max="16110" width="8.125" style="22" customWidth="1"/>
    <col min="16111" max="16111" width="8.75" style="22" customWidth="1"/>
    <col min="16112" max="16112" width="11.25" style="22" customWidth="1"/>
    <col min="16113" max="16113" width="22.875" style="22" customWidth="1"/>
    <col min="16114" max="16114" width="9.375" style="22" customWidth="1"/>
    <col min="16115" max="16115" width="9.875" style="22" customWidth="1"/>
    <col min="16116" max="16117" width="15.875" style="22" customWidth="1"/>
    <col min="16118" max="16118" width="15" style="22" customWidth="1"/>
    <col min="16119" max="16119" width="23.25" style="22" customWidth="1"/>
    <col min="16120" max="16120" width="26.375" style="22" customWidth="1"/>
    <col min="16121" max="16121" width="11.25" style="22" customWidth="1"/>
    <col min="16122" max="16122" width="19.625" style="22" customWidth="1"/>
    <col min="16123" max="16123" width="14.375" style="22" customWidth="1"/>
    <col min="16124" max="16124" width="18.375" style="22" customWidth="1"/>
    <col min="16125" max="16125" width="10.25" style="22" customWidth="1"/>
    <col min="16126" max="16126" width="36.375" style="22" customWidth="1"/>
    <col min="16127" max="16127" width="20.625" style="22" customWidth="1"/>
    <col min="16128" max="16128" width="16.375" style="22" customWidth="1"/>
    <col min="16129" max="16129" width="14.625" style="22" customWidth="1"/>
    <col min="16130" max="16130" width="10" style="22" customWidth="1"/>
    <col min="16131" max="16131" width="8" style="22" customWidth="1"/>
    <col min="16132" max="16132" width="16" style="22" customWidth="1"/>
    <col min="16133" max="16133" width="16.375" style="22" customWidth="1"/>
    <col min="16134" max="16134" width="9.125" style="22"/>
    <col min="16135" max="16135" width="16.25" style="22" customWidth="1"/>
    <col min="16136" max="16145" width="9.125" style="22"/>
    <col min="16146" max="16146" width="12.625" style="22" customWidth="1"/>
    <col min="16147" max="16147" width="22.875" style="22" customWidth="1"/>
    <col min="16148" max="16148" width="8.75" style="22" customWidth="1"/>
    <col min="16149" max="16149" width="19.75" style="22" customWidth="1"/>
    <col min="16150" max="16150" width="9.375" style="22" customWidth="1"/>
    <col min="16151" max="16151" width="9.125" style="22"/>
    <col min="16152" max="16152" width="10.875" style="22" customWidth="1"/>
    <col min="16153" max="16153" width="9.875" style="22" customWidth="1"/>
    <col min="16154" max="16341" width="9.125" style="22"/>
    <col min="16342" max="16384" width="9.125" style="22" customWidth="1"/>
  </cols>
  <sheetData>
    <row r="1" spans="1:25" s="39" customFormat="1" ht="66" customHeight="1" x14ac:dyDescent="0.25">
      <c r="A1" s="45" t="s">
        <v>5</v>
      </c>
      <c r="B1" s="46" t="s">
        <v>112</v>
      </c>
      <c r="C1" s="49" t="s">
        <v>3899</v>
      </c>
      <c r="D1" s="46" t="s">
        <v>128</v>
      </c>
      <c r="E1" s="46" t="s">
        <v>119</v>
      </c>
      <c r="F1" s="46" t="s">
        <v>4438</v>
      </c>
      <c r="G1" s="46" t="s">
        <v>4437</v>
      </c>
      <c r="H1" s="46" t="s">
        <v>113</v>
      </c>
      <c r="I1" s="47" t="s">
        <v>114</v>
      </c>
      <c r="J1" s="46" t="s">
        <v>115</v>
      </c>
      <c r="K1" s="46" t="s">
        <v>116</v>
      </c>
      <c r="L1" s="46" t="s">
        <v>117</v>
      </c>
      <c r="M1" s="49" t="s">
        <v>5023</v>
      </c>
      <c r="N1" s="49"/>
      <c r="O1" s="49" t="s">
        <v>141</v>
      </c>
      <c r="P1" s="48" t="s">
        <v>118</v>
      </c>
      <c r="Q1" s="360" t="s">
        <v>134</v>
      </c>
      <c r="R1" s="49" t="s">
        <v>135</v>
      </c>
      <c r="S1" s="49" t="s">
        <v>136</v>
      </c>
      <c r="T1" s="49" t="s">
        <v>137</v>
      </c>
      <c r="U1" s="49" t="s">
        <v>138</v>
      </c>
      <c r="V1" s="49" t="s">
        <v>139</v>
      </c>
      <c r="W1" s="49" t="s">
        <v>140</v>
      </c>
      <c r="X1" s="49" t="s">
        <v>141</v>
      </c>
      <c r="Y1" s="49" t="s">
        <v>143</v>
      </c>
    </row>
    <row r="2" spans="1:25" s="67" customFormat="1" ht="15.95" customHeight="1" x14ac:dyDescent="0.25">
      <c r="A2" s="55"/>
      <c r="B2" s="55"/>
      <c r="C2" s="53"/>
      <c r="D2" s="68"/>
      <c r="E2" s="49"/>
      <c r="F2" s="49"/>
      <c r="G2" s="49"/>
      <c r="H2" s="56" t="s">
        <v>145</v>
      </c>
      <c r="I2" s="49"/>
      <c r="J2" s="103"/>
      <c r="K2" s="53"/>
      <c r="L2" s="53"/>
      <c r="M2" s="58"/>
      <c r="N2" s="53"/>
      <c r="O2" s="219"/>
      <c r="P2" s="58"/>
      <c r="Q2" s="64"/>
      <c r="R2" s="53"/>
      <c r="S2" s="58"/>
      <c r="T2" s="156"/>
      <c r="U2" s="62"/>
      <c r="V2" s="71"/>
      <c r="W2" s="83"/>
      <c r="X2" s="219"/>
      <c r="Y2" s="66"/>
    </row>
    <row r="3" spans="1:25" s="439" customFormat="1" ht="15.95" customHeight="1" x14ac:dyDescent="0.25">
      <c r="A3" s="426">
        <f>SUBTOTAL(103,$J$3:J3)</f>
        <v>1</v>
      </c>
      <c r="B3" s="427" t="s">
        <v>146</v>
      </c>
      <c r="C3" s="428" t="s">
        <v>158</v>
      </c>
      <c r="D3" s="426" t="s">
        <v>155</v>
      </c>
      <c r="E3" s="427" t="s">
        <v>105</v>
      </c>
      <c r="F3" s="427" t="s">
        <v>4965</v>
      </c>
      <c r="G3" s="427" t="s">
        <v>4966</v>
      </c>
      <c r="H3" s="429" t="s">
        <v>147</v>
      </c>
      <c r="I3" s="430" t="s">
        <v>148</v>
      </c>
      <c r="J3" s="431" t="s">
        <v>4385</v>
      </c>
      <c r="K3" s="427" t="s">
        <v>149</v>
      </c>
      <c r="L3" s="427" t="s">
        <v>150</v>
      </c>
      <c r="M3" s="429" t="s">
        <v>5039</v>
      </c>
      <c r="N3" s="427" t="s">
        <v>3897</v>
      </c>
      <c r="O3" s="432" t="s">
        <v>163</v>
      </c>
      <c r="P3" s="429" t="s">
        <v>151</v>
      </c>
      <c r="Q3" s="433" t="s">
        <v>159</v>
      </c>
      <c r="R3" s="427"/>
      <c r="S3" s="427"/>
      <c r="T3" s="434" t="s">
        <v>160</v>
      </c>
      <c r="U3" s="435" t="s">
        <v>156</v>
      </c>
      <c r="V3" s="436" t="s">
        <v>161</v>
      </c>
      <c r="W3" s="437" t="s">
        <v>162</v>
      </c>
      <c r="X3" s="432" t="s">
        <v>163</v>
      </c>
      <c r="Y3" s="438" t="s">
        <v>165</v>
      </c>
    </row>
    <row r="4" spans="1:25" s="439" customFormat="1" ht="15.95" customHeight="1" x14ac:dyDescent="0.25">
      <c r="A4" s="426">
        <f>SUBTOTAL(103,$J$3:J4)</f>
        <v>2</v>
      </c>
      <c r="B4" s="427" t="s">
        <v>167</v>
      </c>
      <c r="C4" s="428" t="s">
        <v>158</v>
      </c>
      <c r="D4" s="426" t="s">
        <v>155</v>
      </c>
      <c r="E4" s="426" t="s">
        <v>105</v>
      </c>
      <c r="F4" s="427" t="s">
        <v>4965</v>
      </c>
      <c r="G4" s="427" t="s">
        <v>4967</v>
      </c>
      <c r="H4" s="440" t="s">
        <v>168</v>
      </c>
      <c r="I4" s="441" t="s">
        <v>169</v>
      </c>
      <c r="J4" s="442" t="s">
        <v>4386</v>
      </c>
      <c r="K4" s="427" t="s">
        <v>170</v>
      </c>
      <c r="L4" s="427" t="s">
        <v>150</v>
      </c>
      <c r="M4" s="429" t="s">
        <v>5039</v>
      </c>
      <c r="N4" s="427" t="s">
        <v>3897</v>
      </c>
      <c r="O4" s="443" t="s">
        <v>178</v>
      </c>
      <c r="P4" s="444" t="s">
        <v>171</v>
      </c>
      <c r="Q4" s="445" t="s">
        <v>174</v>
      </c>
      <c r="R4" s="427" t="s">
        <v>155</v>
      </c>
      <c r="S4" s="440"/>
      <c r="T4" s="446" t="s">
        <v>175</v>
      </c>
      <c r="U4" s="426" t="s">
        <v>156</v>
      </c>
      <c r="V4" s="427" t="s">
        <v>176</v>
      </c>
      <c r="W4" s="445" t="s">
        <v>177</v>
      </c>
      <c r="X4" s="443" t="s">
        <v>178</v>
      </c>
      <c r="Y4" s="438" t="s">
        <v>179</v>
      </c>
    </row>
    <row r="5" spans="1:25" s="439" customFormat="1" ht="15.95" customHeight="1" x14ac:dyDescent="0.25">
      <c r="A5" s="426">
        <f>SUBTOTAL(103,$J$3:J5)</f>
        <v>3</v>
      </c>
      <c r="B5" s="427" t="s">
        <v>181</v>
      </c>
      <c r="C5" s="428" t="s">
        <v>158</v>
      </c>
      <c r="D5" s="427" t="s">
        <v>155</v>
      </c>
      <c r="E5" s="427" t="s">
        <v>105</v>
      </c>
      <c r="F5" s="427" t="s">
        <v>4965</v>
      </c>
      <c r="G5" s="427" t="s">
        <v>4968</v>
      </c>
      <c r="H5" s="429" t="s">
        <v>182</v>
      </c>
      <c r="I5" s="430" t="s">
        <v>183</v>
      </c>
      <c r="J5" s="431" t="s">
        <v>4387</v>
      </c>
      <c r="K5" s="427" t="s">
        <v>170</v>
      </c>
      <c r="L5" s="427" t="s">
        <v>150</v>
      </c>
      <c r="M5" s="429" t="s">
        <v>5039</v>
      </c>
      <c r="N5" s="427" t="s">
        <v>3897</v>
      </c>
      <c r="O5" s="431" t="s">
        <v>191</v>
      </c>
      <c r="P5" s="429" t="s">
        <v>66</v>
      </c>
      <c r="Q5" s="433" t="s">
        <v>187</v>
      </c>
      <c r="R5" s="427" t="s">
        <v>155</v>
      </c>
      <c r="S5" s="427"/>
      <c r="T5" s="447" t="s">
        <v>188</v>
      </c>
      <c r="U5" s="426" t="s">
        <v>156</v>
      </c>
      <c r="V5" s="427" t="s">
        <v>189</v>
      </c>
      <c r="W5" s="433" t="s">
        <v>190</v>
      </c>
      <c r="X5" s="431" t="s">
        <v>191</v>
      </c>
      <c r="Y5" s="438" t="s">
        <v>192</v>
      </c>
    </row>
    <row r="6" spans="1:25" s="461" customFormat="1" ht="15.95" customHeight="1" x14ac:dyDescent="0.25">
      <c r="A6" s="448">
        <f>SUBTOTAL(103,$J$3:J6)</f>
        <v>4</v>
      </c>
      <c r="B6" s="449" t="s">
        <v>194</v>
      </c>
      <c r="C6" s="450" t="s">
        <v>158</v>
      </c>
      <c r="D6" s="448" t="s">
        <v>155</v>
      </c>
      <c r="E6" s="449" t="s">
        <v>106</v>
      </c>
      <c r="F6" s="449" t="s">
        <v>4965</v>
      </c>
      <c r="G6" s="449" t="s">
        <v>4970</v>
      </c>
      <c r="H6" s="451" t="s">
        <v>1973</v>
      </c>
      <c r="I6" s="452" t="s">
        <v>1974</v>
      </c>
      <c r="J6" s="453" t="s">
        <v>4388</v>
      </c>
      <c r="K6" s="449" t="s">
        <v>149</v>
      </c>
      <c r="L6" s="449" t="s">
        <v>150</v>
      </c>
      <c r="M6" s="451" t="s">
        <v>5039</v>
      </c>
      <c r="N6" s="449" t="s">
        <v>3897</v>
      </c>
      <c r="O6" s="454" t="s">
        <v>1978</v>
      </c>
      <c r="P6" s="451" t="s">
        <v>682</v>
      </c>
      <c r="Q6" s="455" t="s">
        <v>228</v>
      </c>
      <c r="R6" s="449" t="s">
        <v>155</v>
      </c>
      <c r="S6" s="449"/>
      <c r="T6" s="456" t="s">
        <v>1976</v>
      </c>
      <c r="U6" s="457" t="s">
        <v>156</v>
      </c>
      <c r="V6" s="458" t="s">
        <v>161</v>
      </c>
      <c r="W6" s="459" t="s">
        <v>1977</v>
      </c>
      <c r="X6" s="454" t="s">
        <v>1978</v>
      </c>
      <c r="Y6" s="460"/>
    </row>
    <row r="7" spans="1:25" s="461" customFormat="1" ht="15.95" customHeight="1" x14ac:dyDescent="0.25">
      <c r="A7" s="448">
        <f>SUBTOTAL(103,$J$3:J7)</f>
        <v>5</v>
      </c>
      <c r="B7" s="449" t="s">
        <v>203</v>
      </c>
      <c r="C7" s="450" t="s">
        <v>158</v>
      </c>
      <c r="D7" s="450" t="s">
        <v>155</v>
      </c>
      <c r="E7" s="448" t="s">
        <v>106</v>
      </c>
      <c r="F7" s="449" t="s">
        <v>4965</v>
      </c>
      <c r="G7" s="449" t="s">
        <v>4971</v>
      </c>
      <c r="H7" s="462" t="s">
        <v>564</v>
      </c>
      <c r="I7" s="463" t="s">
        <v>440</v>
      </c>
      <c r="J7" s="464" t="s">
        <v>4389</v>
      </c>
      <c r="K7" s="448" t="s">
        <v>170</v>
      </c>
      <c r="L7" s="448" t="s">
        <v>150</v>
      </c>
      <c r="M7" s="451" t="s">
        <v>5039</v>
      </c>
      <c r="N7" s="449" t="s">
        <v>3897</v>
      </c>
      <c r="O7" s="465" t="s">
        <v>1983</v>
      </c>
      <c r="P7" s="466" t="s">
        <v>1979</v>
      </c>
      <c r="Q7" s="455" t="s">
        <v>1981</v>
      </c>
      <c r="R7" s="448" t="s">
        <v>155</v>
      </c>
      <c r="S7" s="462"/>
      <c r="T7" s="467" t="s">
        <v>1982</v>
      </c>
      <c r="U7" s="457" t="s">
        <v>156</v>
      </c>
      <c r="V7" s="468" t="s">
        <v>220</v>
      </c>
      <c r="W7" s="469" t="s">
        <v>1864</v>
      </c>
      <c r="X7" s="465" t="s">
        <v>1983</v>
      </c>
      <c r="Y7" s="470"/>
    </row>
    <row r="8" spans="1:25" s="439" customFormat="1" ht="15.95" customHeight="1" x14ac:dyDescent="0.25">
      <c r="A8" s="426">
        <f>SUBTOTAL(103,$J$3:J8)</f>
        <v>6</v>
      </c>
      <c r="B8" s="427" t="s">
        <v>212</v>
      </c>
      <c r="C8" s="428" t="s">
        <v>158</v>
      </c>
      <c r="D8" s="428" t="s">
        <v>155</v>
      </c>
      <c r="E8" s="428" t="s">
        <v>106</v>
      </c>
      <c r="F8" s="427" t="s">
        <v>4965</v>
      </c>
      <c r="G8" s="427" t="s">
        <v>4972</v>
      </c>
      <c r="H8" s="440" t="s">
        <v>1984</v>
      </c>
      <c r="I8" s="441" t="s">
        <v>1985</v>
      </c>
      <c r="J8" s="471" t="s">
        <v>4042</v>
      </c>
      <c r="K8" s="428" t="s">
        <v>149</v>
      </c>
      <c r="L8" s="428" t="s">
        <v>150</v>
      </c>
      <c r="M8" s="429" t="s">
        <v>5039</v>
      </c>
      <c r="N8" s="427" t="s">
        <v>3897</v>
      </c>
      <c r="O8" s="472" t="s">
        <v>1989</v>
      </c>
      <c r="P8" s="440" t="s">
        <v>1986</v>
      </c>
      <c r="Q8" s="445" t="s">
        <v>1987</v>
      </c>
      <c r="R8" s="428" t="s">
        <v>155</v>
      </c>
      <c r="S8" s="440"/>
      <c r="T8" s="473" t="s">
        <v>1988</v>
      </c>
      <c r="U8" s="435" t="s">
        <v>156</v>
      </c>
      <c r="V8" s="474" t="s">
        <v>347</v>
      </c>
      <c r="W8" s="475" t="s">
        <v>1265</v>
      </c>
      <c r="X8" s="472" t="s">
        <v>1989</v>
      </c>
      <c r="Y8" s="438"/>
    </row>
    <row r="9" spans="1:25" s="439" customFormat="1" ht="15.95" customHeight="1" x14ac:dyDescent="0.25">
      <c r="A9" s="426">
        <f>SUBTOTAL(103,$J$3:J9)</f>
        <v>7</v>
      </c>
      <c r="B9" s="427" t="s">
        <v>225</v>
      </c>
      <c r="C9" s="428" t="s">
        <v>158</v>
      </c>
      <c r="D9" s="428" t="s">
        <v>155</v>
      </c>
      <c r="E9" s="428" t="s">
        <v>106</v>
      </c>
      <c r="F9" s="427" t="s">
        <v>4965</v>
      </c>
      <c r="G9" s="427" t="s">
        <v>4973</v>
      </c>
      <c r="H9" s="440" t="s">
        <v>195</v>
      </c>
      <c r="I9" s="441" t="s">
        <v>196</v>
      </c>
      <c r="J9" s="471" t="s">
        <v>4390</v>
      </c>
      <c r="K9" s="428" t="s">
        <v>149</v>
      </c>
      <c r="L9" s="426" t="s">
        <v>150</v>
      </c>
      <c r="M9" s="429" t="s">
        <v>5039</v>
      </c>
      <c r="N9" s="427" t="s">
        <v>3897</v>
      </c>
      <c r="O9" s="443" t="s">
        <v>200</v>
      </c>
      <c r="P9" s="440" t="s">
        <v>60</v>
      </c>
      <c r="Q9" s="445" t="s">
        <v>198</v>
      </c>
      <c r="R9" s="428" t="s">
        <v>155</v>
      </c>
      <c r="S9" s="476"/>
      <c r="T9" s="477">
        <v>38086028809</v>
      </c>
      <c r="U9" s="478" t="s">
        <v>156</v>
      </c>
      <c r="V9" s="445" t="s">
        <v>161</v>
      </c>
      <c r="W9" s="476" t="s">
        <v>199</v>
      </c>
      <c r="X9" s="443" t="s">
        <v>200</v>
      </c>
      <c r="Y9" s="479" t="s">
        <v>201</v>
      </c>
    </row>
    <row r="10" spans="1:25" s="439" customFormat="1" ht="15.95" customHeight="1" x14ac:dyDescent="0.25">
      <c r="A10" s="426">
        <f>SUBTOTAL(103,$J$3:J10)</f>
        <v>8</v>
      </c>
      <c r="B10" s="427" t="s">
        <v>233</v>
      </c>
      <c r="C10" s="428" t="s">
        <v>158</v>
      </c>
      <c r="D10" s="428" t="s">
        <v>155</v>
      </c>
      <c r="E10" s="428" t="s">
        <v>106</v>
      </c>
      <c r="F10" s="427" t="s">
        <v>4965</v>
      </c>
      <c r="G10" s="427" t="s">
        <v>4974</v>
      </c>
      <c r="H10" s="440" t="s">
        <v>168</v>
      </c>
      <c r="I10" s="441" t="s">
        <v>459</v>
      </c>
      <c r="J10" s="471" t="s">
        <v>4391</v>
      </c>
      <c r="K10" s="428" t="s">
        <v>170</v>
      </c>
      <c r="L10" s="428" t="s">
        <v>150</v>
      </c>
      <c r="M10" s="429" t="s">
        <v>5039</v>
      </c>
      <c r="N10" s="427" t="s">
        <v>3897</v>
      </c>
      <c r="O10" s="443" t="s">
        <v>1993</v>
      </c>
      <c r="P10" s="440" t="s">
        <v>56</v>
      </c>
      <c r="Q10" s="445" t="s">
        <v>228</v>
      </c>
      <c r="R10" s="428" t="s">
        <v>155</v>
      </c>
      <c r="S10" s="440"/>
      <c r="T10" s="446" t="s">
        <v>1991</v>
      </c>
      <c r="U10" s="435" t="s">
        <v>156</v>
      </c>
      <c r="V10" s="440" t="s">
        <v>387</v>
      </c>
      <c r="W10" s="445" t="s">
        <v>1992</v>
      </c>
      <c r="X10" s="443" t="s">
        <v>1993</v>
      </c>
      <c r="Y10" s="438" t="s">
        <v>457</v>
      </c>
    </row>
    <row r="11" spans="1:25" s="439" customFormat="1" ht="15.95" customHeight="1" x14ac:dyDescent="0.25">
      <c r="A11" s="426">
        <f>SUBTOTAL(103,$J$3:J11)</f>
        <v>9</v>
      </c>
      <c r="B11" s="427" t="s">
        <v>244</v>
      </c>
      <c r="C11" s="428" t="s">
        <v>158</v>
      </c>
      <c r="D11" s="428" t="s">
        <v>155</v>
      </c>
      <c r="E11" s="428" t="s">
        <v>106</v>
      </c>
      <c r="F11" s="427" t="s">
        <v>4965</v>
      </c>
      <c r="G11" s="427" t="s">
        <v>4975</v>
      </c>
      <c r="H11" s="440" t="s">
        <v>204</v>
      </c>
      <c r="I11" s="440" t="s">
        <v>205</v>
      </c>
      <c r="J11" s="480" t="s">
        <v>4436</v>
      </c>
      <c r="K11" s="428" t="s">
        <v>149</v>
      </c>
      <c r="L11" s="428" t="s">
        <v>150</v>
      </c>
      <c r="M11" s="429" t="s">
        <v>5039</v>
      </c>
      <c r="N11" s="427" t="s">
        <v>3897</v>
      </c>
      <c r="O11" s="443" t="s">
        <v>210</v>
      </c>
      <c r="P11" s="440" t="s">
        <v>60</v>
      </c>
      <c r="Q11" s="445" t="s">
        <v>206</v>
      </c>
      <c r="R11" s="428" t="s">
        <v>19</v>
      </c>
      <c r="S11" s="440"/>
      <c r="T11" s="446" t="s">
        <v>207</v>
      </c>
      <c r="U11" s="435" t="s">
        <v>156</v>
      </c>
      <c r="V11" s="440" t="s">
        <v>208</v>
      </c>
      <c r="W11" s="440" t="s">
        <v>209</v>
      </c>
      <c r="X11" s="443" t="s">
        <v>210</v>
      </c>
      <c r="Y11" s="438" t="s">
        <v>211</v>
      </c>
    </row>
    <row r="12" spans="1:25" s="439" customFormat="1" ht="15.95" customHeight="1" x14ac:dyDescent="0.25">
      <c r="A12" s="426">
        <f>SUBTOTAL(103,$J$3:J12)</f>
        <v>10</v>
      </c>
      <c r="B12" s="427" t="s">
        <v>257</v>
      </c>
      <c r="C12" s="428" t="s">
        <v>158</v>
      </c>
      <c r="D12" s="426" t="s">
        <v>155</v>
      </c>
      <c r="E12" s="426" t="s">
        <v>106</v>
      </c>
      <c r="F12" s="427" t="s">
        <v>4965</v>
      </c>
      <c r="G12" s="427" t="s">
        <v>4976</v>
      </c>
      <c r="H12" s="440" t="s">
        <v>1994</v>
      </c>
      <c r="I12" s="441" t="s">
        <v>304</v>
      </c>
      <c r="J12" s="442" t="s">
        <v>4392</v>
      </c>
      <c r="K12" s="426" t="s">
        <v>170</v>
      </c>
      <c r="L12" s="427" t="s">
        <v>150</v>
      </c>
      <c r="M12" s="429" t="s">
        <v>5039</v>
      </c>
      <c r="N12" s="427" t="s">
        <v>3897</v>
      </c>
      <c r="O12" s="443" t="s">
        <v>1998</v>
      </c>
      <c r="P12" s="440" t="s">
        <v>1995</v>
      </c>
      <c r="Q12" s="445" t="s">
        <v>1406</v>
      </c>
      <c r="R12" s="427" t="s">
        <v>155</v>
      </c>
      <c r="S12" s="440"/>
      <c r="T12" s="446" t="s">
        <v>1997</v>
      </c>
      <c r="U12" s="435" t="s">
        <v>156</v>
      </c>
      <c r="V12" s="427" t="s">
        <v>220</v>
      </c>
      <c r="W12" s="433" t="s">
        <v>603</v>
      </c>
      <c r="X12" s="443" t="s">
        <v>1998</v>
      </c>
      <c r="Y12" s="438"/>
    </row>
    <row r="13" spans="1:25" s="461" customFormat="1" ht="15.95" customHeight="1" x14ac:dyDescent="0.25">
      <c r="A13" s="448">
        <f>SUBTOTAL(103,$J$3:J13)</f>
        <v>11</v>
      </c>
      <c r="B13" s="449" t="s">
        <v>268</v>
      </c>
      <c r="C13" s="450" t="s">
        <v>158</v>
      </c>
      <c r="D13" s="450" t="s">
        <v>155</v>
      </c>
      <c r="E13" s="450" t="s">
        <v>106</v>
      </c>
      <c r="F13" s="449" t="s">
        <v>4965</v>
      </c>
      <c r="G13" s="449" t="s">
        <v>4977</v>
      </c>
      <c r="H13" s="462" t="s">
        <v>213</v>
      </c>
      <c r="I13" s="463" t="s">
        <v>214</v>
      </c>
      <c r="J13" s="481" t="s">
        <v>4393</v>
      </c>
      <c r="K13" s="450" t="s">
        <v>149</v>
      </c>
      <c r="L13" s="450" t="s">
        <v>150</v>
      </c>
      <c r="M13" s="451" t="s">
        <v>5039</v>
      </c>
      <c r="N13" s="449" t="s">
        <v>3897</v>
      </c>
      <c r="O13" s="482" t="s">
        <v>222</v>
      </c>
      <c r="P13" s="462" t="s">
        <v>215</v>
      </c>
      <c r="Q13" s="483" t="s">
        <v>217</v>
      </c>
      <c r="R13" s="450"/>
      <c r="S13" s="462" t="s">
        <v>218</v>
      </c>
      <c r="T13" s="484" t="s">
        <v>219</v>
      </c>
      <c r="U13" s="457" t="s">
        <v>156</v>
      </c>
      <c r="V13" s="462" t="s">
        <v>220</v>
      </c>
      <c r="W13" s="483" t="s">
        <v>221</v>
      </c>
      <c r="X13" s="482" t="s">
        <v>222</v>
      </c>
      <c r="Y13" s="460" t="s">
        <v>223</v>
      </c>
    </row>
    <row r="14" spans="1:25" s="439" customFormat="1" ht="15.95" customHeight="1" x14ac:dyDescent="0.25">
      <c r="A14" s="426">
        <f>SUBTOTAL(103,$J$3:J14)</f>
        <v>12</v>
      </c>
      <c r="B14" s="427" t="s">
        <v>278</v>
      </c>
      <c r="C14" s="428" t="s">
        <v>158</v>
      </c>
      <c r="D14" s="426" t="s">
        <v>155</v>
      </c>
      <c r="E14" s="427" t="s">
        <v>106</v>
      </c>
      <c r="F14" s="427" t="s">
        <v>4965</v>
      </c>
      <c r="G14" s="427" t="s">
        <v>4978</v>
      </c>
      <c r="H14" s="440" t="s">
        <v>1999</v>
      </c>
      <c r="I14" s="441" t="s">
        <v>392</v>
      </c>
      <c r="J14" s="471" t="s">
        <v>4394</v>
      </c>
      <c r="K14" s="426" t="s">
        <v>149</v>
      </c>
      <c r="L14" s="428" t="s">
        <v>150</v>
      </c>
      <c r="M14" s="429" t="s">
        <v>5039</v>
      </c>
      <c r="N14" s="427" t="s">
        <v>3897</v>
      </c>
      <c r="O14" s="443" t="s">
        <v>2002</v>
      </c>
      <c r="P14" s="440" t="s">
        <v>281</v>
      </c>
      <c r="Q14" s="445" t="s">
        <v>1767</v>
      </c>
      <c r="R14" s="428" t="s">
        <v>155</v>
      </c>
      <c r="S14" s="440"/>
      <c r="T14" s="446" t="s">
        <v>2000</v>
      </c>
      <c r="U14" s="435" t="s">
        <v>156</v>
      </c>
      <c r="V14" s="427" t="s">
        <v>220</v>
      </c>
      <c r="W14" s="433" t="s">
        <v>2001</v>
      </c>
      <c r="X14" s="443" t="s">
        <v>2002</v>
      </c>
      <c r="Y14" s="438"/>
    </row>
    <row r="15" spans="1:25" s="439" customFormat="1" ht="15.95" customHeight="1" x14ac:dyDescent="0.25">
      <c r="A15" s="426">
        <f>SUBTOTAL(103,$J$3:J15)</f>
        <v>13</v>
      </c>
      <c r="B15" s="427" t="s">
        <v>390</v>
      </c>
      <c r="C15" s="428" t="s">
        <v>158</v>
      </c>
      <c r="D15" s="428" t="s">
        <v>155</v>
      </c>
      <c r="E15" s="428" t="s">
        <v>106</v>
      </c>
      <c r="F15" s="427" t="s">
        <v>4965</v>
      </c>
      <c r="G15" s="427" t="s">
        <v>4979</v>
      </c>
      <c r="H15" s="440" t="s">
        <v>226</v>
      </c>
      <c r="I15" s="441" t="s">
        <v>227</v>
      </c>
      <c r="J15" s="471" t="s">
        <v>4395</v>
      </c>
      <c r="K15" s="428" t="s">
        <v>149</v>
      </c>
      <c r="L15" s="426" t="s">
        <v>150</v>
      </c>
      <c r="M15" s="429" t="s">
        <v>5039</v>
      </c>
      <c r="N15" s="427" t="s">
        <v>3897</v>
      </c>
      <c r="O15" s="443" t="s">
        <v>231</v>
      </c>
      <c r="P15" s="440" t="s">
        <v>82</v>
      </c>
      <c r="Q15" s="445" t="s">
        <v>228</v>
      </c>
      <c r="R15" s="428" t="s">
        <v>155</v>
      </c>
      <c r="S15" s="476"/>
      <c r="T15" s="477">
        <v>38088013565</v>
      </c>
      <c r="U15" s="478" t="s">
        <v>156</v>
      </c>
      <c r="V15" s="445" t="s">
        <v>229</v>
      </c>
      <c r="W15" s="476" t="s">
        <v>230</v>
      </c>
      <c r="X15" s="443" t="s">
        <v>231</v>
      </c>
      <c r="Y15" s="479" t="s">
        <v>232</v>
      </c>
    </row>
    <row r="16" spans="1:25" s="439" customFormat="1" ht="15.95" customHeight="1" x14ac:dyDescent="0.25">
      <c r="A16" s="426">
        <f>SUBTOTAL(103,$J$3:J16)</f>
        <v>14</v>
      </c>
      <c r="B16" s="427" t="s">
        <v>398</v>
      </c>
      <c r="C16" s="428" t="s">
        <v>158</v>
      </c>
      <c r="D16" s="426" t="s">
        <v>155</v>
      </c>
      <c r="E16" s="427" t="s">
        <v>106</v>
      </c>
      <c r="F16" s="427" t="s">
        <v>4965</v>
      </c>
      <c r="G16" s="427" t="s">
        <v>4980</v>
      </c>
      <c r="H16" s="429" t="s">
        <v>234</v>
      </c>
      <c r="I16" s="430" t="s">
        <v>235</v>
      </c>
      <c r="J16" s="431" t="s">
        <v>4396</v>
      </c>
      <c r="K16" s="427" t="s">
        <v>149</v>
      </c>
      <c r="L16" s="427" t="s">
        <v>150</v>
      </c>
      <c r="M16" s="429" t="s">
        <v>5039</v>
      </c>
      <c r="N16" s="427" t="s">
        <v>3897</v>
      </c>
      <c r="O16" s="431" t="s">
        <v>243</v>
      </c>
      <c r="P16" s="429" t="s">
        <v>26</v>
      </c>
      <c r="Q16" s="433" t="s">
        <v>228</v>
      </c>
      <c r="R16" s="427" t="s">
        <v>155</v>
      </c>
      <c r="S16" s="427"/>
      <c r="T16" s="447" t="s">
        <v>240</v>
      </c>
      <c r="U16" s="435" t="s">
        <v>156</v>
      </c>
      <c r="V16" s="427" t="s">
        <v>241</v>
      </c>
      <c r="W16" s="433" t="s">
        <v>242</v>
      </c>
      <c r="X16" s="431" t="s">
        <v>243</v>
      </c>
      <c r="Y16" s="438" t="s">
        <v>192</v>
      </c>
    </row>
    <row r="17" spans="1:25" s="439" customFormat="1" ht="15.95" customHeight="1" x14ac:dyDescent="0.25">
      <c r="A17" s="426">
        <f>SUBTOTAL(103,$J$3:J17)</f>
        <v>15</v>
      </c>
      <c r="B17" s="427" t="s">
        <v>407</v>
      </c>
      <c r="C17" s="428" t="s">
        <v>158</v>
      </c>
      <c r="D17" s="426" t="s">
        <v>155</v>
      </c>
      <c r="E17" s="426" t="s">
        <v>106</v>
      </c>
      <c r="F17" s="427" t="s">
        <v>4965</v>
      </c>
      <c r="G17" s="427" t="s">
        <v>4981</v>
      </c>
      <c r="H17" s="440" t="s">
        <v>245</v>
      </c>
      <c r="I17" s="441" t="s">
        <v>246</v>
      </c>
      <c r="J17" s="442" t="s">
        <v>4397</v>
      </c>
      <c r="K17" s="428" t="s">
        <v>149</v>
      </c>
      <c r="L17" s="427" t="s">
        <v>150</v>
      </c>
      <c r="M17" s="429" t="s">
        <v>5039</v>
      </c>
      <c r="N17" s="427" t="s">
        <v>3897</v>
      </c>
      <c r="O17" s="443" t="s">
        <v>256</v>
      </c>
      <c r="P17" s="444" t="s">
        <v>247</v>
      </c>
      <c r="Q17" s="433" t="s">
        <v>251</v>
      </c>
      <c r="R17" s="427" t="s">
        <v>155</v>
      </c>
      <c r="S17" s="440"/>
      <c r="T17" s="446" t="s">
        <v>252</v>
      </c>
      <c r="U17" s="436" t="s">
        <v>253</v>
      </c>
      <c r="V17" s="427" t="s">
        <v>254</v>
      </c>
      <c r="W17" s="445" t="s">
        <v>255</v>
      </c>
      <c r="X17" s="443" t="s">
        <v>256</v>
      </c>
      <c r="Y17" s="438"/>
    </row>
    <row r="18" spans="1:25" s="439" customFormat="1" ht="15.95" customHeight="1" x14ac:dyDescent="0.25">
      <c r="A18" s="426">
        <f>SUBTOTAL(103,$J$3:J18)</f>
        <v>16</v>
      </c>
      <c r="B18" s="427" t="s">
        <v>415</v>
      </c>
      <c r="C18" s="428" t="s">
        <v>158</v>
      </c>
      <c r="D18" s="428" t="s">
        <v>155</v>
      </c>
      <c r="E18" s="428" t="s">
        <v>106</v>
      </c>
      <c r="F18" s="427" t="s">
        <v>4965</v>
      </c>
      <c r="G18" s="427" t="s">
        <v>4982</v>
      </c>
      <c r="H18" s="440" t="s">
        <v>258</v>
      </c>
      <c r="I18" s="441" t="s">
        <v>259</v>
      </c>
      <c r="J18" s="471" t="s">
        <v>4398</v>
      </c>
      <c r="K18" s="428" t="s">
        <v>149</v>
      </c>
      <c r="L18" s="428" t="s">
        <v>150</v>
      </c>
      <c r="M18" s="429" t="s">
        <v>5039</v>
      </c>
      <c r="N18" s="427" t="s">
        <v>3897</v>
      </c>
      <c r="O18" s="443" t="s">
        <v>266</v>
      </c>
      <c r="P18" s="440" t="s">
        <v>56</v>
      </c>
      <c r="Q18" s="445" t="s">
        <v>228</v>
      </c>
      <c r="R18" s="428" t="s">
        <v>155</v>
      </c>
      <c r="S18" s="440"/>
      <c r="T18" s="446" t="s">
        <v>263</v>
      </c>
      <c r="U18" s="435" t="s">
        <v>156</v>
      </c>
      <c r="V18" s="440" t="s">
        <v>264</v>
      </c>
      <c r="W18" s="445" t="s">
        <v>265</v>
      </c>
      <c r="X18" s="443" t="s">
        <v>266</v>
      </c>
      <c r="Y18" s="438"/>
    </row>
    <row r="19" spans="1:25" s="439" customFormat="1" ht="15.95" customHeight="1" x14ac:dyDescent="0.25">
      <c r="A19" s="426">
        <f>SUBTOTAL(103,$J$3:J19)</f>
        <v>17</v>
      </c>
      <c r="B19" s="427" t="s">
        <v>543</v>
      </c>
      <c r="C19" s="428" t="s">
        <v>158</v>
      </c>
      <c r="D19" s="428" t="s">
        <v>155</v>
      </c>
      <c r="E19" s="428" t="s">
        <v>106</v>
      </c>
      <c r="F19" s="427" t="s">
        <v>4965</v>
      </c>
      <c r="G19" s="427" t="s">
        <v>4983</v>
      </c>
      <c r="H19" s="440" t="s">
        <v>168</v>
      </c>
      <c r="I19" s="441" t="s">
        <v>269</v>
      </c>
      <c r="J19" s="471" t="s">
        <v>4399</v>
      </c>
      <c r="K19" s="428" t="s">
        <v>170</v>
      </c>
      <c r="L19" s="426" t="s">
        <v>150</v>
      </c>
      <c r="M19" s="429" t="s">
        <v>5039</v>
      </c>
      <c r="N19" s="427" t="s">
        <v>3897</v>
      </c>
      <c r="O19" s="443" t="s">
        <v>276</v>
      </c>
      <c r="P19" s="440" t="s">
        <v>270</v>
      </c>
      <c r="Q19" s="433" t="s">
        <v>273</v>
      </c>
      <c r="R19" s="428" t="s">
        <v>19</v>
      </c>
      <c r="S19" s="440"/>
      <c r="T19" s="446" t="s">
        <v>274</v>
      </c>
      <c r="U19" s="478" t="s">
        <v>156</v>
      </c>
      <c r="V19" s="445" t="s">
        <v>229</v>
      </c>
      <c r="W19" s="476" t="s">
        <v>275</v>
      </c>
      <c r="X19" s="443" t="s">
        <v>276</v>
      </c>
      <c r="Y19" s="438"/>
    </row>
    <row r="20" spans="1:25" s="439" customFormat="1" ht="15.95" customHeight="1" x14ac:dyDescent="0.25">
      <c r="A20" s="426">
        <f>SUBTOTAL(103,$J$3:J20)</f>
        <v>18</v>
      </c>
      <c r="B20" s="427" t="s">
        <v>555</v>
      </c>
      <c r="C20" s="428" t="s">
        <v>158</v>
      </c>
      <c r="D20" s="426" t="s">
        <v>155</v>
      </c>
      <c r="E20" s="426" t="s">
        <v>106</v>
      </c>
      <c r="F20" s="427" t="s">
        <v>4965</v>
      </c>
      <c r="G20" s="427" t="s">
        <v>4984</v>
      </c>
      <c r="H20" s="440" t="s">
        <v>279</v>
      </c>
      <c r="I20" s="441" t="s">
        <v>280</v>
      </c>
      <c r="J20" s="442" t="s">
        <v>3973</v>
      </c>
      <c r="K20" s="426" t="s">
        <v>149</v>
      </c>
      <c r="L20" s="427" t="s">
        <v>150</v>
      </c>
      <c r="M20" s="429" t="s">
        <v>5039</v>
      </c>
      <c r="N20" s="427" t="s">
        <v>3897</v>
      </c>
      <c r="O20" s="443" t="s">
        <v>288</v>
      </c>
      <c r="P20" s="444" t="s">
        <v>281</v>
      </c>
      <c r="Q20" s="445" t="s">
        <v>284</v>
      </c>
      <c r="R20" s="427" t="s">
        <v>155</v>
      </c>
      <c r="S20" s="440" t="s">
        <v>285</v>
      </c>
      <c r="T20" s="446" t="s">
        <v>286</v>
      </c>
      <c r="U20" s="435" t="s">
        <v>156</v>
      </c>
      <c r="V20" s="427" t="s">
        <v>229</v>
      </c>
      <c r="W20" s="445" t="s">
        <v>287</v>
      </c>
      <c r="X20" s="443" t="s">
        <v>288</v>
      </c>
      <c r="Y20" s="438" t="s">
        <v>289</v>
      </c>
    </row>
    <row r="21" spans="1:25" s="67" customFormat="1" ht="15.95" customHeight="1" x14ac:dyDescent="0.25">
      <c r="A21" s="55"/>
      <c r="B21" s="59"/>
      <c r="C21" s="53"/>
      <c r="D21" s="53"/>
      <c r="E21" s="49"/>
      <c r="F21" s="49"/>
      <c r="G21" s="49"/>
      <c r="H21" s="56" t="s">
        <v>2004</v>
      </c>
      <c r="I21" s="49"/>
      <c r="J21" s="103"/>
      <c r="K21" s="53"/>
      <c r="L21" s="53"/>
      <c r="M21" s="58"/>
      <c r="N21" s="53"/>
      <c r="O21" s="57"/>
      <c r="P21" s="58"/>
      <c r="Q21" s="64"/>
      <c r="R21" s="53"/>
      <c r="S21" s="58"/>
      <c r="T21" s="140"/>
      <c r="U21" s="62"/>
      <c r="V21" s="58"/>
      <c r="W21" s="64"/>
      <c r="X21" s="57"/>
      <c r="Y21" s="66"/>
    </row>
    <row r="22" spans="1:25" s="67" customFormat="1" ht="15.95" customHeight="1" x14ac:dyDescent="0.25">
      <c r="A22" s="68">
        <f>SUBTOTAL(103,$J$22:J22)</f>
        <v>1</v>
      </c>
      <c r="B22" s="53">
        <v>1</v>
      </c>
      <c r="C22" s="53" t="s">
        <v>158</v>
      </c>
      <c r="D22" s="53" t="s">
        <v>19</v>
      </c>
      <c r="E22" s="53" t="s">
        <v>105</v>
      </c>
      <c r="F22" s="53" t="s">
        <v>4992</v>
      </c>
      <c r="G22" s="53" t="s">
        <v>4985</v>
      </c>
      <c r="H22" s="58" t="s">
        <v>2005</v>
      </c>
      <c r="I22" s="58" t="s">
        <v>2006</v>
      </c>
      <c r="J22" s="103" t="s">
        <v>4400</v>
      </c>
      <c r="K22" s="53" t="s">
        <v>149</v>
      </c>
      <c r="L22" s="53" t="s">
        <v>150</v>
      </c>
      <c r="M22" s="58" t="s">
        <v>5040</v>
      </c>
      <c r="N22" s="53" t="s">
        <v>3897</v>
      </c>
      <c r="O22" s="81" t="s">
        <v>2011</v>
      </c>
      <c r="P22" s="58" t="s">
        <v>2007</v>
      </c>
      <c r="Q22" s="64" t="s">
        <v>2008</v>
      </c>
      <c r="R22" s="53"/>
      <c r="S22" s="58"/>
      <c r="T22" s="140" t="s">
        <v>2009</v>
      </c>
      <c r="U22" s="62" t="s">
        <v>156</v>
      </c>
      <c r="V22" s="58" t="s">
        <v>1311</v>
      </c>
      <c r="W22" s="64" t="s">
        <v>2010</v>
      </c>
      <c r="X22" s="81" t="s">
        <v>2011</v>
      </c>
      <c r="Y22" s="66"/>
    </row>
    <row r="23" spans="1:25" s="67" customFormat="1" ht="15.95" customHeight="1" x14ac:dyDescent="0.25">
      <c r="A23" s="68">
        <f>SUBTOTAL(103,$J$22:J23)</f>
        <v>2</v>
      </c>
      <c r="B23" s="53">
        <v>2</v>
      </c>
      <c r="C23" s="53" t="s">
        <v>158</v>
      </c>
      <c r="D23" s="53" t="s">
        <v>19</v>
      </c>
      <c r="E23" s="53" t="s">
        <v>105</v>
      </c>
      <c r="F23" s="53" t="s">
        <v>4992</v>
      </c>
      <c r="G23" s="53" t="s">
        <v>4986</v>
      </c>
      <c r="H23" s="58" t="s">
        <v>2012</v>
      </c>
      <c r="I23" s="58" t="s">
        <v>2013</v>
      </c>
      <c r="J23" s="103" t="s">
        <v>4401</v>
      </c>
      <c r="K23" s="53" t="s">
        <v>149</v>
      </c>
      <c r="L23" s="53" t="s">
        <v>150</v>
      </c>
      <c r="M23" s="58" t="s">
        <v>5040</v>
      </c>
      <c r="N23" s="53" t="s">
        <v>3897</v>
      </c>
      <c r="O23" s="57" t="s">
        <v>2018</v>
      </c>
      <c r="P23" s="58" t="s">
        <v>2014</v>
      </c>
      <c r="Q23" s="64" t="s">
        <v>2015</v>
      </c>
      <c r="R23" s="53" t="s">
        <v>155</v>
      </c>
      <c r="S23" s="58"/>
      <c r="T23" s="140" t="s">
        <v>2016</v>
      </c>
      <c r="U23" s="62" t="s">
        <v>156</v>
      </c>
      <c r="V23" s="58" t="s">
        <v>446</v>
      </c>
      <c r="W23" s="64" t="s">
        <v>2017</v>
      </c>
      <c r="X23" s="57" t="s">
        <v>2018</v>
      </c>
      <c r="Y23" s="66"/>
    </row>
    <row r="24" spans="1:25" s="67" customFormat="1" ht="15.95" customHeight="1" x14ac:dyDescent="0.25">
      <c r="A24" s="68">
        <f>SUBTOTAL(103,$J$22:J24)</f>
        <v>3</v>
      </c>
      <c r="B24" s="53">
        <v>3</v>
      </c>
      <c r="C24" s="53" t="s">
        <v>158</v>
      </c>
      <c r="D24" s="68" t="s">
        <v>19</v>
      </c>
      <c r="E24" s="68" t="s">
        <v>106</v>
      </c>
      <c r="F24" s="53" t="s">
        <v>4992</v>
      </c>
      <c r="G24" s="68" t="s">
        <v>4987</v>
      </c>
      <c r="H24" s="58" t="s">
        <v>1833</v>
      </c>
      <c r="I24" s="58" t="s">
        <v>2019</v>
      </c>
      <c r="J24" s="234" t="s">
        <v>4402</v>
      </c>
      <c r="K24" s="68" t="s">
        <v>149</v>
      </c>
      <c r="L24" s="59" t="s">
        <v>150</v>
      </c>
      <c r="M24" s="58" t="s">
        <v>5040</v>
      </c>
      <c r="N24" s="53" t="s">
        <v>3897</v>
      </c>
      <c r="O24" s="57" t="s">
        <v>2024</v>
      </c>
      <c r="P24" s="58" t="s">
        <v>54</v>
      </c>
      <c r="Q24" s="74" t="s">
        <v>2022</v>
      </c>
      <c r="R24" s="59" t="s">
        <v>155</v>
      </c>
      <c r="S24" s="58"/>
      <c r="T24" s="140" t="s">
        <v>2023</v>
      </c>
      <c r="U24" s="62" t="s">
        <v>156</v>
      </c>
      <c r="V24" s="59" t="s">
        <v>229</v>
      </c>
      <c r="W24" s="64" t="s">
        <v>649</v>
      </c>
      <c r="X24" s="57" t="s">
        <v>2024</v>
      </c>
      <c r="Y24" s="66"/>
    </row>
    <row r="25" spans="1:25" s="67" customFormat="1" ht="15.95" customHeight="1" x14ac:dyDescent="0.25">
      <c r="A25" s="68">
        <f>SUBTOTAL(103,$J$22:J25)</f>
        <v>4</v>
      </c>
      <c r="B25" s="53">
        <v>4</v>
      </c>
      <c r="C25" s="53" t="s">
        <v>158</v>
      </c>
      <c r="D25" s="68" t="s">
        <v>19</v>
      </c>
      <c r="E25" s="68" t="s">
        <v>106</v>
      </c>
      <c r="F25" s="53" t="s">
        <v>4992</v>
      </c>
      <c r="G25" s="68" t="s">
        <v>4988</v>
      </c>
      <c r="H25" s="58" t="s">
        <v>1481</v>
      </c>
      <c r="I25" s="58" t="s">
        <v>149</v>
      </c>
      <c r="J25" s="234" t="s">
        <v>4403</v>
      </c>
      <c r="K25" s="68" t="s">
        <v>149</v>
      </c>
      <c r="L25" s="59" t="s">
        <v>150</v>
      </c>
      <c r="M25" s="58" t="s">
        <v>5040</v>
      </c>
      <c r="N25" s="53" t="s">
        <v>3897</v>
      </c>
      <c r="O25" s="57" t="s">
        <v>2027</v>
      </c>
      <c r="P25" s="58" t="s">
        <v>1433</v>
      </c>
      <c r="Q25" s="64" t="s">
        <v>228</v>
      </c>
      <c r="R25" s="59" t="s">
        <v>1337</v>
      </c>
      <c r="S25" s="58"/>
      <c r="T25" s="140" t="s">
        <v>2025</v>
      </c>
      <c r="U25" s="62" t="s">
        <v>156</v>
      </c>
      <c r="V25" s="59" t="s">
        <v>229</v>
      </c>
      <c r="W25" s="64" t="s">
        <v>2026</v>
      </c>
      <c r="X25" s="57" t="s">
        <v>2027</v>
      </c>
      <c r="Y25" s="66"/>
    </row>
    <row r="26" spans="1:25" s="67" customFormat="1" ht="15.95" customHeight="1" x14ac:dyDescent="0.25">
      <c r="A26" s="68">
        <f>SUBTOTAL(103,$J$22:J26)</f>
        <v>5</v>
      </c>
      <c r="B26" s="53">
        <v>5</v>
      </c>
      <c r="C26" s="53" t="s">
        <v>158</v>
      </c>
      <c r="D26" s="53" t="s">
        <v>19</v>
      </c>
      <c r="E26" s="53" t="s">
        <v>106</v>
      </c>
      <c r="F26" s="53" t="s">
        <v>4992</v>
      </c>
      <c r="G26" s="68" t="s">
        <v>4989</v>
      </c>
      <c r="H26" s="58" t="s">
        <v>1395</v>
      </c>
      <c r="I26" s="58" t="s">
        <v>2028</v>
      </c>
      <c r="J26" s="103" t="s">
        <v>4404</v>
      </c>
      <c r="K26" s="53" t="s">
        <v>149</v>
      </c>
      <c r="L26" s="53" t="s">
        <v>150</v>
      </c>
      <c r="M26" s="58" t="s">
        <v>5040</v>
      </c>
      <c r="N26" s="53" t="s">
        <v>3897</v>
      </c>
      <c r="O26" s="57" t="s">
        <v>2031</v>
      </c>
      <c r="P26" s="58" t="s">
        <v>84</v>
      </c>
      <c r="Q26" s="64" t="s">
        <v>2029</v>
      </c>
      <c r="R26" s="53" t="s">
        <v>155</v>
      </c>
      <c r="S26" s="58"/>
      <c r="T26" s="140" t="s">
        <v>2030</v>
      </c>
      <c r="U26" s="62" t="s">
        <v>156</v>
      </c>
      <c r="V26" s="58" t="s">
        <v>347</v>
      </c>
      <c r="W26" s="64" t="s">
        <v>644</v>
      </c>
      <c r="X26" s="57" t="s">
        <v>2031</v>
      </c>
      <c r="Y26" s="66" t="s">
        <v>2032</v>
      </c>
    </row>
    <row r="27" spans="1:25" s="67" customFormat="1" ht="15.95" customHeight="1" x14ac:dyDescent="0.25">
      <c r="A27" s="68">
        <f>SUBTOTAL(103,$J$22:J27)</f>
        <v>6</v>
      </c>
      <c r="B27" s="53">
        <v>6</v>
      </c>
      <c r="C27" s="53" t="s">
        <v>158</v>
      </c>
      <c r="D27" s="68" t="s">
        <v>19</v>
      </c>
      <c r="E27" s="68" t="s">
        <v>639</v>
      </c>
      <c r="F27" s="53" t="s">
        <v>4992</v>
      </c>
      <c r="G27" s="68" t="s">
        <v>4990</v>
      </c>
      <c r="H27" s="58" t="s">
        <v>2033</v>
      </c>
      <c r="I27" s="58" t="s">
        <v>2034</v>
      </c>
      <c r="J27" s="234" t="s">
        <v>4400</v>
      </c>
      <c r="K27" s="68" t="s">
        <v>149</v>
      </c>
      <c r="L27" s="59" t="s">
        <v>150</v>
      </c>
      <c r="M27" s="58" t="s">
        <v>5040</v>
      </c>
      <c r="N27" s="53" t="s">
        <v>3897</v>
      </c>
      <c r="O27" s="57" t="s">
        <v>2038</v>
      </c>
      <c r="P27" s="58"/>
      <c r="Q27" s="64" t="s">
        <v>2036</v>
      </c>
      <c r="R27" s="59"/>
      <c r="S27" s="58"/>
      <c r="T27" s="140" t="s">
        <v>2037</v>
      </c>
      <c r="U27" s="62" t="s">
        <v>156</v>
      </c>
      <c r="V27" s="59" t="s">
        <v>483</v>
      </c>
      <c r="W27" s="74" t="s">
        <v>1892</v>
      </c>
      <c r="X27" s="57" t="s">
        <v>2038</v>
      </c>
      <c r="Y27" s="66"/>
    </row>
    <row r="28" spans="1:25" s="67" customFormat="1" ht="30" x14ac:dyDescent="0.25">
      <c r="A28" s="68">
        <f>SUBTOTAL(103,$J$22:J28)</f>
        <v>7</v>
      </c>
      <c r="B28" s="53">
        <v>7</v>
      </c>
      <c r="C28" s="53" t="s">
        <v>158</v>
      </c>
      <c r="D28" s="68" t="s">
        <v>19</v>
      </c>
      <c r="E28" s="59" t="s">
        <v>639</v>
      </c>
      <c r="F28" s="53" t="s">
        <v>4992</v>
      </c>
      <c r="G28" s="59" t="s">
        <v>4991</v>
      </c>
      <c r="H28" s="73" t="s">
        <v>2039</v>
      </c>
      <c r="I28" s="74" t="s">
        <v>352</v>
      </c>
      <c r="J28" s="75" t="s">
        <v>3985</v>
      </c>
      <c r="K28" s="59" t="s">
        <v>149</v>
      </c>
      <c r="L28" s="59" t="s">
        <v>150</v>
      </c>
      <c r="M28" s="58" t="s">
        <v>5040</v>
      </c>
      <c r="N28" s="53" t="s">
        <v>3897</v>
      </c>
      <c r="O28" s="75" t="s">
        <v>2044</v>
      </c>
      <c r="P28" s="58"/>
      <c r="Q28" s="74" t="s">
        <v>2042</v>
      </c>
      <c r="R28" s="59"/>
      <c r="S28" s="59"/>
      <c r="T28" s="362" t="s">
        <v>2043</v>
      </c>
      <c r="U28" s="62" t="s">
        <v>156</v>
      </c>
      <c r="V28" s="59" t="s">
        <v>550</v>
      </c>
      <c r="W28" s="74" t="s">
        <v>551</v>
      </c>
      <c r="X28" s="75" t="s">
        <v>2044</v>
      </c>
      <c r="Y28" s="66"/>
    </row>
    <row r="29" spans="1:25" s="67" customFormat="1" ht="15.95" customHeight="1" x14ac:dyDescent="0.25">
      <c r="A29" s="55"/>
      <c r="B29" s="59"/>
      <c r="C29" s="53"/>
      <c r="D29" s="68"/>
      <c r="E29" s="49"/>
      <c r="F29" s="49"/>
      <c r="G29" s="49"/>
      <c r="H29" s="424" t="s">
        <v>2045</v>
      </c>
      <c r="I29" s="425"/>
      <c r="J29" s="75"/>
      <c r="K29" s="59"/>
      <c r="L29" s="59"/>
      <c r="M29" s="73"/>
      <c r="N29" s="59"/>
      <c r="O29" s="75"/>
      <c r="P29" s="73"/>
      <c r="Q29" s="74"/>
      <c r="R29" s="59"/>
      <c r="S29" s="59"/>
      <c r="T29" s="362"/>
      <c r="U29" s="62"/>
      <c r="V29" s="59"/>
      <c r="W29" s="74"/>
      <c r="X29" s="75"/>
      <c r="Y29" s="66"/>
    </row>
    <row r="30" spans="1:25" s="67" customFormat="1" ht="30" x14ac:dyDescent="0.25">
      <c r="A30" s="68">
        <f>SUBTOTAL(103,$J$30:J30)</f>
        <v>1</v>
      </c>
      <c r="B30" s="282">
        <v>1</v>
      </c>
      <c r="C30" s="53" t="s">
        <v>158</v>
      </c>
      <c r="D30" s="68" t="s">
        <v>19</v>
      </c>
      <c r="E30" s="68" t="s">
        <v>105</v>
      </c>
      <c r="F30" s="68" t="s">
        <v>5004</v>
      </c>
      <c r="G30" s="68" t="s">
        <v>4993</v>
      </c>
      <c r="H30" s="58" t="s">
        <v>2046</v>
      </c>
      <c r="I30" s="58" t="s">
        <v>2047</v>
      </c>
      <c r="J30" s="234" t="s">
        <v>4405</v>
      </c>
      <c r="K30" s="53" t="s">
        <v>149</v>
      </c>
      <c r="L30" s="59" t="s">
        <v>150</v>
      </c>
      <c r="M30" s="73" t="s">
        <v>5041</v>
      </c>
      <c r="N30" s="59" t="s">
        <v>3897</v>
      </c>
      <c r="O30" s="57" t="s">
        <v>2053</v>
      </c>
      <c r="P30" s="82" t="s">
        <v>2048</v>
      </c>
      <c r="Q30" s="74" t="s">
        <v>2049</v>
      </c>
      <c r="R30" s="59"/>
      <c r="S30" s="58"/>
      <c r="T30" s="140" t="s">
        <v>2050</v>
      </c>
      <c r="U30" s="71" t="s">
        <v>294</v>
      </c>
      <c r="V30" s="59" t="s">
        <v>2051</v>
      </c>
      <c r="W30" s="64" t="s">
        <v>2052</v>
      </c>
      <c r="X30" s="57" t="s">
        <v>2053</v>
      </c>
      <c r="Y30" s="66"/>
    </row>
    <row r="31" spans="1:25" s="67" customFormat="1" ht="15.95" customHeight="1" x14ac:dyDescent="0.25">
      <c r="A31" s="68">
        <f>SUBTOTAL(103,$J$30:J31)</f>
        <v>2</v>
      </c>
      <c r="B31" s="53">
        <v>2</v>
      </c>
      <c r="C31" s="53" t="s">
        <v>158</v>
      </c>
      <c r="D31" s="53" t="s">
        <v>19</v>
      </c>
      <c r="E31" s="53" t="s">
        <v>105</v>
      </c>
      <c r="F31" s="68" t="s">
        <v>5004</v>
      </c>
      <c r="G31" s="68" t="s">
        <v>4994</v>
      </c>
      <c r="H31" s="58" t="s">
        <v>1233</v>
      </c>
      <c r="I31" s="58" t="s">
        <v>1377</v>
      </c>
      <c r="J31" s="103" t="s">
        <v>4165</v>
      </c>
      <c r="K31" s="53" t="s">
        <v>149</v>
      </c>
      <c r="L31" s="53" t="s">
        <v>150</v>
      </c>
      <c r="M31" s="73" t="s">
        <v>5041</v>
      </c>
      <c r="N31" s="59" t="s">
        <v>3897</v>
      </c>
      <c r="O31" s="57" t="s">
        <v>2058</v>
      </c>
      <c r="P31" s="58" t="s">
        <v>2054</v>
      </c>
      <c r="Q31" s="64" t="s">
        <v>2055</v>
      </c>
      <c r="R31" s="53"/>
      <c r="S31" s="58"/>
      <c r="T31" s="140" t="s">
        <v>2056</v>
      </c>
      <c r="U31" s="62" t="s">
        <v>156</v>
      </c>
      <c r="V31" s="58" t="s">
        <v>1038</v>
      </c>
      <c r="W31" s="64" t="s">
        <v>2057</v>
      </c>
      <c r="X31" s="57" t="s">
        <v>2058</v>
      </c>
      <c r="Y31" s="66"/>
    </row>
    <row r="32" spans="1:25" s="67" customFormat="1" ht="15.95" customHeight="1" x14ac:dyDescent="0.25">
      <c r="A32" s="68">
        <f>SUBTOTAL(103,$J$30:J32)</f>
        <v>3</v>
      </c>
      <c r="B32" s="282">
        <v>3</v>
      </c>
      <c r="C32" s="53" t="s">
        <v>158</v>
      </c>
      <c r="D32" s="68" t="s">
        <v>19</v>
      </c>
      <c r="E32" s="53" t="s">
        <v>105</v>
      </c>
      <c r="F32" s="68" t="s">
        <v>5004</v>
      </c>
      <c r="G32" s="68" t="s">
        <v>4995</v>
      </c>
      <c r="H32" s="58" t="s">
        <v>2059</v>
      </c>
      <c r="I32" s="58" t="s">
        <v>2060</v>
      </c>
      <c r="J32" s="103" t="s">
        <v>4406</v>
      </c>
      <c r="K32" s="53" t="s">
        <v>149</v>
      </c>
      <c r="L32" s="68" t="s">
        <v>150</v>
      </c>
      <c r="M32" s="73" t="s">
        <v>5041</v>
      </c>
      <c r="N32" s="59" t="s">
        <v>3897</v>
      </c>
      <c r="O32" s="57" t="s">
        <v>2066</v>
      </c>
      <c r="P32" s="58" t="s">
        <v>2061</v>
      </c>
      <c r="Q32" s="64" t="s">
        <v>2063</v>
      </c>
      <c r="R32" s="53" t="s">
        <v>155</v>
      </c>
      <c r="S32" s="58"/>
      <c r="T32" s="140" t="s">
        <v>2064</v>
      </c>
      <c r="U32" s="62" t="s">
        <v>156</v>
      </c>
      <c r="V32" s="58" t="s">
        <v>521</v>
      </c>
      <c r="W32" s="64" t="s">
        <v>2065</v>
      </c>
      <c r="X32" s="57" t="s">
        <v>2066</v>
      </c>
      <c r="Y32" s="66"/>
    </row>
    <row r="33" spans="1:25" s="67" customFormat="1" ht="15.95" customHeight="1" x14ac:dyDescent="0.25">
      <c r="A33" s="68">
        <f>SUBTOTAL(103,$J$30:J33)</f>
        <v>4</v>
      </c>
      <c r="B33" s="53">
        <v>4</v>
      </c>
      <c r="C33" s="53" t="s">
        <v>158</v>
      </c>
      <c r="D33" s="53" t="s">
        <v>19</v>
      </c>
      <c r="E33" s="53" t="s">
        <v>105</v>
      </c>
      <c r="F33" s="68" t="s">
        <v>5004</v>
      </c>
      <c r="G33" s="68" t="s">
        <v>4996</v>
      </c>
      <c r="H33" s="58" t="s">
        <v>2069</v>
      </c>
      <c r="I33" s="58" t="s">
        <v>377</v>
      </c>
      <c r="J33" s="103" t="s">
        <v>4407</v>
      </c>
      <c r="K33" s="53" t="s">
        <v>149</v>
      </c>
      <c r="L33" s="53" t="s">
        <v>150</v>
      </c>
      <c r="M33" s="73" t="s">
        <v>5041</v>
      </c>
      <c r="N33" s="59" t="s">
        <v>3897</v>
      </c>
      <c r="O33" s="57" t="s">
        <v>2074</v>
      </c>
      <c r="P33" s="58" t="s">
        <v>2070</v>
      </c>
      <c r="Q33" s="64" t="s">
        <v>2071</v>
      </c>
      <c r="R33" s="53" t="s">
        <v>155</v>
      </c>
      <c r="S33" s="58"/>
      <c r="T33" s="140" t="s">
        <v>2072</v>
      </c>
      <c r="U33" s="62" t="s">
        <v>156</v>
      </c>
      <c r="V33" s="58" t="s">
        <v>241</v>
      </c>
      <c r="W33" s="64" t="s">
        <v>2073</v>
      </c>
      <c r="X33" s="57" t="s">
        <v>2074</v>
      </c>
      <c r="Y33" s="66" t="s">
        <v>2075</v>
      </c>
    </row>
    <row r="34" spans="1:25" s="67" customFormat="1" ht="15.95" customHeight="1" x14ac:dyDescent="0.25">
      <c r="A34" s="68">
        <f>SUBTOTAL(103,$J$30:J34)</f>
        <v>5</v>
      </c>
      <c r="B34" s="282">
        <v>5</v>
      </c>
      <c r="C34" s="53" t="s">
        <v>158</v>
      </c>
      <c r="D34" s="68" t="s">
        <v>19</v>
      </c>
      <c r="E34" s="53" t="s">
        <v>106</v>
      </c>
      <c r="F34" s="68" t="s">
        <v>5004</v>
      </c>
      <c r="G34" s="53" t="s">
        <v>4997</v>
      </c>
      <c r="H34" s="58" t="s">
        <v>1833</v>
      </c>
      <c r="I34" s="58" t="s">
        <v>1646</v>
      </c>
      <c r="J34" s="103" t="s">
        <v>4408</v>
      </c>
      <c r="K34" s="53" t="s">
        <v>149</v>
      </c>
      <c r="L34" s="68" t="s">
        <v>150</v>
      </c>
      <c r="M34" s="73" t="s">
        <v>5041</v>
      </c>
      <c r="N34" s="59" t="s">
        <v>3897</v>
      </c>
      <c r="O34" s="57" t="s">
        <v>2080</v>
      </c>
      <c r="P34" s="58" t="s">
        <v>54</v>
      </c>
      <c r="Q34" s="64" t="s">
        <v>2077</v>
      </c>
      <c r="R34" s="53" t="s">
        <v>155</v>
      </c>
      <c r="S34" s="58"/>
      <c r="T34" s="140" t="s">
        <v>2078</v>
      </c>
      <c r="U34" s="62" t="s">
        <v>156</v>
      </c>
      <c r="V34" s="59" t="s">
        <v>347</v>
      </c>
      <c r="W34" s="64" t="s">
        <v>2079</v>
      </c>
      <c r="X34" s="57" t="s">
        <v>2080</v>
      </c>
      <c r="Y34" s="66"/>
    </row>
    <row r="35" spans="1:25" s="67" customFormat="1" ht="15.95" customHeight="1" x14ac:dyDescent="0.25">
      <c r="A35" s="68">
        <f>SUBTOTAL(103,$J$30:J35)</f>
        <v>6</v>
      </c>
      <c r="B35" s="53">
        <v>6</v>
      </c>
      <c r="C35" s="53" t="s">
        <v>158</v>
      </c>
      <c r="D35" s="68" t="s">
        <v>19</v>
      </c>
      <c r="E35" s="59" t="s">
        <v>106</v>
      </c>
      <c r="F35" s="68" t="s">
        <v>5004</v>
      </c>
      <c r="G35" s="53" t="s">
        <v>4998</v>
      </c>
      <c r="H35" s="58" t="s">
        <v>2081</v>
      </c>
      <c r="I35" s="58" t="s">
        <v>2047</v>
      </c>
      <c r="J35" s="103" t="s">
        <v>4409</v>
      </c>
      <c r="K35" s="53" t="s">
        <v>149</v>
      </c>
      <c r="L35" s="68" t="s">
        <v>150</v>
      </c>
      <c r="M35" s="73" t="s">
        <v>5041</v>
      </c>
      <c r="N35" s="59" t="s">
        <v>3897</v>
      </c>
      <c r="O35" s="57" t="s">
        <v>2085</v>
      </c>
      <c r="P35" s="58" t="s">
        <v>1972</v>
      </c>
      <c r="Q35" s="64" t="s">
        <v>2083</v>
      </c>
      <c r="R35" s="53" t="s">
        <v>155</v>
      </c>
      <c r="S35" s="58"/>
      <c r="T35" s="140" t="s">
        <v>2084</v>
      </c>
      <c r="U35" s="62" t="s">
        <v>156</v>
      </c>
      <c r="V35" s="59" t="s">
        <v>436</v>
      </c>
      <c r="W35" s="64" t="s">
        <v>981</v>
      </c>
      <c r="X35" s="57" t="s">
        <v>2085</v>
      </c>
      <c r="Y35" s="66"/>
    </row>
    <row r="36" spans="1:25" s="67" customFormat="1" ht="15.95" customHeight="1" x14ac:dyDescent="0.25">
      <c r="A36" s="68">
        <f>SUBTOTAL(103,$J$30:J36)</f>
        <v>7</v>
      </c>
      <c r="B36" s="282">
        <v>7</v>
      </c>
      <c r="C36" s="53" t="s">
        <v>158</v>
      </c>
      <c r="D36" s="53" t="s">
        <v>19</v>
      </c>
      <c r="E36" s="53" t="s">
        <v>106</v>
      </c>
      <c r="F36" s="68" t="s">
        <v>5004</v>
      </c>
      <c r="G36" s="53" t="s">
        <v>4999</v>
      </c>
      <c r="H36" s="58" t="s">
        <v>2086</v>
      </c>
      <c r="I36" s="58" t="s">
        <v>352</v>
      </c>
      <c r="J36" s="103" t="s">
        <v>4276</v>
      </c>
      <c r="K36" s="53" t="s">
        <v>149</v>
      </c>
      <c r="L36" s="53" t="s">
        <v>150</v>
      </c>
      <c r="M36" s="73" t="s">
        <v>5041</v>
      </c>
      <c r="N36" s="59" t="s">
        <v>3897</v>
      </c>
      <c r="O36" s="57" t="s">
        <v>2090</v>
      </c>
      <c r="P36" s="58" t="s">
        <v>1723</v>
      </c>
      <c r="Q36" s="64" t="s">
        <v>1660</v>
      </c>
      <c r="R36" s="53" t="s">
        <v>155</v>
      </c>
      <c r="S36" s="58"/>
      <c r="T36" s="140" t="s">
        <v>2088</v>
      </c>
      <c r="U36" s="62" t="s">
        <v>156</v>
      </c>
      <c r="V36" s="58" t="s">
        <v>550</v>
      </c>
      <c r="W36" s="64" t="s">
        <v>2089</v>
      </c>
      <c r="X36" s="57" t="s">
        <v>2090</v>
      </c>
      <c r="Y36" s="66"/>
    </row>
    <row r="37" spans="1:25" s="67" customFormat="1" ht="15.95" customHeight="1" x14ac:dyDescent="0.25">
      <c r="A37" s="68">
        <f>SUBTOTAL(103,$J$30:J37)</f>
        <v>8</v>
      </c>
      <c r="B37" s="53">
        <v>8</v>
      </c>
      <c r="C37" s="53" t="s">
        <v>158</v>
      </c>
      <c r="D37" s="68" t="s">
        <v>19</v>
      </c>
      <c r="E37" s="53" t="s">
        <v>106</v>
      </c>
      <c r="F37" s="68" t="s">
        <v>5004</v>
      </c>
      <c r="G37" s="53" t="s">
        <v>5000</v>
      </c>
      <c r="H37" s="58" t="s">
        <v>2091</v>
      </c>
      <c r="I37" s="58" t="s">
        <v>2092</v>
      </c>
      <c r="J37" s="103" t="s">
        <v>4410</v>
      </c>
      <c r="K37" s="53" t="s">
        <v>149</v>
      </c>
      <c r="L37" s="68" t="s">
        <v>150</v>
      </c>
      <c r="M37" s="73" t="s">
        <v>5041</v>
      </c>
      <c r="N37" s="59" t="s">
        <v>3897</v>
      </c>
      <c r="O37" s="57" t="s">
        <v>2096</v>
      </c>
      <c r="P37" s="58" t="s">
        <v>2093</v>
      </c>
      <c r="Q37" s="64" t="s">
        <v>2094</v>
      </c>
      <c r="R37" s="53" t="s">
        <v>19</v>
      </c>
      <c r="S37" s="58"/>
      <c r="T37" s="140" t="s">
        <v>2095</v>
      </c>
      <c r="U37" s="62" t="s">
        <v>156</v>
      </c>
      <c r="V37" s="59" t="s">
        <v>483</v>
      </c>
      <c r="W37" s="74" t="s">
        <v>592</v>
      </c>
      <c r="X37" s="57" t="s">
        <v>2096</v>
      </c>
      <c r="Y37" s="66"/>
    </row>
    <row r="38" spans="1:25" s="67" customFormat="1" ht="15.95" customHeight="1" x14ac:dyDescent="0.25">
      <c r="A38" s="68">
        <f>SUBTOTAL(103,$J$30:J38)</f>
        <v>9</v>
      </c>
      <c r="B38" s="282">
        <v>9</v>
      </c>
      <c r="C38" s="53" t="s">
        <v>158</v>
      </c>
      <c r="D38" s="53" t="s">
        <v>19</v>
      </c>
      <c r="E38" s="53" t="s">
        <v>106</v>
      </c>
      <c r="F38" s="68" t="s">
        <v>5004</v>
      </c>
      <c r="G38" s="53" t="s">
        <v>5001</v>
      </c>
      <c r="H38" s="58" t="s">
        <v>1645</v>
      </c>
      <c r="I38" s="58" t="s">
        <v>2097</v>
      </c>
      <c r="J38" s="103" t="s">
        <v>4411</v>
      </c>
      <c r="K38" s="53" t="s">
        <v>149</v>
      </c>
      <c r="L38" s="53" t="s">
        <v>150</v>
      </c>
      <c r="M38" s="73" t="s">
        <v>5041</v>
      </c>
      <c r="N38" s="59" t="s">
        <v>3897</v>
      </c>
      <c r="O38" s="57" t="s">
        <v>5049</v>
      </c>
      <c r="P38" s="58" t="s">
        <v>2098</v>
      </c>
      <c r="Q38" s="64" t="s">
        <v>2099</v>
      </c>
      <c r="R38" s="53" t="s">
        <v>155</v>
      </c>
      <c r="S38" s="58"/>
      <c r="T38" s="140" t="s">
        <v>2100</v>
      </c>
      <c r="U38" s="62" t="s">
        <v>156</v>
      </c>
      <c r="V38" s="58" t="s">
        <v>264</v>
      </c>
      <c r="W38" s="64" t="s">
        <v>2101</v>
      </c>
      <c r="X38" s="57" t="s">
        <v>2102</v>
      </c>
      <c r="Y38" s="66" t="s">
        <v>457</v>
      </c>
    </row>
    <row r="39" spans="1:25" s="67" customFormat="1" ht="15.95" customHeight="1" x14ac:dyDescent="0.25">
      <c r="A39" s="68">
        <f>SUBTOTAL(103,$J$30:J39)</f>
        <v>10</v>
      </c>
      <c r="B39" s="53">
        <v>10</v>
      </c>
      <c r="C39" s="53" t="s">
        <v>158</v>
      </c>
      <c r="D39" s="68" t="s">
        <v>19</v>
      </c>
      <c r="E39" s="59" t="s">
        <v>104</v>
      </c>
      <c r="F39" s="68" t="s">
        <v>5004</v>
      </c>
      <c r="G39" s="59" t="s">
        <v>5002</v>
      </c>
      <c r="H39" s="73" t="s">
        <v>1751</v>
      </c>
      <c r="I39" s="74" t="s">
        <v>1646</v>
      </c>
      <c r="J39" s="75" t="s">
        <v>4412</v>
      </c>
      <c r="K39" s="59" t="s">
        <v>149</v>
      </c>
      <c r="L39" s="59" t="s">
        <v>150</v>
      </c>
      <c r="M39" s="73" t="s">
        <v>5041</v>
      </c>
      <c r="N39" s="59" t="s">
        <v>3897</v>
      </c>
      <c r="O39" s="75" t="s">
        <v>2106</v>
      </c>
      <c r="P39" s="73" t="s">
        <v>2103</v>
      </c>
      <c r="Q39" s="74" t="s">
        <v>1958</v>
      </c>
      <c r="R39" s="59" t="s">
        <v>155</v>
      </c>
      <c r="S39" s="59"/>
      <c r="T39" s="362" t="s">
        <v>2105</v>
      </c>
      <c r="U39" s="62" t="s">
        <v>156</v>
      </c>
      <c r="V39" s="59" t="s">
        <v>366</v>
      </c>
      <c r="W39" s="74" t="s">
        <v>1838</v>
      </c>
      <c r="X39" s="75" t="s">
        <v>2106</v>
      </c>
      <c r="Y39" s="66" t="s">
        <v>2107</v>
      </c>
    </row>
    <row r="40" spans="1:25" s="67" customFormat="1" ht="15.95" customHeight="1" x14ac:dyDescent="0.25">
      <c r="A40" s="68">
        <f>SUBTOTAL(103,$J$30:J40)</f>
        <v>11</v>
      </c>
      <c r="B40" s="282">
        <v>11</v>
      </c>
      <c r="C40" s="53" t="s">
        <v>158</v>
      </c>
      <c r="D40" s="68" t="s">
        <v>19</v>
      </c>
      <c r="E40" s="53" t="s">
        <v>639</v>
      </c>
      <c r="F40" s="68" t="s">
        <v>5004</v>
      </c>
      <c r="G40" s="53" t="s">
        <v>5003</v>
      </c>
      <c r="H40" s="58" t="s">
        <v>1383</v>
      </c>
      <c r="I40" s="58" t="s">
        <v>826</v>
      </c>
      <c r="J40" s="103" t="s">
        <v>4413</v>
      </c>
      <c r="K40" s="53" t="s">
        <v>149</v>
      </c>
      <c r="L40" s="68" t="s">
        <v>150</v>
      </c>
      <c r="M40" s="73" t="s">
        <v>5041</v>
      </c>
      <c r="N40" s="59" t="s">
        <v>3897</v>
      </c>
      <c r="O40" s="57" t="s">
        <v>2112</v>
      </c>
      <c r="P40" s="58"/>
      <c r="Q40" s="74" t="s">
        <v>2109</v>
      </c>
      <c r="R40" s="53"/>
      <c r="S40" s="58"/>
      <c r="T40" s="140" t="s">
        <v>2110</v>
      </c>
      <c r="U40" s="62" t="s">
        <v>156</v>
      </c>
      <c r="V40" s="58" t="s">
        <v>436</v>
      </c>
      <c r="W40" s="64" t="s">
        <v>2111</v>
      </c>
      <c r="X40" s="57" t="s">
        <v>2112</v>
      </c>
      <c r="Y40" s="66"/>
    </row>
    <row r="41" spans="1:25" s="21" customFormat="1" ht="20.25" customHeight="1" x14ac:dyDescent="0.25">
      <c r="A41" s="23"/>
      <c r="B41" s="28"/>
      <c r="C41" s="30"/>
      <c r="D41" s="20"/>
      <c r="E41" s="20"/>
      <c r="F41" s="20"/>
      <c r="G41" s="20"/>
      <c r="J41" s="339"/>
      <c r="K41" s="20"/>
      <c r="L41" s="20"/>
      <c r="M41" s="31"/>
      <c r="N41" s="23"/>
      <c r="O41" s="32"/>
      <c r="Q41" s="361"/>
      <c r="R41" s="20"/>
      <c r="S41" s="20"/>
      <c r="T41" s="32"/>
      <c r="U41" s="20"/>
      <c r="V41" s="20"/>
      <c r="W41" s="20"/>
      <c r="X41" s="32"/>
    </row>
  </sheetData>
  <autoFilter ref="A1:AD40" xr:uid="{00000000-0009-0000-0000-000003000000}"/>
  <mergeCells count="1">
    <mergeCell ref="H29:I29"/>
  </mergeCells>
  <conditionalFormatting sqref="G1:G1048576">
    <cfRule type="duplicateValues" dxfId="0" priority="2"/>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Tong hop</vt:lpstr>
      <vt:lpstr>Danh sach</vt:lpstr>
      <vt:lpstr>TK Họp</vt:lpstr>
      <vt:lpstr>DS gửi các khoa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2025-08-21T08:51:22Z</dcterms:modified>
</cp:coreProperties>
</file>