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DS K28B" sheetId="3" r:id="rId1"/>
    <sheet name="DS phân công duyệt tuyển" sheetId="4" r:id="rId2"/>
  </sheets>
  <definedNames>
    <definedName name="_xlnm._FilterDatabase" localSheetId="0" hidden="1">'DS K28B'!$A$1:$BS$334</definedName>
    <definedName name="_xlnm._FilterDatabase" localSheetId="1" hidden="1">'DS phân công duyệt tuyển'!$B$6:$J$22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J22" i="4" l="1"/>
  <c r="I22" i="4" l="1"/>
  <c r="F9" i="4"/>
  <c r="F17" i="4"/>
  <c r="F10" i="4"/>
  <c r="F11" i="4"/>
  <c r="F12" i="4"/>
  <c r="F13" i="4"/>
  <c r="F8" i="4"/>
  <c r="F14" i="4"/>
  <c r="F15" i="4"/>
  <c r="F16" i="4"/>
  <c r="F18" i="4"/>
  <c r="F19" i="4"/>
  <c r="F20" i="4"/>
  <c r="F21" i="4"/>
  <c r="F7" i="4"/>
  <c r="F22" i="4" l="1"/>
  <c r="B3" i="3"/>
  <c r="B2" i="3"/>
</calcChain>
</file>

<file path=xl/sharedStrings.xml><?xml version="1.0" encoding="utf-8"?>
<sst xmlns="http://schemas.openxmlformats.org/spreadsheetml/2006/main" count="10777" uniqueCount="2998">
  <si>
    <t>TRƯỜNG ĐẠI HỌC HỒNG ĐỨC</t>
  </si>
  <si>
    <t>TT</t>
  </si>
  <si>
    <t>Ghi chú</t>
  </si>
  <si>
    <t>VLVH</t>
  </si>
  <si>
    <t>Giáo dục Mầm non</t>
  </si>
  <si>
    <t>Giáo dục Tiểu học</t>
  </si>
  <si>
    <t>Giáo dục Thể chất</t>
  </si>
  <si>
    <t>Sư phạm Toán học</t>
  </si>
  <si>
    <t>Sư phạm Vật lý</t>
  </si>
  <si>
    <t>Sư phạm Sinh học</t>
  </si>
  <si>
    <t>Sư phạm Tin học</t>
  </si>
  <si>
    <t>Sư phạm Ngữ văn</t>
  </si>
  <si>
    <t>Sư phạm Lịch sử</t>
  </si>
  <si>
    <t>Sư phạm Địa lý</t>
  </si>
  <si>
    <t>Sư phạm Tiếng anh</t>
  </si>
  <si>
    <t>Ngôn ngữ anh</t>
  </si>
  <si>
    <t>Kinh tế</t>
  </si>
  <si>
    <t>Tâm lý học</t>
  </si>
  <si>
    <t>Quản trị kinh doanh</t>
  </si>
  <si>
    <t>Kế toán</t>
  </si>
  <si>
    <t>Luật</t>
  </si>
  <si>
    <t>Luật kinh tế</t>
  </si>
  <si>
    <t>Toán học</t>
  </si>
  <si>
    <t>Công nghệ thông tin</t>
  </si>
  <si>
    <t>Kỹ thuật điện</t>
  </si>
  <si>
    <t>Kỹ thuật xây dựng</t>
  </si>
  <si>
    <t>Chăn nuôi thú y</t>
  </si>
  <si>
    <t>Lâm học</t>
  </si>
  <si>
    <t>Chăn nuôi</t>
  </si>
  <si>
    <t>Nông học</t>
  </si>
  <si>
    <t>Quản lý đất đai</t>
  </si>
  <si>
    <t>Tổng cộng</t>
  </si>
  <si>
    <t>TC</t>
  </si>
  <si>
    <t>CĐ</t>
  </si>
  <si>
    <t>ĐH</t>
  </si>
  <si>
    <t>TTN</t>
  </si>
  <si>
    <t>Họ lót</t>
  </si>
  <si>
    <t>Tên</t>
  </si>
  <si>
    <t>Ngày sinh</t>
  </si>
  <si>
    <t>GT</t>
  </si>
  <si>
    <t>Dân tộc</t>
  </si>
  <si>
    <t>Ngành đã TN</t>
  </si>
  <si>
    <t>Trình độ TN</t>
  </si>
  <si>
    <t>Năm TN</t>
  </si>
  <si>
    <t>Xếp loại</t>
  </si>
  <si>
    <t>TBC bảng điểm
(hệ 10)</t>
  </si>
  <si>
    <t>TBC bảng điểm
(hệ 4)</t>
  </si>
  <si>
    <t>Điểm lớp 12</t>
  </si>
  <si>
    <t>Học lực lớp 12</t>
  </si>
  <si>
    <t>Tổ hợp môn</t>
  </si>
  <si>
    <t>Tổng
 điểm
 tổ 
hợp</t>
  </si>
  <si>
    <t>Đăng ký hình thức đào tạo</t>
  </si>
  <si>
    <t>Nơi Sinh</t>
  </si>
  <si>
    <t>Tiêu chí</t>
  </si>
  <si>
    <t>Bằng THPT</t>
  </si>
  <si>
    <t>Học bạ THPT</t>
  </si>
  <si>
    <t>Năm kinh nghiệm</t>
  </si>
  <si>
    <t>Trường đã TN</t>
  </si>
  <si>
    <t>HTĐT ngành đã TN</t>
  </si>
  <si>
    <t>Bằng CĐ, ĐH,TC có thêm</t>
  </si>
  <si>
    <t>Số CMND/
CCCD</t>
  </si>
  <si>
    <t>Tên Tỉnh</t>
  </si>
  <si>
    <t>Địa chỉ liên hệ</t>
  </si>
  <si>
    <t>ĐT liên hệ</t>
  </si>
  <si>
    <t>Lệ phí</t>
  </si>
  <si>
    <t>s ng</t>
  </si>
  <si>
    <t>điểm</t>
  </si>
  <si>
    <t>1</t>
  </si>
  <si>
    <t xml:space="preserve">Trịnh Minh </t>
  </si>
  <si>
    <t>Hiếu</t>
  </si>
  <si>
    <t>Nam</t>
  </si>
  <si>
    <t>Kinh</t>
  </si>
  <si>
    <t>Ứng dụng phần mềm</t>
  </si>
  <si>
    <t>2024</t>
  </si>
  <si>
    <t>Khá</t>
  </si>
  <si>
    <t>7,9</t>
  </si>
  <si>
    <t>CQ</t>
  </si>
  <si>
    <t>Thanh Hóa</t>
  </si>
  <si>
    <t>x</t>
  </si>
  <si>
    <t>HDU</t>
  </si>
  <si>
    <t>Đại học FPT</t>
  </si>
  <si>
    <t>038203005753</t>
  </si>
  <si>
    <t>Nga Sơn</t>
  </si>
  <si>
    <t>Thị trấn Nga Sơn, Nga Sơn, Thanh Hóa</t>
  </si>
  <si>
    <t>0911103945</t>
  </si>
  <si>
    <t>200k</t>
  </si>
  <si>
    <t>Thiếu BĐ Cao đẳng</t>
  </si>
  <si>
    <t>09.06.25</t>
  </si>
  <si>
    <t>2</t>
  </si>
  <si>
    <t>Trịnh Thị</t>
  </si>
  <si>
    <t>Loan</t>
  </si>
  <si>
    <t>Nữ</t>
  </si>
  <si>
    <t>Tin học ứng dụng</t>
  </si>
  <si>
    <t>7,06</t>
  </si>
  <si>
    <t>7,5</t>
  </si>
  <si>
    <t>Đại học Công nghệp Hà Nội</t>
  </si>
  <si>
    <t>038192000644</t>
  </si>
  <si>
    <t>TX Bỉm Sơn</t>
  </si>
  <si>
    <t>Lam Sơn, Tx Bỉm Sơn, Thanh Hóa</t>
  </si>
  <si>
    <t>0365721832</t>
  </si>
  <si>
    <t>Bằng CĐ công chứng</t>
  </si>
  <si>
    <t>11.6.2025</t>
  </si>
  <si>
    <t>3</t>
  </si>
  <si>
    <t>Nguyễn Thị</t>
  </si>
  <si>
    <t>Nhung</t>
  </si>
  <si>
    <t>2012</t>
  </si>
  <si>
    <t>7.17</t>
  </si>
  <si>
    <t>7,6</t>
  </si>
  <si>
    <t>Đại học Chu Văn An</t>
  </si>
  <si>
    <t>001191019443</t>
  </si>
  <si>
    <t>Như Xuân</t>
  </si>
  <si>
    <t>TT Yên Cát, Như Xuân, Thanh Hóa</t>
  </si>
  <si>
    <t>0941256812</t>
  </si>
  <si>
    <t>Thiếu bằng THPT</t>
  </si>
  <si>
    <t>6.6.25</t>
  </si>
  <si>
    <t>4</t>
  </si>
  <si>
    <t>Nguyễn Danh</t>
  </si>
  <si>
    <t>Hiệu</t>
  </si>
  <si>
    <t>TBK</t>
  </si>
  <si>
    <t>Đại học Luật Hà Nội</t>
  </si>
  <si>
    <t>93 Nguyễn Tĩnh, Đông Hương, TP Thanh Hóa, Thanh Hóa</t>
  </si>
  <si>
    <t>0902102727</t>
  </si>
  <si>
    <t>HB THPT</t>
  </si>
  <si>
    <t>31.3.25</t>
  </si>
  <si>
    <t>5</t>
  </si>
  <si>
    <t>Phạm Văn</t>
  </si>
  <si>
    <t>Lâm</t>
  </si>
  <si>
    <t>Đại học Vinh</t>
  </si>
  <si>
    <t>038079009057</t>
  </si>
  <si>
    <t>Quan Hóa</t>
  </si>
  <si>
    <t>Phú Nghiêm, Quan Hóa, Thanh Hóa</t>
  </si>
  <si>
    <t>0979856099</t>
  </si>
  <si>
    <t>Thiếu Bằng THPT, BĐTC, CCCD công chứng</t>
  </si>
  <si>
    <t>6</t>
  </si>
  <si>
    <t>Hoàng Văn</t>
  </si>
  <si>
    <t>Long</t>
  </si>
  <si>
    <t>Ngôn ngữ Anh</t>
  </si>
  <si>
    <t>2,98</t>
  </si>
  <si>
    <t>ĐH Kinh doanh và Công nghệ Hà Nội</t>
  </si>
  <si>
    <t>thạc sỹ, đại học kế toán</t>
  </si>
  <si>
    <t>038092014892</t>
  </si>
  <si>
    <t>Hoằng Hóa</t>
  </si>
  <si>
    <t>Phố Đạo Sơn, xã Hoằng Hóa, tỉnh Thanh Hóa</t>
  </si>
  <si>
    <t>0964975569</t>
  </si>
  <si>
    <t>Bằng và học bạ THPT</t>
  </si>
  <si>
    <t>15.7.25</t>
  </si>
  <si>
    <t>7</t>
  </si>
  <si>
    <t>Nguyễn Đăng</t>
  </si>
  <si>
    <t>Quy</t>
  </si>
  <si>
    <t>Đại học Hồng Đức</t>
  </si>
  <si>
    <t>TP. Thanh Hóa</t>
  </si>
  <si>
    <t>Chung cư CT2, Phú Sơn, TP Thanh Hóa, Thanh Hóa</t>
  </si>
  <si>
    <t>0974954611</t>
  </si>
  <si>
    <t>Thiếu HB THPT</t>
  </si>
  <si>
    <t>8</t>
  </si>
  <si>
    <t>Hoàng Ngọc</t>
  </si>
  <si>
    <t>Quý</t>
  </si>
  <si>
    <t>Giỏi</t>
  </si>
  <si>
    <t>7,86</t>
  </si>
  <si>
    <t>3,34</t>
  </si>
  <si>
    <t>7,2</t>
  </si>
  <si>
    <t>038201010698</t>
  </si>
  <si>
    <t>TP. Sầm Sơn</t>
  </si>
  <si>
    <t>Trung Sơn, TP Sầm Sơn, Thanh Hóa</t>
  </si>
  <si>
    <t>0868368602</t>
  </si>
  <si>
    <t>9</t>
  </si>
  <si>
    <t xml:space="preserve">Nguyễn Mạnh </t>
  </si>
  <si>
    <t>Tùng</t>
  </si>
  <si>
    <t>Công nghệ Kỹ thuật xây dựng</t>
  </si>
  <si>
    <t>TB</t>
  </si>
  <si>
    <t>5,98</t>
  </si>
  <si>
    <t>6,5</t>
  </si>
  <si>
    <t>Đại học Thuỷ lợi</t>
  </si>
  <si>
    <t>038091023502</t>
  </si>
  <si>
    <t>Hà Nội</t>
  </si>
  <si>
    <t>Hoàng Mai</t>
  </si>
  <si>
    <t>Đại Kim, Hoàng Mai, Hà Nội</t>
  </si>
  <si>
    <t>0949123136</t>
  </si>
  <si>
    <t>10</t>
  </si>
  <si>
    <t>Phạm Quang</t>
  </si>
  <si>
    <t>Thành</t>
  </si>
  <si>
    <t>7,79</t>
  </si>
  <si>
    <t>3,27</t>
  </si>
  <si>
    <t>6,7</t>
  </si>
  <si>
    <t>038095027015</t>
  </si>
  <si>
    <t>Sầm Sơn</t>
  </si>
  <si>
    <t>Trường Sơn, Sầm Sơn, Thanh Hóa</t>
  </si>
  <si>
    <t>0989569469</t>
  </si>
  <si>
    <t>29.07.25</t>
  </si>
  <si>
    <t>11</t>
  </si>
  <si>
    <t>Thảo</t>
  </si>
  <si>
    <t xml:space="preserve">Kế toán </t>
  </si>
  <si>
    <t>7,31</t>
  </si>
  <si>
    <t>5,2</t>
  </si>
  <si>
    <t>Đại học Công nghệ Đông Á</t>
  </si>
  <si>
    <t>038190001948</t>
  </si>
  <si>
    <t>Đông Sơn, TP Thanh Hóa, Thanh Hóa</t>
  </si>
  <si>
    <t>0888686368</t>
  </si>
  <si>
    <t>11.7.25</t>
  </si>
  <si>
    <t>12</t>
  </si>
  <si>
    <t xml:space="preserve">Lường Viết </t>
  </si>
  <si>
    <t>Thắng</t>
  </si>
  <si>
    <t>Tài chính - Ngân hàng</t>
  </si>
  <si>
    <t>7,4</t>
  </si>
  <si>
    <t>5,9</t>
  </si>
  <si>
    <t>Đại học Kinh tế quốc dân</t>
  </si>
  <si>
    <t>BĐ cao đẳng</t>
  </si>
  <si>
    <t>038090044602</t>
  </si>
  <si>
    <t>Đông Thọ, TP.Thanh Hoá, Thanh Hóa</t>
  </si>
  <si>
    <t>0905008698</t>
  </si>
  <si>
    <t>Thiếu bằng cao đẳng</t>
  </si>
  <si>
    <t>Hoa</t>
  </si>
  <si>
    <t>Dịch vụ thú y</t>
  </si>
  <si>
    <t>2,22</t>
  </si>
  <si>
    <t>Hà Tĩnh</t>
  </si>
  <si>
    <t>Học viện Nông nghiệp Việt Nam</t>
  </si>
  <si>
    <t>184259524</t>
  </si>
  <si>
    <t>Thạch Thành</t>
  </si>
  <si>
    <t>Thạch Thành, Thành Hóa</t>
  </si>
  <si>
    <t>0966088970</t>
  </si>
  <si>
    <t>Linh thu (2023)</t>
  </si>
  <si>
    <t>Thiếu CCCD, Bằng và HB THPT</t>
  </si>
  <si>
    <t>cũ</t>
  </si>
  <si>
    <t>Lê Tùng</t>
  </si>
  <si>
    <t>Linh</t>
  </si>
  <si>
    <t>Công nghệ kỹ thuật điện tử</t>
  </si>
  <si>
    <t>2009</t>
  </si>
  <si>
    <t>Cao đẳng Công nghiệp Nam Định</t>
  </si>
  <si>
    <t>038088010677</t>
  </si>
  <si>
    <t>Nông Cống</t>
  </si>
  <si>
    <t>Vạn Hòa, Nông Cống, Thanh Hóa</t>
  </si>
  <si>
    <t>0917959558</t>
  </si>
  <si>
    <t>Thiếu hồ sơ công chứng</t>
  </si>
  <si>
    <t>5.6.25</t>
  </si>
  <si>
    <t xml:space="preserve">Nguyễn Thị </t>
  </si>
  <si>
    <t>Công nghệ kỹ thuật hoá học</t>
  </si>
  <si>
    <t>2011</t>
  </si>
  <si>
    <t>7,51</t>
  </si>
  <si>
    <t>ĐH Công nghiệp Việt trì</t>
  </si>
  <si>
    <t>038190057163</t>
  </si>
  <si>
    <t>Xuân Hòa, Như Xuân, Thanh Hóa</t>
  </si>
  <si>
    <t>Châm</t>
  </si>
  <si>
    <t>Bắc Giang</t>
  </si>
  <si>
    <t>024198000052</t>
  </si>
  <si>
    <t>Quảng Tâm, TP.Thanh Hoá, Thanh Hóa</t>
  </si>
  <si>
    <t>07.7.25</t>
  </si>
  <si>
    <t>Đào</t>
  </si>
  <si>
    <t>7,64</t>
  </si>
  <si>
    <t>8,2</t>
  </si>
  <si>
    <t>038302017710</t>
  </si>
  <si>
    <t>Nghi Sơn</t>
  </si>
  <si>
    <t>Tùng Lâm, Nghi Sơn, Thanh Hóa</t>
  </si>
  <si>
    <t>0912020760</t>
  </si>
  <si>
    <t>Thiểu ảnh 3x4</t>
  </si>
  <si>
    <t>08.7.25</t>
  </si>
  <si>
    <t>Lê Huy</t>
  </si>
  <si>
    <t>Huấn</t>
  </si>
  <si>
    <t>TB Khá</t>
  </si>
  <si>
    <t>6,58</t>
  </si>
  <si>
    <t>038088018225</t>
  </si>
  <si>
    <t>Như Thanh</t>
  </si>
  <si>
    <t>Phú Nhuận, Như Thanh, Thanh Hóa</t>
  </si>
  <si>
    <t>Hương</t>
  </si>
  <si>
    <t>2021</t>
  </si>
  <si>
    <t>7,15</t>
  </si>
  <si>
    <t>2,86</t>
  </si>
  <si>
    <t>038198012972</t>
  </si>
  <si>
    <t>TP Thanh Hóa</t>
  </si>
  <si>
    <t>Đông Nam, TP.Thanh Hoá, Thanh Hóa</t>
  </si>
  <si>
    <t>0387348999</t>
  </si>
  <si>
    <t>Thiếu bằng và học bạ THPT, GKS</t>
  </si>
  <si>
    <t>Bùi Thế</t>
  </si>
  <si>
    <t>Sơn</t>
  </si>
  <si>
    <t>An toàn Hàng Hải</t>
  </si>
  <si>
    <t>6,01</t>
  </si>
  <si>
    <t>Đại học Nha Trang</t>
  </si>
  <si>
    <t>038083031396</t>
  </si>
  <si>
    <t>Hà Trung</t>
  </si>
  <si>
    <t>Thôn Đa Quả 1, xã Hà Trung, Thanh Hóa</t>
  </si>
  <si>
    <t>0976470646</t>
  </si>
  <si>
    <t>12.8.25</t>
  </si>
  <si>
    <t xml:space="preserve">Bùi Văn </t>
  </si>
  <si>
    <t>6,56</t>
  </si>
  <si>
    <t>Đại học Kinh tế Quốc dân</t>
  </si>
  <si>
    <t>ĐH Dược</t>
  </si>
  <si>
    <t>038088004289</t>
  </si>
  <si>
    <t>Yên Định</t>
  </si>
  <si>
    <t>Yên Trường, Yên Định, Thanh Hoá</t>
  </si>
  <si>
    <t>17.7.25</t>
  </si>
  <si>
    <t>Lương Thị</t>
  </si>
  <si>
    <t>Trang</t>
  </si>
  <si>
    <t>2020</t>
  </si>
  <si>
    <t>7,07</t>
  </si>
  <si>
    <t>2,85</t>
  </si>
  <si>
    <t>038198029343</t>
  </si>
  <si>
    <t>Phú Sơn, TP.Thanh Hoá, Thanh Hoá</t>
  </si>
  <si>
    <t xml:space="preserve">Mai Chí </t>
  </si>
  <si>
    <t>Trường</t>
  </si>
  <si>
    <t>7,23</t>
  </si>
  <si>
    <t>Đắk Lắc</t>
  </si>
  <si>
    <t>Chưa có HS công chứng</t>
  </si>
  <si>
    <t>Lương Văn</t>
  </si>
  <si>
    <t>Mạnh</t>
  </si>
  <si>
    <t>Chăn nuôi - Thú Y</t>
  </si>
  <si>
    <t>7,1</t>
  </si>
  <si>
    <t>Cao đẳng Nông lâm Thanh Hoá</t>
  </si>
  <si>
    <t>038090034788</t>
  </si>
  <si>
    <t>Thường Xuân</t>
  </si>
  <si>
    <t>TT Thường Xuân, Thường Xuân, Thanh Hóa</t>
  </si>
  <si>
    <t>0976779958</t>
  </si>
  <si>
    <t>13</t>
  </si>
  <si>
    <t>Phạm Trọng</t>
  </si>
  <si>
    <t>Nghĩa</t>
  </si>
  <si>
    <t>CĐ Nông nghiệp Thanh Hóa</t>
  </si>
  <si>
    <t>038207003670</t>
  </si>
  <si>
    <t>Yên Phú, Yên Định, Thanh Hóa</t>
  </si>
  <si>
    <t>Thiếu Bằng và học bạ THPT, ảnh 3x4</t>
  </si>
  <si>
    <t>14</t>
  </si>
  <si>
    <t>Phạm Thị Minh</t>
  </si>
  <si>
    <t>Phương</t>
  </si>
  <si>
    <t>6,2</t>
  </si>
  <si>
    <t>7,21</t>
  </si>
  <si>
    <t>038307028157</t>
  </si>
  <si>
    <t>Lương Sơn, Thường Xuân, Thanh Hóa</t>
  </si>
  <si>
    <t>Ảnh</t>
  </si>
  <si>
    <t>04.08.25</t>
  </si>
  <si>
    <t>15</t>
  </si>
  <si>
    <t>Hà Trọng</t>
  </si>
  <si>
    <t>Toàn</t>
  </si>
  <si>
    <t>2019</t>
  </si>
  <si>
    <t>6,9</t>
  </si>
  <si>
    <t>038201016127</t>
  </si>
  <si>
    <t>Thọ Xuân</t>
  </si>
  <si>
    <t>Xuân Lập, Thọ Xuân, Thanh Hóa</t>
  </si>
  <si>
    <t>16</t>
  </si>
  <si>
    <t xml:space="preserve">Nguyễn Tiến </t>
  </si>
  <si>
    <t>038092016494</t>
  </si>
  <si>
    <t>Phú Nhuận, Như Thanh, Thanh Hoá</t>
  </si>
  <si>
    <t>Trần Thị</t>
  </si>
  <si>
    <t>Dung</t>
  </si>
  <si>
    <t>3,0</t>
  </si>
  <si>
    <t>6,0</t>
  </si>
  <si>
    <t>Cao đẳng Vĩnh Phúc</t>
  </si>
  <si>
    <t>Bằng và BĐ TCMN, 2019</t>
  </si>
  <si>
    <t>038186016684</t>
  </si>
  <si>
    <t>Thuận Minh, Thọ Xuân, Thanh Hoá</t>
  </si>
  <si>
    <t>0919762586</t>
  </si>
  <si>
    <t>16.6.25</t>
  </si>
  <si>
    <t>Duyên</t>
  </si>
  <si>
    <t>2017</t>
  </si>
  <si>
    <t>6,72</t>
  </si>
  <si>
    <t>2,58</t>
  </si>
  <si>
    <t>6,8</t>
  </si>
  <si>
    <t>038195005487</t>
  </si>
  <si>
    <t>Hậu Lộc</t>
  </si>
  <si>
    <t>Phong Lộc, Hậu Lộc, Thanh Hóa</t>
  </si>
  <si>
    <t>0976434316</t>
  </si>
  <si>
    <t>Dương Thị</t>
  </si>
  <si>
    <t>Hằng</t>
  </si>
  <si>
    <t>Mường</t>
  </si>
  <si>
    <t>7,93</t>
  </si>
  <si>
    <t>3,38</t>
  </si>
  <si>
    <t>Đại học Hải Dương</t>
  </si>
  <si>
    <t>038198021588</t>
  </si>
  <si>
    <t>Ngọc Lặc</t>
  </si>
  <si>
    <t>Phùng Giáo, Ngọc Lặc, Thanh Hóa</t>
  </si>
  <si>
    <t>0962240622</t>
  </si>
  <si>
    <t>14.7.25</t>
  </si>
  <si>
    <t>Hồng</t>
  </si>
  <si>
    <t>7,84</t>
  </si>
  <si>
    <t>3,36</t>
  </si>
  <si>
    <t>7,0</t>
  </si>
  <si>
    <t>038195005412</t>
  </si>
  <si>
    <t>Định Tân, Yên Định, Thanh Hóa</t>
  </si>
  <si>
    <t>0985041915</t>
  </si>
  <si>
    <t>GKS</t>
  </si>
  <si>
    <t>Hoàng Thị</t>
  </si>
  <si>
    <t>Huệ</t>
  </si>
  <si>
    <t>7,83</t>
  </si>
  <si>
    <t>3,26</t>
  </si>
  <si>
    <t>038196010600</t>
  </si>
  <si>
    <t>Thuần Lộc, Hậu Lộc, Thanh Hóa</t>
  </si>
  <si>
    <t>0972404361</t>
  </si>
  <si>
    <t xml:space="preserve">Quách Thị </t>
  </si>
  <si>
    <t>2,71</t>
  </si>
  <si>
    <t>Cao đẳng SP Trung Ương</t>
  </si>
  <si>
    <t>038199006825</t>
  </si>
  <si>
    <t>Thành Công, Thạch Thành, Thanh Hóa</t>
  </si>
  <si>
    <t>0986671005</t>
  </si>
  <si>
    <t>20.6.25</t>
  </si>
  <si>
    <t>Lê Thị</t>
  </si>
  <si>
    <t>Huyền</t>
  </si>
  <si>
    <t>7,13</t>
  </si>
  <si>
    <t>2,82</t>
  </si>
  <si>
    <t>038199005401</t>
  </si>
  <si>
    <t>Xuân Sinh, Thọ Xuân, Thanh Hoá</t>
  </si>
  <si>
    <t>0981112884</t>
  </si>
  <si>
    <t>Vương Thị</t>
  </si>
  <si>
    <t>6,86</t>
  </si>
  <si>
    <t>2,67</t>
  </si>
  <si>
    <t>038300016234</t>
  </si>
  <si>
    <t>Quảng Xương</t>
  </si>
  <si>
    <t>Quảng Văn, Quảng Xương, Thanh Hóa</t>
  </si>
  <si>
    <t>0337375330</t>
  </si>
  <si>
    <t>Lanh</t>
  </si>
  <si>
    <t>7,47</t>
  </si>
  <si>
    <t>038193013493</t>
  </si>
  <si>
    <t>Quảng Hưng, TP. Thanh Hóa, Thanh Hóa</t>
  </si>
  <si>
    <t>0984687859</t>
  </si>
  <si>
    <t>XNCT</t>
  </si>
  <si>
    <t>Lê Thị Ngọc</t>
  </si>
  <si>
    <t>CĐ Sư phạm Trung Ương</t>
  </si>
  <si>
    <t>038301017129</t>
  </si>
  <si>
    <t>Triệu Sơn</t>
  </si>
  <si>
    <t>Tổ dân phố 3 Nưa, Triệu Sơn, Thanh Hóa</t>
  </si>
  <si>
    <t>0357487091</t>
  </si>
  <si>
    <t>Thiếu GKS</t>
  </si>
  <si>
    <t>Lê Ngọc</t>
  </si>
  <si>
    <t>Mai</t>
  </si>
  <si>
    <t>6,81</t>
  </si>
  <si>
    <t>2,66</t>
  </si>
  <si>
    <t>038197028088</t>
  </si>
  <si>
    <t>Nga Trường, Nga Sơn, Thanh Hóa</t>
  </si>
  <si>
    <t>0966071431</t>
  </si>
  <si>
    <t>Giấy khai sinh</t>
  </si>
  <si>
    <t xml:space="preserve">Lô Thị </t>
  </si>
  <si>
    <t>Tâm</t>
  </si>
  <si>
    <t>Thái</t>
  </si>
  <si>
    <t>7,77</t>
  </si>
  <si>
    <t>Trung cấp SPMM (2021)</t>
  </si>
  <si>
    <t>038195024042</t>
  </si>
  <si>
    <t>Thanh Kỳ, Như Thanh, Thanh Hóa</t>
  </si>
  <si>
    <t>0359740706</t>
  </si>
  <si>
    <t>03.7.25</t>
  </si>
  <si>
    <t>7,27</t>
  </si>
  <si>
    <t>2,74</t>
  </si>
  <si>
    <t>6,6</t>
  </si>
  <si>
    <t>Đại học Sư phạm Hà Nội</t>
  </si>
  <si>
    <t>038197032692</t>
  </si>
  <si>
    <t>Thiệu Hoá</t>
  </si>
  <si>
    <t>Thiệu Trung, Thiệu Hoá, Thanh Hoá</t>
  </si>
  <si>
    <t>0988274117</t>
  </si>
  <si>
    <t xml:space="preserve">Phạm Thị </t>
  </si>
  <si>
    <t>Thắm</t>
  </si>
  <si>
    <t>7,44</t>
  </si>
  <si>
    <t>3,03</t>
  </si>
  <si>
    <t>038301006588</t>
  </si>
  <si>
    <t>Thị trấn Ngọc Lặc, Ngọc Lặc, Thanh Hóa</t>
  </si>
  <si>
    <t>0367843605</t>
  </si>
  <si>
    <t>Hà Thị</t>
  </si>
  <si>
    <t>Thúy</t>
  </si>
  <si>
    <t>8,10</t>
  </si>
  <si>
    <t>'038198009695</t>
  </si>
  <si>
    <t>Yên Nhân</t>
  </si>
  <si>
    <t>Yên Nhân, Thanh Hóa</t>
  </si>
  <si>
    <t>0974059204</t>
  </si>
  <si>
    <t>Bùi Thu</t>
  </si>
  <si>
    <t>038300006959</t>
  </si>
  <si>
    <t>Quảng Hợp, Quảng Xương, Thanh Hóa</t>
  </si>
  <si>
    <t>0976979331</t>
  </si>
  <si>
    <t>thiếu bảng điểm cao đẳng</t>
  </si>
  <si>
    <t>17</t>
  </si>
  <si>
    <t>Nguyễn Hà</t>
  </si>
  <si>
    <t>Giáo dục Mầm Non</t>
  </si>
  <si>
    <t>2022</t>
  </si>
  <si>
    <t>7,26</t>
  </si>
  <si>
    <t>7,8</t>
  </si>
  <si>
    <t>038301019597</t>
  </si>
  <si>
    <t>Đông Sơn</t>
  </si>
  <si>
    <t>Rừng Thông, Đông Sơn, Thanh Hóa</t>
  </si>
  <si>
    <t>0948978946</t>
  </si>
  <si>
    <t>BĐ Cao đẳng công chứng</t>
  </si>
  <si>
    <t>21.7.25</t>
  </si>
  <si>
    <t>18</t>
  </si>
  <si>
    <t>Yến</t>
  </si>
  <si>
    <t>7,98</t>
  </si>
  <si>
    <t>3,39</t>
  </si>
  <si>
    <t>Đại học Kinh tế</t>
  </si>
  <si>
    <t>038195010336</t>
  </si>
  <si>
    <t>Nam Giang, Thọ Xuân, Thanh Hóa</t>
  </si>
  <si>
    <t>0394433156</t>
  </si>
  <si>
    <t>19</t>
  </si>
  <si>
    <t>Phạm Thị</t>
  </si>
  <si>
    <t>Hà</t>
  </si>
  <si>
    <t>Giáo dục chính trị</t>
  </si>
  <si>
    <t>7,66</t>
  </si>
  <si>
    <t>ĐH Sư phạm Huế</t>
  </si>
  <si>
    <t>038186046284</t>
  </si>
  <si>
    <t>Quảng xương</t>
  </si>
  <si>
    <t>Quảng nhân, Quảng Xương, Thanh Hóa</t>
  </si>
  <si>
    <t>20</t>
  </si>
  <si>
    <t>Dịu</t>
  </si>
  <si>
    <t>Thổ</t>
  </si>
  <si>
    <t>Sư phạm Mầm non</t>
  </si>
  <si>
    <t>Trung cấp Bách nghệ Thanh Hóa</t>
  </si>
  <si>
    <t>038196022981</t>
  </si>
  <si>
    <t>Cát Vân, Như Xuân, Thanh Hóa</t>
  </si>
  <si>
    <t>0982178858</t>
  </si>
  <si>
    <t>BĐ Trung cấp, CCCD, Học bạ THPT</t>
  </si>
  <si>
    <t>21</t>
  </si>
  <si>
    <t>Giới</t>
  </si>
  <si>
    <t>7,7</t>
  </si>
  <si>
    <t>038197017501</t>
  </si>
  <si>
    <t>Cầu Lộc, Hậu Lộc, Thanh Hóa</t>
  </si>
  <si>
    <t>0328522597</t>
  </si>
  <si>
    <t>01.8.25</t>
  </si>
  <si>
    <t>22</t>
  </si>
  <si>
    <t>Hân</t>
  </si>
  <si>
    <t>Đại học Sài gòn</t>
  </si>
  <si>
    <t>038194004274</t>
  </si>
  <si>
    <t>Quảng Đức, Quảng Xương, Thanh Hóa</t>
  </si>
  <si>
    <t>0889669154</t>
  </si>
  <si>
    <t>23</t>
  </si>
  <si>
    <t>Lữ Thị Khánh</t>
  </si>
  <si>
    <t>038198026712</t>
  </si>
  <si>
    <t>Trung Sơn, Sầm Sơn, Thanh Hóa</t>
  </si>
  <si>
    <t>0968432824</t>
  </si>
  <si>
    <t>24</t>
  </si>
  <si>
    <t>Lê Thu</t>
  </si>
  <si>
    <t>CĐSP Trung Ương</t>
  </si>
  <si>
    <t>038192025858</t>
  </si>
  <si>
    <t>Hoằng Quỳ, Hoằng Hóa, Thanh Hóa</t>
  </si>
  <si>
    <t>0974639665</t>
  </si>
  <si>
    <t>25</t>
  </si>
  <si>
    <t>Tuyết</t>
  </si>
  <si>
    <t>8,4</t>
  </si>
  <si>
    <t>Trung cấp Kế toán DNTM</t>
  </si>
  <si>
    <t>038191007804</t>
  </si>
  <si>
    <t>Quảng Đại, Sầm Sơn, Thanh Hóa</t>
  </si>
  <si>
    <t>0379665696</t>
  </si>
  <si>
    <t>Thiếu Giấy khai sinh</t>
  </si>
  <si>
    <t>19.6.25</t>
  </si>
  <si>
    <t>26</t>
  </si>
  <si>
    <t>038196022615</t>
  </si>
  <si>
    <t>Mậu Lâm, Như Thanh, Thanh Hóa</t>
  </si>
  <si>
    <t>0943495322</t>
  </si>
  <si>
    <t>27</t>
  </si>
  <si>
    <t>Thuỷ</t>
  </si>
  <si>
    <t>6,1</t>
  </si>
  <si>
    <t>Trung cấp Tổng hợp Hà Nội</t>
  </si>
  <si>
    <t>038184049761</t>
  </si>
  <si>
    <t>Văn Sơn, Triệu Sơn, Thanh Hóa</t>
  </si>
  <si>
    <t>0985096369</t>
  </si>
  <si>
    <t>28</t>
  </si>
  <si>
    <t>Lữ Thị Mai</t>
  </si>
  <si>
    <t>Thương</t>
  </si>
  <si>
    <t>Trung cấp SP Mẫu giáo - Nhà trẻ  Hà Nội</t>
  </si>
  <si>
    <t>038196024666</t>
  </si>
  <si>
    <t>Quảng Khê, Quảng Xương, Thanh Hóa</t>
  </si>
  <si>
    <t>0384368859</t>
  </si>
  <si>
    <t>200K</t>
  </si>
  <si>
    <t>29</t>
  </si>
  <si>
    <t>Lang Thị</t>
  </si>
  <si>
    <t>038190001017</t>
  </si>
  <si>
    <t>TT Tân Phong, Quảng Xương, Thanh Hóa</t>
  </si>
  <si>
    <t>0981604322</t>
  </si>
  <si>
    <t>30</t>
  </si>
  <si>
    <t>THPT</t>
  </si>
  <si>
    <t>31</t>
  </si>
  <si>
    <t>8,6</t>
  </si>
  <si>
    <t>THPT Nguyễn Mộng Tuân</t>
  </si>
  <si>
    <t>Quảng Đông, TP.Thanh Hoá, Thanh Hóa</t>
  </si>
  <si>
    <t>32</t>
  </si>
  <si>
    <t>Nguyễn Thanh</t>
  </si>
  <si>
    <t>8,5</t>
  </si>
  <si>
    <t>THPT Lý Thường Kiệt, TP. Thanh Hoá, Thanh Hoá</t>
  </si>
  <si>
    <t>Đông Hải, TP.Thanh Hoá, Thanh Hóa</t>
  </si>
  <si>
    <t>Đinh Thị Thanh</t>
  </si>
  <si>
    <t>Bình</t>
  </si>
  <si>
    <t>7,24</t>
  </si>
  <si>
    <t>6,4</t>
  </si>
  <si>
    <t>Quảng Bình</t>
  </si>
  <si>
    <t>Đại học Quảng Bình</t>
  </si>
  <si>
    <t>044194002131</t>
  </si>
  <si>
    <t>Đại Lộc, Hậu Lộc, Thanh Hóa</t>
  </si>
  <si>
    <t>0359161966</t>
  </si>
  <si>
    <t>23.6.25</t>
  </si>
  <si>
    <t>8,38</t>
  </si>
  <si>
    <t>3,35</t>
  </si>
  <si>
    <t>038195009905</t>
  </si>
  <si>
    <t>Quảng Cát, TP.Thanh Hoá, Thanh Hóa</t>
  </si>
  <si>
    <t>0332636006</t>
  </si>
  <si>
    <t xml:space="preserve">Thiếu bằng </t>
  </si>
  <si>
    <t>Toán</t>
  </si>
  <si>
    <t>8,41</t>
  </si>
  <si>
    <t>Đại học Đồng Tháp</t>
  </si>
  <si>
    <t>038188016394</t>
  </si>
  <si>
    <t>Cẩm Thạch</t>
  </si>
  <si>
    <t>Cẩm Thạch, Thanh Hóa</t>
  </si>
  <si>
    <t>0989842446</t>
  </si>
  <si>
    <t>Bằng và học bạ THPT, CCCD</t>
  </si>
  <si>
    <t>Trần Thị Mai</t>
  </si>
  <si>
    <t>Anh</t>
  </si>
  <si>
    <t>038302005869</t>
  </si>
  <si>
    <t>Hưng lộc, Hậu Lộc, Thanh Hóa</t>
  </si>
  <si>
    <t>0982247518</t>
  </si>
  <si>
    <t>05.7.25</t>
  </si>
  <si>
    <t>Nguyễn Châu</t>
  </si>
  <si>
    <t>Sư phạm Tiếng Anh</t>
  </si>
  <si>
    <t>6,71</t>
  </si>
  <si>
    <t>2,60</t>
  </si>
  <si>
    <t>8,3</t>
  </si>
  <si>
    <t>Toán Văn Địa</t>
  </si>
  <si>
    <t>23,3</t>
  </si>
  <si>
    <t>038303018746</t>
  </si>
  <si>
    <t>Hà Vinh, Hà Trung, Thanh Hóa</t>
  </si>
  <si>
    <t>0372793193</t>
  </si>
  <si>
    <t>Lê Thị Mai</t>
  </si>
  <si>
    <t>Chi</t>
  </si>
  <si>
    <t>8,0</t>
  </si>
  <si>
    <t>Toán Văn Hóa</t>
  </si>
  <si>
    <t>23,77</t>
  </si>
  <si>
    <t>038303002222</t>
  </si>
  <si>
    <t>Cán Khê, Như Thanh, Thanh Hóa</t>
  </si>
  <si>
    <t>0328130803</t>
  </si>
  <si>
    <t>Lường Thị</t>
  </si>
  <si>
    <t>2,43</t>
  </si>
  <si>
    <t>038199006120</t>
  </si>
  <si>
    <t>Hoằng Thanh, Hoằng Hóa, Thanh Hóa</t>
  </si>
  <si>
    <t>0968329348</t>
  </si>
  <si>
    <t>Giấy xác nhận k ghi số năm kinh nghiệm</t>
  </si>
  <si>
    <t>3,45</t>
  </si>
  <si>
    <t>Trường Đại học Thủ Đô Hà Nội</t>
  </si>
  <si>
    <t>038302019794</t>
  </si>
  <si>
    <t>Thọ Diên, Thọ Xuân, Thanh Hóa</t>
  </si>
  <si>
    <t>0399703457</t>
  </si>
  <si>
    <t>7,65</t>
  </si>
  <si>
    <t>038197000785</t>
  </si>
  <si>
    <t>Hạc Thành</t>
  </si>
  <si>
    <t>Phường Hạc Thành, Thanh Hóa</t>
  </si>
  <si>
    <t>0941588686</t>
  </si>
  <si>
    <t>Giấy xác nhận công tác, CCCD (Linh KTCN đảm nhận thu)</t>
  </si>
  <si>
    <t>Nguyễn Thị Hiền</t>
  </si>
  <si>
    <t>Lương</t>
  </si>
  <si>
    <t>8,14</t>
  </si>
  <si>
    <t>ĐH Văn hoá, Thể thao&amp;Du lịch TH</t>
  </si>
  <si>
    <t>038303021931</t>
  </si>
  <si>
    <t>0822492636</t>
  </si>
  <si>
    <t>Nga</t>
  </si>
  <si>
    <t>7,42</t>
  </si>
  <si>
    <t>038193048030</t>
  </si>
  <si>
    <t>Thiệu Hóa</t>
  </si>
  <si>
    <t>Thôn Minh Thương, xã Thiệu Hóa, Thanh Hóa</t>
  </si>
  <si>
    <t>0397204025</t>
  </si>
  <si>
    <t>06.8.25</t>
  </si>
  <si>
    <t>Trần Yến</t>
  </si>
  <si>
    <t>Nhi</t>
  </si>
  <si>
    <t>SP Lịch sử - Địa lý</t>
  </si>
  <si>
    <t>Đại học Sư phạm , Đại học Huế</t>
  </si>
  <si>
    <t>038303021498</t>
  </si>
  <si>
    <t>Quan lộc, Hậu Lộc, Thanh Hóa</t>
  </si>
  <si>
    <t>0335302926</t>
  </si>
  <si>
    <t>Đỗ Thị Tú</t>
  </si>
  <si>
    <t>Quyên</t>
  </si>
  <si>
    <t>7,76</t>
  </si>
  <si>
    <t>3,2</t>
  </si>
  <si>
    <t>038199008606</t>
  </si>
  <si>
    <t>Xuân Lập, Thanh Hóa</t>
  </si>
  <si>
    <t>0865215966</t>
  </si>
  <si>
    <t>Thiếu học bạ THPT</t>
  </si>
  <si>
    <t>04.7.25</t>
  </si>
  <si>
    <t>Đỗ Thị</t>
  </si>
  <si>
    <t>Quyết</t>
  </si>
  <si>
    <t>8,21</t>
  </si>
  <si>
    <t>3,44</t>
  </si>
  <si>
    <t>038191035255</t>
  </si>
  <si>
    <t>Lộc Sơn, Hậu Lộc, Thanh Hóa</t>
  </si>
  <si>
    <t>0366585656</t>
  </si>
  <si>
    <t>Tiên</t>
  </si>
  <si>
    <t>Sư phạm Ngữ Văn</t>
  </si>
  <si>
    <t>6,29</t>
  </si>
  <si>
    <t>038197012874</t>
  </si>
  <si>
    <t>Hoằng Đạt, Hoằng Hóa, Thanh Hóa</t>
  </si>
  <si>
    <t>0982534830</t>
  </si>
  <si>
    <t>Giấy XNCT</t>
  </si>
  <si>
    <t>Đào Thị</t>
  </si>
  <si>
    <t>Tiến</t>
  </si>
  <si>
    <t>3,23</t>
  </si>
  <si>
    <t>ĐH Hồng Đức</t>
  </si>
  <si>
    <t>038192018552</t>
  </si>
  <si>
    <t xml:space="preserve">Quảng Trạch </t>
  </si>
  <si>
    <t>Quảng Lưu, Quảng Trạch, Quảng Bình</t>
  </si>
  <si>
    <t>0905759008</t>
  </si>
  <si>
    <t>Học bạ THPT, 1 bản bằng và BĐ ĐH</t>
  </si>
  <si>
    <t>Nguyễn Thị Phương</t>
  </si>
  <si>
    <t>Thuý</t>
  </si>
  <si>
    <t>3,57</t>
  </si>
  <si>
    <t>8.3</t>
  </si>
  <si>
    <t>26,13</t>
  </si>
  <si>
    <t>038199004116</t>
  </si>
  <si>
    <t>Đông Phú, Đông Sơn, Thanh Hóa</t>
  </si>
  <si>
    <t>0856465669</t>
  </si>
  <si>
    <t>Vân</t>
  </si>
  <si>
    <t>7,25</t>
  </si>
  <si>
    <t>2,92</t>
  </si>
  <si>
    <t>8,1</t>
  </si>
  <si>
    <t>24,17</t>
  </si>
  <si>
    <t>038198009229</t>
  </si>
  <si>
    <t>Khu phố Vạn Lợi, TP. Sầm Sơn, Thanh Hóa</t>
  </si>
  <si>
    <t>0398648787</t>
  </si>
  <si>
    <t>Nguyễn Minh</t>
  </si>
  <si>
    <t>Toán Văn Sinh</t>
  </si>
  <si>
    <t>23,7</t>
  </si>
  <si>
    <t>THPT Lam Sơn</t>
  </si>
  <si>
    <t>ĐH Luật kinh tế</t>
  </si>
  <si>
    <t>038301000658</t>
  </si>
  <si>
    <t>Lam Sơn, TP.Thanh Hoá, Thanh Hóa</t>
  </si>
  <si>
    <t>0981061433</t>
  </si>
  <si>
    <t>Bùi Thị Lan</t>
  </si>
  <si>
    <t>24,2</t>
  </si>
  <si>
    <t>THPT Yên Định 2, tỉnh Thanh Hóa</t>
  </si>
  <si>
    <t>Đại học Quản trị kinh doanh</t>
  </si>
  <si>
    <t>038194029972</t>
  </si>
  <si>
    <t>Yên Phong, Yên Định, Thanh Hóa</t>
  </si>
  <si>
    <t>0962848397</t>
  </si>
  <si>
    <t>09.7.25</t>
  </si>
  <si>
    <t>Phạm Nhật</t>
  </si>
  <si>
    <t>8,7</t>
  </si>
  <si>
    <t>THPT Hà Văn Mao</t>
  </si>
  <si>
    <t>038301019440</t>
  </si>
  <si>
    <t>Bá Thước</t>
  </si>
  <si>
    <t>Thôn Bái Tôm, xã Điền Quang, tỉnh Thanh Hóa</t>
  </si>
  <si>
    <t>0345987057</t>
  </si>
  <si>
    <t>Vũ Xuân</t>
  </si>
  <si>
    <t>Bách</t>
  </si>
  <si>
    <t>Toán Anh Văn</t>
  </si>
  <si>
    <t>22,8</t>
  </si>
  <si>
    <t xml:space="preserve">THPT Hậu Lộc 2, Hậu lộc, tỉnh Thanh Hóa </t>
  </si>
  <si>
    <t>Công nghệ giáo dục</t>
  </si>
  <si>
    <t>038202006550</t>
  </si>
  <si>
    <t>Tiến Lộc, Hậu Lộc, Thanh Hóa</t>
  </si>
  <si>
    <t>0845098262</t>
  </si>
  <si>
    <t>Bùi Thị Thùy</t>
  </si>
  <si>
    <t>8,91</t>
  </si>
  <si>
    <t>Tốt</t>
  </si>
  <si>
    <t>Văn Toán Địa</t>
  </si>
  <si>
    <t>25,0</t>
  </si>
  <si>
    <t>038307031302</t>
  </si>
  <si>
    <t>Đông Vệ, TP.Thanh Hoá, Thanh Hóa</t>
  </si>
  <si>
    <t>0382704069</t>
  </si>
  <si>
    <t>25.7.25</t>
  </si>
  <si>
    <t>Bùi Thị Kim</t>
  </si>
  <si>
    <t>Hòa</t>
  </si>
  <si>
    <t xml:space="preserve">Toán Văn Hóa </t>
  </si>
  <si>
    <t>25,1</t>
  </si>
  <si>
    <t>THPT Nguyễn Huệ, Hà Tĩnh</t>
  </si>
  <si>
    <t>Đại học Kế toán</t>
  </si>
  <si>
    <t>042199004967</t>
  </si>
  <si>
    <t>Kỳ Anh</t>
  </si>
  <si>
    <t>Kỳ Giang, Kỳ Anh, Hà Tĩnh</t>
  </si>
  <si>
    <t>0333091557</t>
  </si>
  <si>
    <t>Chưa thu</t>
  </si>
  <si>
    <t>Nhận Bưu điện ngày 14.7</t>
  </si>
  <si>
    <t>Hoài</t>
  </si>
  <si>
    <t>22,9</t>
  </si>
  <si>
    <t>THPT Quảng Xương 1, Quảng Xương, Thanh Hoá</t>
  </si>
  <si>
    <t>Đại học Tâm lý học</t>
  </si>
  <si>
    <t>038303007483</t>
  </si>
  <si>
    <t>0963911380</t>
  </si>
  <si>
    <t xml:space="preserve">Lê Thị </t>
  </si>
  <si>
    <t>24,35</t>
  </si>
  <si>
    <t>THPT Đông Sơn 1, tỉnh Thanh Hóa</t>
  </si>
  <si>
    <t>Đại học Marketting</t>
  </si>
  <si>
    <t>038198002299</t>
  </si>
  <si>
    <t>Đông Khê, Đông Sơn, Thanh Hóa</t>
  </si>
  <si>
    <t>0773366838</t>
  </si>
  <si>
    <t>23,57</t>
  </si>
  <si>
    <t>THPT Mai Anh Tuấn</t>
  </si>
  <si>
    <t>Đại học Môi trường</t>
  </si>
  <si>
    <t>038199012822</t>
  </si>
  <si>
    <t>Tân Phong, Quảng Xương, Thanh Hóa</t>
  </si>
  <si>
    <t>0865619542</t>
  </si>
  <si>
    <t>Phạm Khánh</t>
  </si>
  <si>
    <t>Toán Văn Anh</t>
  </si>
  <si>
    <t>Thái Bình</t>
  </si>
  <si>
    <t>THPT Nam Tiền Hải, Thái Bình</t>
  </si>
  <si>
    <t>ĐH Quản trị kinh doanh</t>
  </si>
  <si>
    <t>034301005633</t>
  </si>
  <si>
    <t>Tiền Hải</t>
  </si>
  <si>
    <t>Nam Hải, Tiền Hải, Thái Bình</t>
  </si>
  <si>
    <t>0966652616</t>
  </si>
  <si>
    <t>17.6.25</t>
  </si>
  <si>
    <t>Lê Thị Khánh</t>
  </si>
  <si>
    <t>23,54</t>
  </si>
  <si>
    <t>038306023185</t>
  </si>
  <si>
    <t>Đông Lĩnh, TP. Thanh Hóa, Thanh Hóa</t>
  </si>
  <si>
    <t>0963485608</t>
  </si>
  <si>
    <t>Quách Thanh</t>
  </si>
  <si>
    <t>Lam</t>
  </si>
  <si>
    <t>24,1</t>
  </si>
  <si>
    <t>THPT Như Xuân, tỉnh Thanh Hóa</t>
  </si>
  <si>
    <t>038302015173</t>
  </si>
  <si>
    <t>Cát Tân, Như Xuân, Thanh Hóa</t>
  </si>
  <si>
    <t>0346757245</t>
  </si>
  <si>
    <t>Trịnh Diệu</t>
  </si>
  <si>
    <t>Toán Văn Hoá</t>
  </si>
  <si>
    <t>25,9</t>
  </si>
  <si>
    <t>THPT Yên Định 1, tỉnh Thanh Hóa</t>
  </si>
  <si>
    <t>038303019685</t>
  </si>
  <si>
    <t>Yên Ninh, Yên Định, Thanh Hóa</t>
  </si>
  <si>
    <t>0925981345</t>
  </si>
  <si>
    <t>25,3</t>
  </si>
  <si>
    <t>THPT Mai Anh Tuấn, tỉnh Thanh Hóa</t>
  </si>
  <si>
    <t>ĐH Công nghệ sinh học</t>
  </si>
  <si>
    <t>038194011846</t>
  </si>
  <si>
    <t>Nga Tiến, Nga Sơn, Thanh Hóa</t>
  </si>
  <si>
    <t>0385389027</t>
  </si>
  <si>
    <t>33</t>
  </si>
  <si>
    <t>Lê Thị Quỳnh</t>
  </si>
  <si>
    <t>Công nghệ kỹ thuật môi trường</t>
  </si>
  <si>
    <t>Văn Toán Sinh</t>
  </si>
  <si>
    <t>22,07</t>
  </si>
  <si>
    <t>THPT Tĩnh Gia 2, Tĩnh Gia, Thanh Hóa</t>
  </si>
  <si>
    <t>038192042285</t>
  </si>
  <si>
    <t>0988561098</t>
  </si>
  <si>
    <t>chưa có đơn xin miễn môn</t>
  </si>
  <si>
    <t>12.6.2025</t>
  </si>
  <si>
    <t>34</t>
  </si>
  <si>
    <t>Quản Thị</t>
  </si>
  <si>
    <t>26,0</t>
  </si>
  <si>
    <t>THPT Thiệu Hóa, tỉnh Thanh Hóa</t>
  </si>
  <si>
    <t>BĐ Đại học Kế toán</t>
  </si>
  <si>
    <t>038301017941</t>
  </si>
  <si>
    <t>Thiệu Hợp, Thiệu Hoá, Thanh Hóa</t>
  </si>
  <si>
    <t>0846926599</t>
  </si>
  <si>
    <t>Thiếu bằng ĐH Kế toán</t>
  </si>
  <si>
    <t>35</t>
  </si>
  <si>
    <t>23,9</t>
  </si>
  <si>
    <t>THPT Hoằng Hóa 3</t>
  </si>
  <si>
    <t>Đại học Điện tử viễn thông</t>
  </si>
  <si>
    <t>038199015079</t>
  </si>
  <si>
    <t>Hoằng Trường, Hoằng Hóa, Thanh Hóa</t>
  </si>
  <si>
    <t>0347466189</t>
  </si>
  <si>
    <t>36</t>
  </si>
  <si>
    <t>24,3</t>
  </si>
  <si>
    <t>THPT Triệu Sơn 3, Triệu Sơn, Thanh Hóa</t>
  </si>
  <si>
    <t>038199023648</t>
  </si>
  <si>
    <t>Thọ Bình</t>
  </si>
  <si>
    <t>Thôn 1, Thọ Bình, Thanh Hóa</t>
  </si>
  <si>
    <t>0366350738</t>
  </si>
  <si>
    <t>37</t>
  </si>
  <si>
    <t>Lê Thị Hồng</t>
  </si>
  <si>
    <t>Thơm</t>
  </si>
  <si>
    <t xml:space="preserve">THPT Lê Hoàn, Thọ Xuân, tỉnh Thanh Hóa </t>
  </si>
  <si>
    <t>Hệ thống thông tin quản lý</t>
  </si>
  <si>
    <t>038301018839</t>
  </si>
  <si>
    <t>Phú Xuân, Thọ Xuân, Thanh Hóa</t>
  </si>
  <si>
    <t>0963763949</t>
  </si>
  <si>
    <t>38</t>
  </si>
  <si>
    <t>Vũ Thị</t>
  </si>
  <si>
    <t>Thủy</t>
  </si>
  <si>
    <t>23,79</t>
  </si>
  <si>
    <t>THPT Nông Cống 4</t>
  </si>
  <si>
    <t>Đại học Thiết kế nội thất</t>
  </si>
  <si>
    <t>038301005231</t>
  </si>
  <si>
    <t>Xã Tượng Lĩnh, Thanh Hóa</t>
  </si>
  <si>
    <t>0389022491</t>
  </si>
  <si>
    <t>Thiếu CCCD</t>
  </si>
  <si>
    <t>39</t>
  </si>
  <si>
    <t>22,57</t>
  </si>
  <si>
    <t>THPT Ba Đình, Nga Sơn, Thanh Hoá</t>
  </si>
  <si>
    <t>038198008921</t>
  </si>
  <si>
    <t>Nga Thiện, Nga Sơn, Thanh Hóa</t>
  </si>
  <si>
    <t xml:space="preserve"> 0965764525</t>
  </si>
  <si>
    <t>40</t>
  </si>
  <si>
    <t>Trần Thị Kiều</t>
  </si>
  <si>
    <t>25,42</t>
  </si>
  <si>
    <t>038303005671</t>
  </si>
  <si>
    <t>Nga Thái, Nga Sơn, Thanh Hóa</t>
  </si>
  <si>
    <t>0387758369</t>
  </si>
  <si>
    <t>41</t>
  </si>
  <si>
    <t>THPT Sầm Sơn, Thanh Hóa</t>
  </si>
  <si>
    <t>038302001929</t>
  </si>
  <si>
    <t>Trung Sơn, TP. Sầm Sơn, Thanh Hóa</t>
  </si>
  <si>
    <t>0942752845</t>
  </si>
  <si>
    <t>Điểm xét tốt nghiệp: 8,23</t>
  </si>
  <si>
    <t>27.6.25</t>
  </si>
  <si>
    <t>42</t>
  </si>
  <si>
    <t>Hoàng Thanh</t>
  </si>
  <si>
    <t>22,96</t>
  </si>
  <si>
    <t>THPT Lam Kinh, Thọ Xuân, Thanh Hoá</t>
  </si>
  <si>
    <t>038301018259</t>
  </si>
  <si>
    <t>Thọ Lâm, Thọ Xuân, Thanh Hóa</t>
  </si>
  <si>
    <t>0399545417</t>
  </si>
  <si>
    <t>29.6.25</t>
  </si>
  <si>
    <t>43</t>
  </si>
  <si>
    <t>La Linh</t>
  </si>
  <si>
    <t>27,1</t>
  </si>
  <si>
    <t>038199015827</t>
  </si>
  <si>
    <t>Đông Thanh, Đông Sơn, Thanh Hóa</t>
  </si>
  <si>
    <t>0985671959</t>
  </si>
  <si>
    <t>23.7.25</t>
  </si>
  <si>
    <t>44</t>
  </si>
  <si>
    <t>Hoàng Thị Hồng</t>
  </si>
  <si>
    <t>24,8</t>
  </si>
  <si>
    <t>THPT Hậu Lộc I, Thanh Hóa</t>
  </si>
  <si>
    <t>038303008846</t>
  </si>
  <si>
    <t>Thị trấn Hậu Lộc, Hậu Lộc, Thanh Hoá</t>
  </si>
  <si>
    <t>0702161770</t>
  </si>
  <si>
    <t>45</t>
  </si>
  <si>
    <t>Đinh Đường Thiệu</t>
  </si>
  <si>
    <t>Vi</t>
  </si>
  <si>
    <t>8,9</t>
  </si>
  <si>
    <t>28,1</t>
  </si>
  <si>
    <t>Nghệ An</t>
  </si>
  <si>
    <t>THPT Quỳnh Lưu 4, Nghệ An</t>
  </si>
  <si>
    <t>ĐH Logistics và Quản lý chuỗi cung ứng</t>
  </si>
  <si>
    <t>040302005612</t>
  </si>
  <si>
    <t>Quỳnh Lưu</t>
  </si>
  <si>
    <t>Quỳnh Tam, Quỳnh Lưu, Nghệ An</t>
  </si>
  <si>
    <t>0869199176</t>
  </si>
  <si>
    <t>Nguyễn văn</t>
  </si>
  <si>
    <t>Đại</t>
  </si>
  <si>
    <t>Đại học Thể dục thể thao Đà Nẵng</t>
  </si>
  <si>
    <t>038086047854</t>
  </si>
  <si>
    <t>Hoằng lưu, Hoằng Hóa, Thanh Hóa</t>
  </si>
  <si>
    <t>0977509682</t>
  </si>
  <si>
    <t>25.06.25</t>
  </si>
  <si>
    <t>8,22</t>
  </si>
  <si>
    <t>CĐ Thể dục thể thao Thanh Hóa</t>
  </si>
  <si>
    <t>TC Thể dục thể thao</t>
  </si>
  <si>
    <t>038197022267</t>
  </si>
  <si>
    <t>Hà Sơn, Hà Trung, Thanh Hóa</t>
  </si>
  <si>
    <t>0373129666</t>
  </si>
  <si>
    <t>Minh</t>
  </si>
  <si>
    <t>Sư phạm Thể dục- Công tác đội</t>
  </si>
  <si>
    <t>2010</t>
  </si>
  <si>
    <t>7,34</t>
  </si>
  <si>
    <t>6,3</t>
  </si>
  <si>
    <t>038189013260</t>
  </si>
  <si>
    <t>Thạch Định, Thạch Thành, Thanh Hoá</t>
  </si>
  <si>
    <t>0968518520</t>
  </si>
  <si>
    <t>Lê Hữu</t>
  </si>
  <si>
    <t>Thọ</t>
  </si>
  <si>
    <t>7,22</t>
  </si>
  <si>
    <t>Cao đẳng Sư phạm Gia Lai</t>
  </si>
  <si>
    <t>038085029009</t>
  </si>
  <si>
    <t>Yên Hùng, Yên Định, Thanh Hóa</t>
  </si>
  <si>
    <t>0328282148</t>
  </si>
  <si>
    <t>05.8.25</t>
  </si>
  <si>
    <t>Giang</t>
  </si>
  <si>
    <t>Sư phạm Hoá lý</t>
  </si>
  <si>
    <t>6,74</t>
  </si>
  <si>
    <t>038179010831</t>
  </si>
  <si>
    <t>Tiên Trang, Quảng Xương, Thanh Hóa</t>
  </si>
  <si>
    <t>0356395696</t>
  </si>
  <si>
    <t>Liên</t>
  </si>
  <si>
    <t>SP Công nghệ thông tin</t>
  </si>
  <si>
    <t>6,88</t>
  </si>
  <si>
    <t>ĐH SP Kỹ thuật Nam Định</t>
  </si>
  <si>
    <t>Đại học Công nghệ thông tin</t>
  </si>
  <si>
    <t>038187029211</t>
  </si>
  <si>
    <t>Hàm Rồng</t>
  </si>
  <si>
    <t>Đình Hương, Hàm Rồng, Thanh Hóa</t>
  </si>
  <si>
    <t>0944964111</t>
  </si>
  <si>
    <t>Thiếu CCCD, GKS</t>
  </si>
  <si>
    <t>Đặng Thị Hương</t>
  </si>
  <si>
    <t>Sư Phạm Toán -Tin học</t>
  </si>
  <si>
    <t>6,94</t>
  </si>
  <si>
    <t>038184010219</t>
  </si>
  <si>
    <t>Yên Lạc, Như Thanh, Thanh Hóa</t>
  </si>
  <si>
    <t>0977687858</t>
  </si>
  <si>
    <t>Xô</t>
  </si>
  <si>
    <t>6,07</t>
  </si>
  <si>
    <t>CĐ Sư phạm Quảng Ninh</t>
  </si>
  <si>
    <t>038088012688</t>
  </si>
  <si>
    <t>Hòa Lộc, Hậu Lộc, Thanh Hóa</t>
  </si>
  <si>
    <t>0369444888</t>
  </si>
  <si>
    <t>Chung</t>
  </si>
  <si>
    <t>Sư phạm Vật lý (Vật lý - Hoá học)</t>
  </si>
  <si>
    <t>8,01</t>
  </si>
  <si>
    <t>038189012146</t>
  </si>
  <si>
    <t>Đông Lĩnh, TP.Thanh Hoá, Thanh Hóa</t>
  </si>
  <si>
    <t>0382690621</t>
  </si>
  <si>
    <t>Lành</t>
  </si>
  <si>
    <t>6,78</t>
  </si>
  <si>
    <t>038186010404</t>
  </si>
  <si>
    <t>xã Thường Xuân, Thanh Hóa</t>
  </si>
  <si>
    <t>0916499363</t>
  </si>
  <si>
    <t>Lê Thị Kim</t>
  </si>
  <si>
    <t>Ngân</t>
  </si>
  <si>
    <t xml:space="preserve">Nữ </t>
  </si>
  <si>
    <t>8.,19</t>
  </si>
  <si>
    <t>3,51</t>
  </si>
  <si>
    <t>Toán Lý Hóa</t>
  </si>
  <si>
    <t>25,5</t>
  </si>
  <si>
    <t>038302001377</t>
  </si>
  <si>
    <t>Thị trấn Quán Lào, Yên Định, Thanh Hóa</t>
  </si>
  <si>
    <t>0942946585</t>
  </si>
  <si>
    <t>Trần Thị Thanh</t>
  </si>
  <si>
    <t>Sư phạm vật lý</t>
  </si>
  <si>
    <t>3,31</t>
  </si>
  <si>
    <t>25,97</t>
  </si>
  <si>
    <t>038302002605</t>
  </si>
  <si>
    <t>Vạn Hoà, Nông Cống, Thanh Hóa</t>
  </si>
  <si>
    <t>0912724956</t>
  </si>
  <si>
    <t>Thiếu căn cước công dân</t>
  </si>
  <si>
    <t xml:space="preserve">Sư phạm Vật lý </t>
  </si>
  <si>
    <t>8,11</t>
  </si>
  <si>
    <t>Thạc sỹ Vật lý lý thuyết và vật lý toán</t>
  </si>
  <si>
    <t>038188011230</t>
  </si>
  <si>
    <t>Thọ Thế, Triệu Sơn, Thanh Hóa</t>
  </si>
  <si>
    <t>0828991235</t>
  </si>
  <si>
    <t>Thiếu bằng và HB THPT</t>
  </si>
  <si>
    <t>30.6.25</t>
  </si>
  <si>
    <t>Đỗ Phương</t>
  </si>
  <si>
    <t>Toán Lý Văn</t>
  </si>
  <si>
    <t>22,5</t>
  </si>
  <si>
    <t>THPT DTNT tỉnh Thanh Hóa</t>
  </si>
  <si>
    <t>ĐH Quan hệ công chúng</t>
  </si>
  <si>
    <t>038302007110</t>
  </si>
  <si>
    <t>0946760165</t>
  </si>
  <si>
    <t>Nguyễn Thị Ngọc</t>
  </si>
  <si>
    <t>Bích</t>
  </si>
  <si>
    <t>2008</t>
  </si>
  <si>
    <t>26,4</t>
  </si>
  <si>
    <t>THPT Tống Duy Tân, Thanh Hoá</t>
  </si>
  <si>
    <t>ĐH Kinh tế</t>
  </si>
  <si>
    <t>038190044993</t>
  </si>
  <si>
    <t>Hoằng Phượng, Hoằng Hóa, Thanh Hóa</t>
  </si>
  <si>
    <t>0973541194</t>
  </si>
  <si>
    <t>Bùi Ngọc</t>
  </si>
  <si>
    <t>Cường</t>
  </si>
  <si>
    <t>28,26</t>
  </si>
  <si>
    <t>THPT Quảng Xương 4, Thanh Hóa</t>
  </si>
  <si>
    <t>Kỹ thuật điều khiển và tự động hóa</t>
  </si>
  <si>
    <t>038099017461</t>
  </si>
  <si>
    <t>Quảng Lộc, Quảng Xương, Thanh Hóa</t>
  </si>
  <si>
    <t>0834528599</t>
  </si>
  <si>
    <t>Nguyễn Thị Thu</t>
  </si>
  <si>
    <t>28,8</t>
  </si>
  <si>
    <t>THPT Nông Cống 3, Thanh Hóa</t>
  </si>
  <si>
    <t>038301011874</t>
  </si>
  <si>
    <t>Tượng Sơn, Nông Cống, Thanh Hóa</t>
  </si>
  <si>
    <t>0981293006</t>
  </si>
  <si>
    <t>Toán Lý Anh</t>
  </si>
  <si>
    <t>THPT Triệu Sơn, Triệu Sơn, Thanh Hoá</t>
  </si>
  <si>
    <t>038199015568</t>
  </si>
  <si>
    <t>Dân Lý, Triệu Sơn, Thanh Hóa</t>
  </si>
  <si>
    <t>0972136409</t>
  </si>
  <si>
    <t>25,6</t>
  </si>
  <si>
    <t>THPT Hà Trung, Thanh Hóa</t>
  </si>
  <si>
    <t>ĐH Kỹ thuật thực phẩm</t>
  </si>
  <si>
    <t>038198014458</t>
  </si>
  <si>
    <t>Yên Dương, Hà Trung, Thanh Hóa</t>
  </si>
  <si>
    <t>0378942777</t>
  </si>
  <si>
    <t>16.7.25</t>
  </si>
  <si>
    <t>Đoàn Mai</t>
  </si>
  <si>
    <t>Toán Lý Tin</t>
  </si>
  <si>
    <t>24,27</t>
  </si>
  <si>
    <t>Ninh Bình</t>
  </si>
  <si>
    <t>THPT Chuyên Lương Văn Tụy</t>
  </si>
  <si>
    <t>037305003823</t>
  </si>
  <si>
    <t>TP Ninh Bình</t>
  </si>
  <si>
    <t>Ninh Phong, TP Ninh Bình, Ninh Bình</t>
  </si>
  <si>
    <t>0916928628</t>
  </si>
  <si>
    <t>Nhận Bưu điện ngày 23.7</t>
  </si>
  <si>
    <t>Lê Mai</t>
  </si>
  <si>
    <t>27,2</t>
  </si>
  <si>
    <t xml:space="preserve">THPT Đào Duy Từ, TP. Thanh Hóa, tỉnh Thanh Hóa </t>
  </si>
  <si>
    <t>038303015478</t>
  </si>
  <si>
    <t>Phú Sơn, TP.Thanh Hoá, Thanh Hóa</t>
  </si>
  <si>
    <t>0983297118</t>
  </si>
  <si>
    <t>Lê Đăng</t>
  </si>
  <si>
    <t>038098030576</t>
  </si>
  <si>
    <t>Hợp Tiến, Triệu Sơn, Thanh Hóa</t>
  </si>
  <si>
    <t>0968837343</t>
  </si>
  <si>
    <t>Bùi Lê Anh</t>
  </si>
  <si>
    <t>Thơ</t>
  </si>
  <si>
    <t>Toán Lý Hoá</t>
  </si>
  <si>
    <t>THPT chuyên Hà Tĩnh</t>
  </si>
  <si>
    <t>Đại học Kế toán, đại học Ngôn ngữ Anh</t>
  </si>
  <si>
    <t>042199004396</t>
  </si>
  <si>
    <t>0393002404</t>
  </si>
  <si>
    <t>24.06.25</t>
  </si>
  <si>
    <t xml:space="preserve">Bùi Thị Huyền </t>
  </si>
  <si>
    <t>26,6</t>
  </si>
  <si>
    <t>THPT Yên Định 1, Yên Định, tỉnh Thanh Hoá</t>
  </si>
  <si>
    <t>Quản trị nhân lực</t>
  </si>
  <si>
    <t>038302013634</t>
  </si>
  <si>
    <t>Định Long, Yên Định, Thanh Hóa</t>
  </si>
  <si>
    <t>0357611528</t>
  </si>
  <si>
    <t>Phan Thị Hải</t>
  </si>
  <si>
    <t>25,7</t>
  </si>
  <si>
    <t>THPT Đông Sơn 1, Đông Sơn, Thanh Hóa</t>
  </si>
  <si>
    <t>038302011626</t>
  </si>
  <si>
    <t>0384767766</t>
  </si>
  <si>
    <t>6,55</t>
  </si>
  <si>
    <t>038196030121</t>
  </si>
  <si>
    <t>0964135096</t>
  </si>
  <si>
    <t>038196014317</t>
  </si>
  <si>
    <t>TX. Nghi Sơn</t>
  </si>
  <si>
    <t>Hải Hòa, TX Nghi Sơn, Thanh Hoá</t>
  </si>
  <si>
    <t>0394724690</t>
  </si>
  <si>
    <t>Hoàng Đức</t>
  </si>
  <si>
    <t>6,66</t>
  </si>
  <si>
    <t>7,3</t>
  </si>
  <si>
    <t>038096011449</t>
  </si>
  <si>
    <t>Quý Lộc, Yên Định, Thanh Hóa</t>
  </si>
  <si>
    <t>0352223941</t>
  </si>
  <si>
    <t>Giấy xác nhận công tác (có QĐ bổ nhiệm viên chức)</t>
  </si>
  <si>
    <t>Phạm Thị Thuỳ</t>
  </si>
  <si>
    <t>7,03</t>
  </si>
  <si>
    <t>2,81</t>
  </si>
  <si>
    <t>038196006763</t>
  </si>
  <si>
    <t>0977943208</t>
  </si>
  <si>
    <t>Thiếu học bạ THPT, Ảnh</t>
  </si>
  <si>
    <t>Lê Vi Thái</t>
  </si>
  <si>
    <t>3,12</t>
  </si>
  <si>
    <t>25,93</t>
  </si>
  <si>
    <t>038202021302</t>
  </si>
  <si>
    <t>Thị trấn Sao Vàng, Thọ Xuân, Thanh Hóa</t>
  </si>
  <si>
    <t>0965024316</t>
  </si>
  <si>
    <t>Lê Thị Thanh</t>
  </si>
  <si>
    <t>7,57</t>
  </si>
  <si>
    <t>Toán  Văn Anh</t>
  </si>
  <si>
    <t>THPT Chu Văn An, Thanh Hóa</t>
  </si>
  <si>
    <t>038300008833</t>
  </si>
  <si>
    <t>Quảng Lưu, Quảng Xương, Thanh Hóa</t>
  </si>
  <si>
    <t>0866811401</t>
  </si>
  <si>
    <t>CK trường?</t>
  </si>
  <si>
    <t>28.06.25</t>
  </si>
  <si>
    <t>Đặng Hồng</t>
  </si>
  <si>
    <t>Đức</t>
  </si>
  <si>
    <t>Toán Anh GDCD</t>
  </si>
  <si>
    <t>THPT Trường Thi</t>
  </si>
  <si>
    <t>038201005264</t>
  </si>
  <si>
    <t>0388846254</t>
  </si>
  <si>
    <t>Thái Thị Cầm</t>
  </si>
  <si>
    <t>2016</t>
  </si>
  <si>
    <t>Toán Anh Địa</t>
  </si>
  <si>
    <t>21,95</t>
  </si>
  <si>
    <t>038197024029</t>
  </si>
  <si>
    <t>0368643543</t>
  </si>
  <si>
    <t>Vũ Thị Hằng</t>
  </si>
  <si>
    <t>An</t>
  </si>
  <si>
    <t>7,59</t>
  </si>
  <si>
    <t>038303011402</t>
  </si>
  <si>
    <t>Thành Tâm, Thạch Thành, Thanh Hóa</t>
  </si>
  <si>
    <t>0356426497</t>
  </si>
  <si>
    <t>Lê Đức</t>
  </si>
  <si>
    <t>Đại học Tôn Đức Thắng</t>
  </si>
  <si>
    <t>038201007987</t>
  </si>
  <si>
    <t>Điện Biên, TP.Thanh Hoá, Thanh Hóa</t>
  </si>
  <si>
    <t>'0962710617</t>
  </si>
  <si>
    <t xml:space="preserve">Lê Văn </t>
  </si>
  <si>
    <t>Kỹ thuật điện tử, truyền thông</t>
  </si>
  <si>
    <t>2,1</t>
  </si>
  <si>
    <t>Học viện Công nghệ bưu chính viễn thông</t>
  </si>
  <si>
    <t>038094024547</t>
  </si>
  <si>
    <t>Hoàng Giang, Nông cống, Thanh Hóa</t>
  </si>
  <si>
    <t>0905011386</t>
  </si>
  <si>
    <t>Đỗ Ngọc</t>
  </si>
  <si>
    <t>8,32</t>
  </si>
  <si>
    <t>Đại học Lao động - Xã hội</t>
  </si>
  <si>
    <t>038302006616</t>
  </si>
  <si>
    <t>Nam Ngạn, TP. Thanh Hóa, Thanh Hóa</t>
  </si>
  <si>
    <t>0826910302</t>
  </si>
  <si>
    <t>Lê Quỳnh</t>
  </si>
  <si>
    <t>Khai thác vận tải</t>
  </si>
  <si>
    <t>6,64</t>
  </si>
  <si>
    <t>Đại học Giao thông vận tải</t>
  </si>
  <si>
    <t>038301013674</t>
  </si>
  <si>
    <t>Đông Thọ, TP. Thanh Hóa, Thanh Hóa</t>
  </si>
  <si>
    <t>0354490904</t>
  </si>
  <si>
    <t>Trần Ngọc</t>
  </si>
  <si>
    <t>Kinh doanh quốc tế</t>
  </si>
  <si>
    <t>Xuất sắc</t>
  </si>
  <si>
    <t>8,53</t>
  </si>
  <si>
    <t>Đại học Ngoại thương</t>
  </si>
  <si>
    <t>038302001541</t>
  </si>
  <si>
    <t>Quảng Châu, Sầm Sơn, Thanh Hóa</t>
  </si>
  <si>
    <t>0832060268</t>
  </si>
  <si>
    <t xml:space="preserve">Mạc Phương </t>
  </si>
  <si>
    <t>Kinh tế phát triển</t>
  </si>
  <si>
    <t>ĐH Kinh tế Quốc dân</t>
  </si>
  <si>
    <t>038302006241</t>
  </si>
  <si>
    <t>Ba Đình, TP.Thanh Hoá, Thanh Hóa</t>
  </si>
  <si>
    <t>0919754459</t>
  </si>
  <si>
    <t>Trần Văn</t>
  </si>
  <si>
    <t>Răng hàm mặt</t>
  </si>
  <si>
    <t>Đại học Y dược Hải Phòng</t>
  </si>
  <si>
    <t>038093031563</t>
  </si>
  <si>
    <t>Thiệu Phú, Thiêuh Hóa, Thanh Hóa</t>
  </si>
  <si>
    <t>0964251264</t>
  </si>
  <si>
    <t>Hà Văn</t>
  </si>
  <si>
    <t xml:space="preserve">Cường </t>
  </si>
  <si>
    <t>3,42</t>
  </si>
  <si>
    <t>038098011879</t>
  </si>
  <si>
    <t>Thanh Quân, Như Xuân, Thanh Háo</t>
  </si>
  <si>
    <t>0948903321</t>
  </si>
  <si>
    <t>31.7.25</t>
  </si>
  <si>
    <t xml:space="preserve">Trịnh Hữu </t>
  </si>
  <si>
    <t>Dinh</t>
  </si>
  <si>
    <t>Kỹ thuật xây dựng công trình</t>
  </si>
  <si>
    <t>6,73</t>
  </si>
  <si>
    <t>Đại học Duy Tân</t>
  </si>
  <si>
    <t>038085022663</t>
  </si>
  <si>
    <t>0919108858</t>
  </si>
  <si>
    <t>7,94</t>
  </si>
  <si>
    <t>042194006579</t>
  </si>
  <si>
    <t>Đông Vệ, TP. Thanh Hóa, Thanh Hóa</t>
  </si>
  <si>
    <t>0919730210</t>
  </si>
  <si>
    <t>Tâm lý học giáo dục</t>
  </si>
  <si>
    <t>Học viện Quản lý giáo dục</t>
  </si>
  <si>
    <t>038198023248</t>
  </si>
  <si>
    <t>Yên Lâm, Yên Định, Thanh Hóa</t>
  </si>
  <si>
    <t>0378714111</t>
  </si>
  <si>
    <t>Nguyễn Anh</t>
  </si>
  <si>
    <t>038082032984</t>
  </si>
  <si>
    <t>Xuân Bình</t>
  </si>
  <si>
    <t>Thôn 8, Xuân Bình, Thanh Hóa</t>
  </si>
  <si>
    <t>0982556505</t>
  </si>
  <si>
    <t>CK trường</t>
  </si>
  <si>
    <t>bản BĐCĐ; học bạ THPT, CCCD</t>
  </si>
  <si>
    <t xml:space="preserve">Trần Tâm </t>
  </si>
  <si>
    <t>Đoan</t>
  </si>
  <si>
    <t>2,93</t>
  </si>
  <si>
    <t>038302016962</t>
  </si>
  <si>
    <t>0365694321</t>
  </si>
  <si>
    <t>Trần Thị Thu</t>
  </si>
  <si>
    <t>7,43</t>
  </si>
  <si>
    <t>038187042325</t>
  </si>
  <si>
    <t>TX Nghi Sơn</t>
  </si>
  <si>
    <t>Bình Minh, TX Nghi Sơn, Thanh Hóa</t>
  </si>
  <si>
    <t>0968284152</t>
  </si>
  <si>
    <t>học bạ THPT</t>
  </si>
  <si>
    <t>Trương Hoàng</t>
  </si>
  <si>
    <t>Hải</t>
  </si>
  <si>
    <t>6,96</t>
  </si>
  <si>
    <t>2,52</t>
  </si>
  <si>
    <t>Đại học Hà Hoa Tiên</t>
  </si>
  <si>
    <t>038093045204</t>
  </si>
  <si>
    <t>Quan Sơn</t>
  </si>
  <si>
    <t>Xã Quan Sơn, Thanh Hóa</t>
  </si>
  <si>
    <t>0919938836</t>
  </si>
  <si>
    <t>06.7.25</t>
  </si>
  <si>
    <t>Hảo</t>
  </si>
  <si>
    <t xml:space="preserve">Sư phạm Sinh học </t>
  </si>
  <si>
    <t>038081016221</t>
  </si>
  <si>
    <t>Hoằng Thắng, Hoằng Hóa, Thanh Hóa</t>
  </si>
  <si>
    <t>0824080678</t>
  </si>
  <si>
    <t>7,28</t>
  </si>
  <si>
    <t>038180013556</t>
  </si>
  <si>
    <t>Yên Cát, Như Xuân, Thanh Hóa</t>
  </si>
  <si>
    <t>0914883555</t>
  </si>
  <si>
    <t>Học bạ THPT, GKS</t>
  </si>
  <si>
    <t>Phạm Thị Thu</t>
  </si>
  <si>
    <t>5,53</t>
  </si>
  <si>
    <t>Tại chức</t>
  </si>
  <si>
    <t>037181002638</t>
  </si>
  <si>
    <t>Trương Hán siêu, Hoa Lư, Ninh Bình</t>
  </si>
  <si>
    <t>0915919269</t>
  </si>
  <si>
    <t>Vũ Minh</t>
  </si>
  <si>
    <t>Kinh tế Xây dựng</t>
  </si>
  <si>
    <t>6,48</t>
  </si>
  <si>
    <t>Đại học Xây dựng Hà Nội</t>
  </si>
  <si>
    <t>038201011038</t>
  </si>
  <si>
    <t>Quảng Thịnh, TP. Thanh Hóa, Thanh Hóa</t>
  </si>
  <si>
    <t>0868093019</t>
  </si>
  <si>
    <t>6,24</t>
  </si>
  <si>
    <t>038188018753</t>
  </si>
  <si>
    <t>0947179855</t>
  </si>
  <si>
    <t>Hoan</t>
  </si>
  <si>
    <t>038187021315</t>
  </si>
  <si>
    <t>Ngọc Trạo, TP Thanh Hóa, Thanh Hóa</t>
  </si>
  <si>
    <t>0914111567</t>
  </si>
  <si>
    <t>Bằng và học bạ THPT, GKS</t>
  </si>
  <si>
    <t>Lại Thị Thanh</t>
  </si>
  <si>
    <t xml:space="preserve">Huệ </t>
  </si>
  <si>
    <t>Quốc Tế học - Tiếng Anh</t>
  </si>
  <si>
    <t>Đại học Hà Nội</t>
  </si>
  <si>
    <t>038193026844</t>
  </si>
  <si>
    <t>0375679294</t>
  </si>
  <si>
    <t>27.06.25</t>
  </si>
  <si>
    <t>Trịnh Bá</t>
  </si>
  <si>
    <t>Huy</t>
  </si>
  <si>
    <t>Điện tử Viễn thông</t>
  </si>
  <si>
    <t>6,34</t>
  </si>
  <si>
    <t>038083017186</t>
  </si>
  <si>
    <t>0947363368</t>
  </si>
  <si>
    <t>9,2</t>
  </si>
  <si>
    <t>3,68</t>
  </si>
  <si>
    <t>038300002688</t>
  </si>
  <si>
    <t>Thị trấn Thường Xuân, Thường Xuân, Thanh Hóa</t>
  </si>
  <si>
    <t>0834171858</t>
  </si>
  <si>
    <t>6,26</t>
  </si>
  <si>
    <t>038190018824</t>
  </si>
  <si>
    <t>0948399786</t>
  </si>
  <si>
    <t>Kiên</t>
  </si>
  <si>
    <t>Xây dựng dân dụng và Công nghiệp</t>
  </si>
  <si>
    <t>6,67</t>
  </si>
  <si>
    <t>038085001553</t>
  </si>
  <si>
    <t>Hải An, Nghi Sơn, Thanh Hóa</t>
  </si>
  <si>
    <t>0945788198</t>
  </si>
  <si>
    <t>Lê Xuân</t>
  </si>
  <si>
    <t>Khánh</t>
  </si>
  <si>
    <t>5,88</t>
  </si>
  <si>
    <t>038088027627</t>
  </si>
  <si>
    <t>P706, nhà A2, chung cư Tân Thành 2, phường Hạc Thành, Thanh Hóa</t>
  </si>
  <si>
    <t>0982560268</t>
  </si>
  <si>
    <t>Yên Thị</t>
  </si>
  <si>
    <t>Lệ</t>
  </si>
  <si>
    <t>038186044241</t>
  </si>
  <si>
    <t>TK2, xã Nga Sơn, tỉnh Thanh Hóa</t>
  </si>
  <si>
    <t>0825551986</t>
  </si>
  <si>
    <t>Nguyễn Văn</t>
  </si>
  <si>
    <t>Bác sĩ đa khoa</t>
  </si>
  <si>
    <t>7,46</t>
  </si>
  <si>
    <t>Đại học Y Thái Bình</t>
  </si>
  <si>
    <t>038088012034</t>
  </si>
  <si>
    <t>Quảng Ninh, Quảng Xương, Thanh Hóa</t>
  </si>
  <si>
    <t>'0976219248</t>
  </si>
  <si>
    <t xml:space="preserve">Lê Phan Hoài </t>
  </si>
  <si>
    <t>Kinh tế chính trị</t>
  </si>
  <si>
    <t>6,92</t>
  </si>
  <si>
    <t>2,64</t>
  </si>
  <si>
    <t>Học viện Báo chí và tuyên truyền</t>
  </si>
  <si>
    <t>038300001211</t>
  </si>
  <si>
    <t>0852800158</t>
  </si>
  <si>
    <t>2,97</t>
  </si>
  <si>
    <t>Đại học Lâm nghiệp</t>
  </si>
  <si>
    <t>038196033767</t>
  </si>
  <si>
    <t>Hoằng Trạch, Hoằng Hóa, Thanh Hóa</t>
  </si>
  <si>
    <t>0328060962</t>
  </si>
  <si>
    <t>13.6.2025</t>
  </si>
  <si>
    <t>8,12</t>
  </si>
  <si>
    <t>Cao đẳng Tiểu học</t>
  </si>
  <si>
    <t>038191045104</t>
  </si>
  <si>
    <t>Phú Sơn, TP Thanh Hóa, Thanh Hóa</t>
  </si>
  <si>
    <t>0967793092</t>
  </si>
  <si>
    <t xml:space="preserve">Bùi Thành </t>
  </si>
  <si>
    <t xml:space="preserve">Khá </t>
  </si>
  <si>
    <t>6,98</t>
  </si>
  <si>
    <t>2,77</t>
  </si>
  <si>
    <t>038202021431</t>
  </si>
  <si>
    <t>0763026884</t>
  </si>
  <si>
    <t>Ngọc</t>
  </si>
  <si>
    <t>7,92</t>
  </si>
  <si>
    <t>Bằng TCLLCT, bằng Thạc sĩ GD học</t>
  </si>
  <si>
    <t>038181003530</t>
  </si>
  <si>
    <t>0826808112</t>
  </si>
  <si>
    <t>Thiếu GKS, học bạ THPT</t>
  </si>
  <si>
    <t>Lương Thanh</t>
  </si>
  <si>
    <t>Tin học</t>
  </si>
  <si>
    <t>6,53</t>
  </si>
  <si>
    <t>038083046368</t>
  </si>
  <si>
    <t>0979151808</t>
  </si>
  <si>
    <t>Tạ Thị Minh</t>
  </si>
  <si>
    <t>Quản trị dự án</t>
  </si>
  <si>
    <t>ĐH TOULON, Cộng hòa Pháp</t>
  </si>
  <si>
    <t>038300013341</t>
  </si>
  <si>
    <t>03 Lưu Hữu Phước, phường Hạc Thành, tỉnh Thanh Hóa</t>
  </si>
  <si>
    <t>0888609017</t>
  </si>
  <si>
    <t>Nguyệt</t>
  </si>
  <si>
    <t>7,69</t>
  </si>
  <si>
    <t>3,08</t>
  </si>
  <si>
    <t>Đại học vinh</t>
  </si>
  <si>
    <t>Bằng CĐ GDTH</t>
  </si>
  <si>
    <t>038181013361</t>
  </si>
  <si>
    <t>0914235825</t>
  </si>
  <si>
    <t>Nguyễn Hà Yến</t>
  </si>
  <si>
    <t>038303024986</t>
  </si>
  <si>
    <t>Phú Sơn, TX. Nghi Sơn, Thanh Hóa</t>
  </si>
  <si>
    <t>0911674413</t>
  </si>
  <si>
    <t>Phượng</t>
  </si>
  <si>
    <t>Khí lượng học</t>
  </si>
  <si>
    <t>2,65</t>
  </si>
  <si>
    <t>Đại học Khoa học tự nhiên, Đại học Quốc Gia Hà Nội</t>
  </si>
  <si>
    <t>038190032909</t>
  </si>
  <si>
    <t>0389980315</t>
  </si>
  <si>
    <t>28.7.25</t>
  </si>
  <si>
    <t>Tống Thị Hồng</t>
  </si>
  <si>
    <t>6,89</t>
  </si>
  <si>
    <t>038189033930</t>
  </si>
  <si>
    <t>Ba Đình, TX Bỉm Sơn, Thanh Hóa</t>
  </si>
  <si>
    <t>0852845333</t>
  </si>
  <si>
    <t>Hà Thị Như</t>
  </si>
  <si>
    <t>Quỳnh</t>
  </si>
  <si>
    <t>2007</t>
  </si>
  <si>
    <t>6,32</t>
  </si>
  <si>
    <t>038183011205</t>
  </si>
  <si>
    <t>Hoằng Lộc, Hoằng Hóa, Thanh Hóa</t>
  </si>
  <si>
    <t>0911666000</t>
  </si>
  <si>
    <t>Mai Thị Hương</t>
  </si>
  <si>
    <t>Sen</t>
  </si>
  <si>
    <t>6,99</t>
  </si>
  <si>
    <t>ĐH Vinh</t>
  </si>
  <si>
    <t>Trung cấp LLCT</t>
  </si>
  <si>
    <t>038185018335</t>
  </si>
  <si>
    <t>thôn Yên Khoái, xã Nga Sơn, tỉnh Thanh Hóa</t>
  </si>
  <si>
    <t>0986305368</t>
  </si>
  <si>
    <t>Lê Hùng</t>
  </si>
  <si>
    <t>Kỹ thuật điện tử, viễn thông</t>
  </si>
  <si>
    <t>2,61</t>
  </si>
  <si>
    <t>038096006510</t>
  </si>
  <si>
    <t>0916921296</t>
  </si>
  <si>
    <t>10.7.25</t>
  </si>
  <si>
    <t>Trịnh Thị Minh</t>
  </si>
  <si>
    <t>8,49</t>
  </si>
  <si>
    <t>Học viện Tài chính</t>
  </si>
  <si>
    <t>038193048956</t>
  </si>
  <si>
    <t>Ngọc Trạo, TP. Thanh Hóa, Thanh Hóa</t>
  </si>
  <si>
    <t>0969691266</t>
  </si>
  <si>
    <t>46</t>
  </si>
  <si>
    <t>Lê Thế</t>
  </si>
  <si>
    <t>Tấn</t>
  </si>
  <si>
    <t>2,12</t>
  </si>
  <si>
    <t>Học viện Ngân hàng</t>
  </si>
  <si>
    <t>038097033402</t>
  </si>
  <si>
    <t>Ngọc Trung, Ngọc Lặc, Thanh Hóa</t>
  </si>
  <si>
    <t>0941404869</t>
  </si>
  <si>
    <t>47</t>
  </si>
  <si>
    <t>Lê Anh</t>
  </si>
  <si>
    <t>Tú</t>
  </si>
  <si>
    <t>3,28</t>
  </si>
  <si>
    <t>038099007988</t>
  </si>
  <si>
    <t>Triệu Sơn, Thanh Hóa</t>
  </si>
  <si>
    <t>0904570219</t>
  </si>
  <si>
    <t>Thiếu Bằng THPT</t>
  </si>
  <si>
    <t>48</t>
  </si>
  <si>
    <t>Nguyễn Huy</t>
  </si>
  <si>
    <t>Sư phạm Âm nhạc</t>
  </si>
  <si>
    <t>8,06</t>
  </si>
  <si>
    <t xml:space="preserve">ĐHSP Nghệ thuật Trung ương </t>
  </si>
  <si>
    <t>038083032712</t>
  </si>
  <si>
    <t>Quảng Phú</t>
  </si>
  <si>
    <t>Quang Trung, Quảng Phú, Thanh Hóa</t>
  </si>
  <si>
    <t>'0916036818</t>
  </si>
  <si>
    <t>49</t>
  </si>
  <si>
    <t>Nguyễn Thị Cẩm</t>
  </si>
  <si>
    <t>Tài chính- Ngân hàng</t>
  </si>
  <si>
    <t>ĐH Ngoại Thương</t>
  </si>
  <si>
    <t>038302020646</t>
  </si>
  <si>
    <t>TT Triệu Sơn, Triệu Sơn, Thanh Hóa</t>
  </si>
  <si>
    <t>0985109559</t>
  </si>
  <si>
    <t>50</t>
  </si>
  <si>
    <t>Tuấn</t>
  </si>
  <si>
    <t>6,79</t>
  </si>
  <si>
    <t>Cao đẳng SP Toán - Tin học</t>
  </si>
  <si>
    <t>038082003566</t>
  </si>
  <si>
    <t>Thôn 4, Như Xuân, Thanh Hóa</t>
  </si>
  <si>
    <t>0984866647</t>
  </si>
  <si>
    <t>51</t>
  </si>
  <si>
    <t>7,95</t>
  </si>
  <si>
    <t>5,4</t>
  </si>
  <si>
    <t>037185006653</t>
  </si>
  <si>
    <t>0976500318</t>
  </si>
  <si>
    <t>52</t>
  </si>
  <si>
    <t>Thống kê kinh tế</t>
  </si>
  <si>
    <t>8,45</t>
  </si>
  <si>
    <t>038195002742</t>
  </si>
  <si>
    <t>Đông Ninh, Đông Sơn, Thanh Hóa</t>
  </si>
  <si>
    <t>0976169095</t>
  </si>
  <si>
    <t>CCCD, Học bạ THPT</t>
  </si>
  <si>
    <t>53</t>
  </si>
  <si>
    <t xml:space="preserve">Nguyễn Hoài </t>
  </si>
  <si>
    <t>Thanh</t>
  </si>
  <si>
    <t>038303006791</t>
  </si>
  <si>
    <t>0932479691</t>
  </si>
  <si>
    <t>54</t>
  </si>
  <si>
    <t>038302018539</t>
  </si>
  <si>
    <t>Xuân Thiên, Thọ Xuân, Thanh Hóa</t>
  </si>
  <si>
    <t>0914420248</t>
  </si>
  <si>
    <t>55</t>
  </si>
  <si>
    <t>8,23</t>
  </si>
  <si>
    <t>038191007753</t>
  </si>
  <si>
    <t>Quảng Minh, TP. Sầm Sơn, Thanh Hóa</t>
  </si>
  <si>
    <t>0906277112</t>
  </si>
  <si>
    <t>56</t>
  </si>
  <si>
    <t xml:space="preserve">Trần Thị </t>
  </si>
  <si>
    <t>038187011109</t>
  </si>
  <si>
    <t>thôn Xa Liền, xã Nga Thắng, tỉnh Thanh Hóa</t>
  </si>
  <si>
    <t>0948958345</t>
  </si>
  <si>
    <t>57</t>
  </si>
  <si>
    <t>7,04</t>
  </si>
  <si>
    <t>ĐH Kế toán, cao đẳng Văn thư hành chính</t>
  </si>
  <si>
    <t>038189006953</t>
  </si>
  <si>
    <t>0972397286</t>
  </si>
  <si>
    <t>58</t>
  </si>
  <si>
    <t>Lê Thanh</t>
  </si>
  <si>
    <t>Đại học sư phạm Hà Nội 2</t>
  </si>
  <si>
    <t>038302013119</t>
  </si>
  <si>
    <t>Thọ Tiến, Triệu Sơn, Thanh Hóa</t>
  </si>
  <si>
    <t>0828067046</t>
  </si>
  <si>
    <t>59</t>
  </si>
  <si>
    <t>Thư</t>
  </si>
  <si>
    <t>2,96</t>
  </si>
  <si>
    <t>038190044767</t>
  </si>
  <si>
    <t>TT Vân Du, Thạch Thành, Thanh Hóa</t>
  </si>
  <si>
    <t>0983929138</t>
  </si>
  <si>
    <t>60</t>
  </si>
  <si>
    <t>038195010832</t>
  </si>
  <si>
    <t>Đông Hòa, TP.Thanh Hoá, Thanh Hóa</t>
  </si>
  <si>
    <t>0888555295</t>
  </si>
  <si>
    <t>61</t>
  </si>
  <si>
    <t xml:space="preserve">Nguyễn Công </t>
  </si>
  <si>
    <t>038085018702</t>
  </si>
  <si>
    <t>0985997048</t>
  </si>
  <si>
    <t>62</t>
  </si>
  <si>
    <t>Nguyễn Thị Kiều</t>
  </si>
  <si>
    <t>9,1</t>
  </si>
  <si>
    <t>038303009405</t>
  </si>
  <si>
    <t>Quảng Thành, TP. Thanh Hóa, Thanh Hóa</t>
  </si>
  <si>
    <t>0975207438</t>
  </si>
  <si>
    <t>Bằng THPT, ảnh</t>
  </si>
  <si>
    <t>63</t>
  </si>
  <si>
    <t>Phạm Thị Hoàng</t>
  </si>
  <si>
    <t>Uyên</t>
  </si>
  <si>
    <t>6,21</t>
  </si>
  <si>
    <t>038192012978</t>
  </si>
  <si>
    <t>Thị trấn Lam Sơn, Thọ Xuân, Thanh Hóa</t>
  </si>
  <si>
    <t>0911955919</t>
  </si>
  <si>
    <t>64</t>
  </si>
  <si>
    <t xml:space="preserve">Nguyễn Thị Như </t>
  </si>
  <si>
    <t>Ý</t>
  </si>
  <si>
    <t>Đạin học Quốc gia Hà Nội</t>
  </si>
  <si>
    <t>038300023398</t>
  </si>
  <si>
    <t>Bắc Sơn, TP. Sầm Sơn, Thanh Hóa</t>
  </si>
  <si>
    <t>0929002100</t>
  </si>
  <si>
    <t>65</t>
  </si>
  <si>
    <t>Trần Hải</t>
  </si>
  <si>
    <t>Văn Địa Anh</t>
  </si>
  <si>
    <t>THPT Vĩnh Lộc, Vĩnh Lộc, Thanh Hóa</t>
  </si>
  <si>
    <t>038196018221</t>
  </si>
  <si>
    <t>Xuân Lai, Thọ Xuân, Thanh Hóa</t>
  </si>
  <si>
    <t>0394406496</t>
  </si>
  <si>
    <t>Kỹ thuật điện, điện tử</t>
  </si>
  <si>
    <t>2,99</t>
  </si>
  <si>
    <t>Học viện Kỹ thuật Quân sự</t>
  </si>
  <si>
    <t>038193014425</t>
  </si>
  <si>
    <t>Đông Hương, TP Thanh Hóa, Thanh Hóa</t>
  </si>
  <si>
    <t>0343931682</t>
  </si>
  <si>
    <t>Nguyễn Thị Thanh</t>
  </si>
  <si>
    <t>Lan</t>
  </si>
  <si>
    <t>2,53</t>
  </si>
  <si>
    <t>038300015478</t>
  </si>
  <si>
    <t>0971543397</t>
  </si>
  <si>
    <t>Võ Thị Thanh</t>
  </si>
  <si>
    <t>Xuân</t>
  </si>
  <si>
    <t>7,33</t>
  </si>
  <si>
    <t>038183044739</t>
  </si>
  <si>
    <t>Quảng Trạch, Quảng xương, Thanh Hóa</t>
  </si>
  <si>
    <t>0973085970</t>
  </si>
  <si>
    <t>Bảo hiểm</t>
  </si>
  <si>
    <t>038193012420</t>
  </si>
  <si>
    <t>Quảng đại, TP Sầm Sơn, Thanh Hóa</t>
  </si>
  <si>
    <t>0978059062</t>
  </si>
  <si>
    <t xml:space="preserve">Lê Đức </t>
  </si>
  <si>
    <t>Cao đẳng Cộng đồng Hà Nội</t>
  </si>
  <si>
    <t>'038083003139</t>
  </si>
  <si>
    <t>Đông Hương, TP.Thanh Hoá, Thanh Hóa</t>
  </si>
  <si>
    <t>0918959983</t>
  </si>
  <si>
    <t xml:space="preserve"> 1 Bản công chứng bằng và BĐCĐ</t>
  </si>
  <si>
    <t xml:space="preserve">Lê Tuấn </t>
  </si>
  <si>
    <t>Dũng</t>
  </si>
  <si>
    <t>Công nghệ ký thuật ô tô</t>
  </si>
  <si>
    <t>Cao đẳng Công thương Việt Nam</t>
  </si>
  <si>
    <t>038203021427</t>
  </si>
  <si>
    <t>0942681368</t>
  </si>
  <si>
    <t>Mai Thị</t>
  </si>
  <si>
    <t>Kế toán HCSN</t>
  </si>
  <si>
    <t>038181018368</t>
  </si>
  <si>
    <t>0948144933</t>
  </si>
  <si>
    <t>CĐ Điện tử - Điện lạnh Hà Nội</t>
  </si>
  <si>
    <t>038089000609</t>
  </si>
  <si>
    <t>Hải Yến, TX Nghi Sơn, Thanh Hóa</t>
  </si>
  <si>
    <t>0988407608</t>
  </si>
  <si>
    <t>5,87</t>
  </si>
  <si>
    <t>Đại học Nông nghiệp 1</t>
  </si>
  <si>
    <t>Thạc sỹ QLĐĐ</t>
  </si>
  <si>
    <t>038082044741</t>
  </si>
  <si>
    <t>0982501368</t>
  </si>
  <si>
    <t>Phạm Song</t>
  </si>
  <si>
    <t>Nguyên</t>
  </si>
  <si>
    <t>038303024439</t>
  </si>
  <si>
    <t>Minh Sơn, Triệu Sơn, Thanh Hóa</t>
  </si>
  <si>
    <t>0916889638</t>
  </si>
  <si>
    <t>Trịnh Đình</t>
  </si>
  <si>
    <t>Tài</t>
  </si>
  <si>
    <t>SP Giáo dục Thể chất-GDQP</t>
  </si>
  <si>
    <t>7,41</t>
  </si>
  <si>
    <t>038090002003</t>
  </si>
  <si>
    <t>0988451345</t>
  </si>
  <si>
    <t>Lưu Ngọc</t>
  </si>
  <si>
    <t>Kỹ thuật công trình xây dựng</t>
  </si>
  <si>
    <t>6,18</t>
  </si>
  <si>
    <t>2,09</t>
  </si>
  <si>
    <t>Đại học Thủy Lợi</t>
  </si>
  <si>
    <t>038091007209</t>
  </si>
  <si>
    <t>Quảng Hưng, TP.Thanh Hoá, Thanh Hóa</t>
  </si>
  <si>
    <t>0942290789</t>
  </si>
  <si>
    <t>Đỗ Tuấn</t>
  </si>
  <si>
    <t>Y sỹ</t>
  </si>
  <si>
    <t>Cao đẳng Y tế Thanh Hóa</t>
  </si>
  <si>
    <t>038093006689</t>
  </si>
  <si>
    <t>Xuân Hoà, Thọ Xuân, Thanh Hoá</t>
  </si>
  <si>
    <t>0911988678</t>
  </si>
  <si>
    <t>Hào</t>
  </si>
  <si>
    <t>Cơ khí</t>
  </si>
  <si>
    <t>TH Công nghệ chế tạo máy</t>
  </si>
  <si>
    <t>038087005621</t>
  </si>
  <si>
    <t>Xuân Lộc, Hậu Lộc, Thanh Hoá</t>
  </si>
  <si>
    <t>0985681219</t>
  </si>
  <si>
    <t>Toán văn GDCD</t>
  </si>
  <si>
    <t>Tô Tuấn</t>
  </si>
  <si>
    <t>THPT Triệu Sơn 1, Triệu Sơn, Thanh Hóa</t>
  </si>
  <si>
    <t>038201020647</t>
  </si>
  <si>
    <t>0949014619</t>
  </si>
  <si>
    <t>Lê Thị Huyền</t>
  </si>
  <si>
    <t>038300014718</t>
  </si>
  <si>
    <t>0826457686</t>
  </si>
  <si>
    <t>Diệp</t>
  </si>
  <si>
    <t>CĐ Kinh tế - Kỹ thuật Sài Gòn</t>
  </si>
  <si>
    <t>BĐ Trung cấp</t>
  </si>
  <si>
    <t>038190017225</t>
  </si>
  <si>
    <t>Tế Lợi, Nông Cống, Thanh Hóa</t>
  </si>
  <si>
    <t>0979095309</t>
  </si>
  <si>
    <t>BĐCĐ, Bằng TC</t>
  </si>
  <si>
    <t>Lê Thị Thuý</t>
  </si>
  <si>
    <t>Hiền</t>
  </si>
  <si>
    <t>Đại học Kinh tế - Kỹ thuật Bình Dương</t>
  </si>
  <si>
    <t>040191024890</t>
  </si>
  <si>
    <t>Thị xã Nghi Sơn</t>
  </si>
  <si>
    <t>Hải Hoà, thị xã Nghi Sơn, Thanh Hóa</t>
  </si>
  <si>
    <t>0364548125</t>
  </si>
  <si>
    <t>Kế toán - Kiểm toán</t>
  </si>
  <si>
    <t>Đại học coong nghiệp TP Hồ Chí Minh</t>
  </si>
  <si>
    <t>038187014747</t>
  </si>
  <si>
    <t>Cành Nàng, Bá Thước, Thanh Hóa</t>
  </si>
  <si>
    <t>0989771012</t>
  </si>
  <si>
    <t>Kế toán doanh nghiệp</t>
  </si>
  <si>
    <t>Cao đẳng nghề số 4 - Bộ Quốc phòng</t>
  </si>
  <si>
    <t>038185011457</t>
  </si>
  <si>
    <t>Đông Tân, TP.Thanh Hoá, Thanh Hóa</t>
  </si>
  <si>
    <t>0828789666</t>
  </si>
  <si>
    <t>Doãn Thị Thanh</t>
  </si>
  <si>
    <t>CĐ Nghề Cơ giới Ninh Bình</t>
  </si>
  <si>
    <t>038190047535</t>
  </si>
  <si>
    <t>Đông Nam, Đông Sơn, Thanh Hóa</t>
  </si>
  <si>
    <t>0374719543</t>
  </si>
  <si>
    <t>Đại học Công đoàn</t>
  </si>
  <si>
    <t>038191047204</t>
  </si>
  <si>
    <t>22 Hàn Mặc tử, phường Hạc Thành, Thanh Hóa</t>
  </si>
  <si>
    <t>0973058506</t>
  </si>
  <si>
    <t>CCCD, bằng và học bạ THPT</t>
  </si>
  <si>
    <t>Kế toán tổng hợp</t>
  </si>
  <si>
    <t>2014</t>
  </si>
  <si>
    <t>6,22</t>
  </si>
  <si>
    <t>Trường CĐ Kinh tế - kỹ thuật. ĐH Thái Nguyên</t>
  </si>
  <si>
    <t>038192043574</t>
  </si>
  <si>
    <t>Phú Lộc, Hậu Lộc, Thanh Hóa</t>
  </si>
  <si>
    <t>0982179654</t>
  </si>
  <si>
    <t>Trương Thị</t>
  </si>
  <si>
    <t>6,47</t>
  </si>
  <si>
    <t>Đại học Điệc lực</t>
  </si>
  <si>
    <t>038193005265</t>
  </si>
  <si>
    <t>0982018413</t>
  </si>
  <si>
    <t>Thiếu học bạ</t>
  </si>
  <si>
    <t>Lê Quốc</t>
  </si>
  <si>
    <t>Đại học Mở Hà Nội</t>
  </si>
  <si>
    <t>038201000661</t>
  </si>
  <si>
    <t>Thị trấn Triệu Sơn, Triệu Sơn, Thanh Hóa</t>
  </si>
  <si>
    <t>0868316310</t>
  </si>
  <si>
    <t>Phan Thanh</t>
  </si>
  <si>
    <t>3,17</t>
  </si>
  <si>
    <t>019301009662</t>
  </si>
  <si>
    <t>Thái Nguyên</t>
  </si>
  <si>
    <t>TP. Thái Nguyên</t>
  </si>
  <si>
    <t>996 Lê Thái Tổ, Triệu Sơn, Thanh Hóa</t>
  </si>
  <si>
    <t>0372890736</t>
  </si>
  <si>
    <t>Học bạ THPT, BĐĐH công chứng</t>
  </si>
  <si>
    <t>30.7.25</t>
  </si>
  <si>
    <t>Lê Thị Thuỳ</t>
  </si>
  <si>
    <t>3,3</t>
  </si>
  <si>
    <t>Đại học Kinh doanh và công nghệ Hà Nội</t>
  </si>
  <si>
    <t>038301015272</t>
  </si>
  <si>
    <t>Bút Sơn, Hoằng Hóa, Thanh Hóa</t>
  </si>
  <si>
    <t>0336551425</t>
  </si>
  <si>
    <t xml:space="preserve">Hà Thị Trà </t>
  </si>
  <si>
    <t>My</t>
  </si>
  <si>
    <t>Học viện Phụ nữ Việt Nam</t>
  </si>
  <si>
    <t>038301015167</t>
  </si>
  <si>
    <t>TP Sầm Sơn</t>
  </si>
  <si>
    <t>36 Ngô Quyền, Bắc Sơn, Sầm Sơn, Thanh Hóa</t>
  </si>
  <si>
    <t>0919665232</t>
  </si>
  <si>
    <t>5,85</t>
  </si>
  <si>
    <t>Đại học Bách khoa Hà Nội</t>
  </si>
  <si>
    <t>038087017027</t>
  </si>
  <si>
    <t>0931393288</t>
  </si>
  <si>
    <t>Thiếu ảnh, học bạ THPT</t>
  </si>
  <si>
    <t>Hoàng Yến</t>
  </si>
  <si>
    <t>8,08</t>
  </si>
  <si>
    <t>038301002104</t>
  </si>
  <si>
    <t>0989588142</t>
  </si>
  <si>
    <t>Bảo vệ thực vật</t>
  </si>
  <si>
    <t>038190769336</t>
  </si>
  <si>
    <t>Quảng Hưng, TP Thanh Hóa, Thanh Hóa</t>
  </si>
  <si>
    <t>0985135219</t>
  </si>
  <si>
    <t>038194009642</t>
  </si>
  <si>
    <t>Thôn 4, xã Như Xuân, Thanh Hóa</t>
  </si>
  <si>
    <t>0357010333</t>
  </si>
  <si>
    <t>Trịnh Thị Kim</t>
  </si>
  <si>
    <t>Cao đẳng Công nghệ Viettronics</t>
  </si>
  <si>
    <t>'038188042149</t>
  </si>
  <si>
    <t>Trường Lâm, TX. Nghi Sơn, Thanh Hoá</t>
  </si>
  <si>
    <t>0973004388</t>
  </si>
  <si>
    <t>Thu</t>
  </si>
  <si>
    <t>Hạch toán Kế toán</t>
  </si>
  <si>
    <t>Trung cấp Thương mại Trung Ương V</t>
  </si>
  <si>
    <t>038189042609</t>
  </si>
  <si>
    <t>Nhà A3, chung cư Tân Thành 1, phường Hạc Thành, Thanh Hóa</t>
  </si>
  <si>
    <t>0396814316</t>
  </si>
  <si>
    <t>Đàm Cao Hà</t>
  </si>
  <si>
    <t>Vy</t>
  </si>
  <si>
    <t>Cao đẳng Kinh tế - Kỹ thuật công thương</t>
  </si>
  <si>
    <t>038307011899</t>
  </si>
  <si>
    <t>0916865896</t>
  </si>
  <si>
    <t>Toán Văn Lý</t>
  </si>
  <si>
    <t>20,9</t>
  </si>
  <si>
    <t>THPT Quảng Xương 3, Quảng Xương, Thanh Hoá</t>
  </si>
  <si>
    <t>038194018922</t>
  </si>
  <si>
    <t>Quảng Thọ, Sầm Sơn, Thanh Hóa</t>
  </si>
  <si>
    <t>0396037141</t>
  </si>
  <si>
    <t>21,9</t>
  </si>
  <si>
    <t>038301014013</t>
  </si>
  <si>
    <t>TP. Thanh Hoá</t>
  </si>
  <si>
    <t>Đông Vinh, TP.Thanh Hoá, Thanh Hoá</t>
  </si>
  <si>
    <t>0397546450</t>
  </si>
  <si>
    <t>Vi Thị</t>
  </si>
  <si>
    <t>22,66</t>
  </si>
  <si>
    <t>THPT Thường Xuân 3, Thường Xuân, Thanh Hóa</t>
  </si>
  <si>
    <t>038303012182</t>
  </si>
  <si>
    <t>Xuân Lộc, Thường Xuân, Thanh Hóa</t>
  </si>
  <si>
    <t>0398447098</t>
  </si>
  <si>
    <t>THPT Tô Hiến Thành</t>
  </si>
  <si>
    <t>038301011149</t>
  </si>
  <si>
    <t>17/88 Đặng Tiến Đông, phường Hạc Thành, tỉnh Thanh Hóa</t>
  </si>
  <si>
    <t>0353017885</t>
  </si>
  <si>
    <t>Giấy KS</t>
  </si>
  <si>
    <t>ĐH Luật</t>
  </si>
  <si>
    <t xml:space="preserve">Trịnh Quốc </t>
  </si>
  <si>
    <t>Chính</t>
  </si>
  <si>
    <t>Cơ điện tử</t>
  </si>
  <si>
    <t>Cao đẳng nghề Bách khoa Hà Nội</t>
  </si>
  <si>
    <t>038098006143</t>
  </si>
  <si>
    <t>Định Bình, Yên Định, Thanh Hoá</t>
  </si>
  <si>
    <t>0915654030</t>
  </si>
  <si>
    <t xml:space="preserve">Nguyễn Đăng </t>
  </si>
  <si>
    <t>Công nghệ ô tô</t>
  </si>
  <si>
    <t>2018</t>
  </si>
  <si>
    <t>Cao đẳng nghề Kinh tế - Công nghệ Vicet</t>
  </si>
  <si>
    <t>038081014044</t>
  </si>
  <si>
    <t>Đông Hòa, Đông Sơn, Thanh Hóa</t>
  </si>
  <si>
    <t>0964717666</t>
  </si>
  <si>
    <t>Thiếu học bạ THPT, mất BĐ</t>
  </si>
  <si>
    <t>Trần Thị Quỳnh</t>
  </si>
  <si>
    <t>5,7</t>
  </si>
  <si>
    <t>038191007078</t>
  </si>
  <si>
    <t>Đông Hải, TP. Thanh Hóa, Thanh Hóa</t>
  </si>
  <si>
    <t>0976055891</t>
  </si>
  <si>
    <t>Thiếu BĐ đại học</t>
  </si>
  <si>
    <t xml:space="preserve">Nguyễn Đàm Tuấn </t>
  </si>
  <si>
    <t>ĐH Dân lập Phương Đông</t>
  </si>
  <si>
    <t>038092014556</t>
  </si>
  <si>
    <t>Đông Thọ, TP Thanh Hóa, Thanh Hóa</t>
  </si>
  <si>
    <t>0333522920</t>
  </si>
  <si>
    <t>Lê Đình</t>
  </si>
  <si>
    <t>Kỹ thuật xây dựng Công trình Giao thông</t>
  </si>
  <si>
    <t>Đại học Xây dựng</t>
  </si>
  <si>
    <t>Bằng Thạc sỹ, TCLLCT</t>
  </si>
  <si>
    <t>038090005359</t>
  </si>
  <si>
    <t>Hoằng Đạo, Hoằng Hoá, Thanh Hóa</t>
  </si>
  <si>
    <t>0973305327</t>
  </si>
  <si>
    <t xml:space="preserve">Nguyễn Quốc </t>
  </si>
  <si>
    <t>Du</t>
  </si>
  <si>
    <t>Lịch sử</t>
  </si>
  <si>
    <t>7,55</t>
  </si>
  <si>
    <t>Học viện Chính trị</t>
  </si>
  <si>
    <t>038073015357</t>
  </si>
  <si>
    <t>0913037459</t>
  </si>
  <si>
    <t>Duy</t>
  </si>
  <si>
    <t>Kỹ thuật Xây dựng</t>
  </si>
  <si>
    <t>038090005468</t>
  </si>
  <si>
    <t>Bút Sơn, Hoằng Hoá, Thanh Hóa</t>
  </si>
  <si>
    <t>0979409263</t>
  </si>
  <si>
    <t xml:space="preserve">Nguyễn Hải </t>
  </si>
  <si>
    <t>Đăng</t>
  </si>
  <si>
    <t>6,62</t>
  </si>
  <si>
    <t>038302001558</t>
  </si>
  <si>
    <t>Lam Sơn, TP Thanh Hóa, Thanh Hóa</t>
  </si>
  <si>
    <t>'0962893490</t>
  </si>
  <si>
    <t>038189042089</t>
  </si>
  <si>
    <t>Đường Bà Triệu, xã Nông Cống, Thanh Hóa</t>
  </si>
  <si>
    <t>0949127889</t>
  </si>
  <si>
    <t>Hành chính học</t>
  </si>
  <si>
    <t>7,39</t>
  </si>
  <si>
    <t>Học viện Hành chính Quốc gia</t>
  </si>
  <si>
    <t>Trung cấp LLCT, Trung cấp Văn thư lưu trữ</t>
  </si>
  <si>
    <t>038176012935</t>
  </si>
  <si>
    <t>Thị trấn Tân Phong, Quảng Xương, Thanh Hóa</t>
  </si>
  <si>
    <t>0912002218</t>
  </si>
  <si>
    <t>2,51</t>
  </si>
  <si>
    <t>Đại học Phương Đông</t>
  </si>
  <si>
    <t>038190031249</t>
  </si>
  <si>
    <t>Phường Ba Đình, TP Thanh Hóa, Thanh Hóa</t>
  </si>
  <si>
    <t>0389991365</t>
  </si>
  <si>
    <t>Đặng Ngọc</t>
  </si>
  <si>
    <t>6,17</t>
  </si>
  <si>
    <t>038079019601</t>
  </si>
  <si>
    <t>Đông Sơn, TP. Thanh Hóa, Thanh Hóa</t>
  </si>
  <si>
    <t>0913376838</t>
  </si>
  <si>
    <t>Học bạ THPT, BDĐH công chứng</t>
  </si>
  <si>
    <t>Máy xây dựng</t>
  </si>
  <si>
    <t>6,69</t>
  </si>
  <si>
    <t>Đại học Ngôn ngữ Anh, TC LLCT</t>
  </si>
  <si>
    <t>038089003515</t>
  </si>
  <si>
    <t>Thôn 2, Hồng Thái, Hoằng Hóa, Thanh Hóa</t>
  </si>
  <si>
    <t>0827379555</t>
  </si>
  <si>
    <t>Quân</t>
  </si>
  <si>
    <t>038087010107</t>
  </si>
  <si>
    <t>SN 10/27 Đinh Lê, phường Hạc Thành, tỉnh Thanh Hóa</t>
  </si>
  <si>
    <t>0974994266</t>
  </si>
  <si>
    <t>038184011573</t>
  </si>
  <si>
    <t>Hoằng Quang, TP Thanh Hóa, Thanh Hóa</t>
  </si>
  <si>
    <t>0915393035</t>
  </si>
  <si>
    <t>mất BĐ Đại học</t>
  </si>
  <si>
    <t>7,73</t>
  </si>
  <si>
    <t>ĐH Công nghiệp Việt - Hung</t>
  </si>
  <si>
    <t>038191053106</t>
  </si>
  <si>
    <t>TX, Nghi Sơn</t>
  </si>
  <si>
    <t>Thanh Sơn, TX Nghi Sơn, Thanh Hóa</t>
  </si>
  <si>
    <t>0963534645</t>
  </si>
  <si>
    <t>GKS, học bạ THPT, bằng và BĐ CĐ</t>
  </si>
  <si>
    <t>Sư phạm Hóa</t>
  </si>
  <si>
    <t>038078010350</t>
  </si>
  <si>
    <t>0986633723</t>
  </si>
  <si>
    <t xml:space="preserve">Học bạ THPT, BĐĐH </t>
  </si>
  <si>
    <t xml:space="preserve">Lê Khắc </t>
  </si>
  <si>
    <t>6,39</t>
  </si>
  <si>
    <t>038203017317</t>
  </si>
  <si>
    <t>0982941750</t>
  </si>
  <si>
    <t>Bằng TN ĐH</t>
  </si>
  <si>
    <t>Bạch Văn</t>
  </si>
  <si>
    <t>038091002032</t>
  </si>
  <si>
    <t>0848221555</t>
  </si>
  <si>
    <t>Thiếu bằng và học bạ THPT</t>
  </si>
  <si>
    <t>2013</t>
  </si>
  <si>
    <t>6,08</t>
  </si>
  <si>
    <t>038185038070</t>
  </si>
  <si>
    <t>0912521195</t>
  </si>
  <si>
    <t>038187017414</t>
  </si>
  <si>
    <t>Na Mèo, Quan Sơn, Thanh Hóa</t>
  </si>
  <si>
    <t>0382132440</t>
  </si>
  <si>
    <t>Gửi Bưu  ngày 07.07.2025</t>
  </si>
  <si>
    <t>2,89</t>
  </si>
  <si>
    <t>038190026909</t>
  </si>
  <si>
    <t>Khu 3, Yên Định, Thanh Hóa</t>
  </si>
  <si>
    <t>0942618119</t>
  </si>
  <si>
    <t>Nguyễn Thị Lan</t>
  </si>
  <si>
    <t>Quản lý trật tự an toàn giao thông</t>
  </si>
  <si>
    <t>Trung cấp Cảnh sát nhân dân V</t>
  </si>
  <si>
    <t>038197001112</t>
  </si>
  <si>
    <t>TT Bút Sơn, Hoằng Hóa, Thanh Hóa</t>
  </si>
  <si>
    <t>0949475828</t>
  </si>
  <si>
    <t>Nguyễn Ngọc</t>
  </si>
  <si>
    <t>Trung cấp Xây dựng Thanh Hoá</t>
  </si>
  <si>
    <t>038094039939</t>
  </si>
  <si>
    <t>Sao Vàng</t>
  </si>
  <si>
    <t>xã Sao Vàng, tỉnh Thanh Hóa</t>
  </si>
  <si>
    <t>0936332567</t>
  </si>
  <si>
    <t>Tiếp</t>
  </si>
  <si>
    <t>Cảnh sát Vũ trang</t>
  </si>
  <si>
    <t>Trung cấp Cảnh sát vũ trang</t>
  </si>
  <si>
    <t>038093052117</t>
  </si>
  <si>
    <t>0932334088</t>
  </si>
  <si>
    <t>Toán Văn Sử</t>
  </si>
  <si>
    <t>Văn Sử Địa</t>
  </si>
  <si>
    <t>Quản lý nhà nước</t>
  </si>
  <si>
    <t>Mai Văn</t>
  </si>
  <si>
    <t>Công</t>
  </si>
  <si>
    <t>2,78</t>
  </si>
  <si>
    <t>038202005182</t>
  </si>
  <si>
    <t>Nga Hải, Nga Sơn, Thanh Hoá</t>
  </si>
  <si>
    <t>0966742565</t>
  </si>
  <si>
    <t>Môi trường</t>
  </si>
  <si>
    <t>6,75</t>
  </si>
  <si>
    <t>Đại học Nông nghiệp Hà Nội</t>
  </si>
  <si>
    <t>038187016133</t>
  </si>
  <si>
    <t>0348178239</t>
  </si>
  <si>
    <t>Lý Văn</t>
  </si>
  <si>
    <t>Hiệp</t>
  </si>
  <si>
    <t>Điều tra trinh sát</t>
  </si>
  <si>
    <t>Học viện Cảnh sát nhân dân</t>
  </si>
  <si>
    <t>038089000787</t>
  </si>
  <si>
    <t>0944191007</t>
  </si>
  <si>
    <t>6,57</t>
  </si>
  <si>
    <t>038189013075</t>
  </si>
  <si>
    <t>Thọ Thanh, Thường Xuân, Thanh Hoá</t>
  </si>
  <si>
    <t>0979556710</t>
  </si>
  <si>
    <t>Lê Thị Việt</t>
  </si>
  <si>
    <t>Báo chí</t>
  </si>
  <si>
    <t>2,84</t>
  </si>
  <si>
    <t>'038199022406</t>
  </si>
  <si>
    <t>0919019928</t>
  </si>
  <si>
    <t>Nguyễn Đình</t>
  </si>
  <si>
    <t>038094029804</t>
  </si>
  <si>
    <t>Hoằng Xuân, Hoằng Hóa, Thanh Hóa</t>
  </si>
  <si>
    <t>0868675685</t>
  </si>
  <si>
    <t>Lê Thành</t>
  </si>
  <si>
    <t>Đồng</t>
  </si>
  <si>
    <t>Công nghệ ký thuật điều khiển và tự động hóa</t>
  </si>
  <si>
    <t>Cao đẳng FPT Polytechnic</t>
  </si>
  <si>
    <t>038204021434</t>
  </si>
  <si>
    <t>Hải Ninh, TX. Nghi Sơn, Thanh Hóa</t>
  </si>
  <si>
    <t xml:space="preserve"> 0988271898</t>
  </si>
  <si>
    <t>Hoàng Đình</t>
  </si>
  <si>
    <t>Quang</t>
  </si>
  <si>
    <t>Sư phạm Kỹ thuật điện</t>
  </si>
  <si>
    <t>ĐH Sư phạm kỹ thuật Hưng Yên</t>
  </si>
  <si>
    <t>038081037264</t>
  </si>
  <si>
    <t>Minh Sơn, Ngọc Lặc, Thanh Hóa</t>
  </si>
  <si>
    <t>0356323868</t>
  </si>
  <si>
    <t>Hưng</t>
  </si>
  <si>
    <t>5,35</t>
  </si>
  <si>
    <t>2,14</t>
  </si>
  <si>
    <t>Đại học Thương Mại</t>
  </si>
  <si>
    <t>038089015055</t>
  </si>
  <si>
    <t>0976604365</t>
  </si>
  <si>
    <t>'038083017212</t>
  </si>
  <si>
    <t>Ngọc Trạo, TP.Thanh Hoá, Thanh Hóa</t>
  </si>
  <si>
    <t>0912313583</t>
  </si>
  <si>
    <t>Tình</t>
  </si>
  <si>
    <t>Học viện Nông nghiệp VN</t>
  </si>
  <si>
    <t>038081007764</t>
  </si>
  <si>
    <t>0914585768</t>
  </si>
  <si>
    <t>Thiếu học bạ THPT, mượn BĐ của Thọ cùng lớp để miễn môn</t>
  </si>
  <si>
    <t>Lê Công</t>
  </si>
  <si>
    <t>Nhật</t>
  </si>
  <si>
    <t>18,7</t>
  </si>
  <si>
    <t>THPT Đặng Thai Mai, Quảng Xương, Thanh Hóa</t>
  </si>
  <si>
    <t>038204017040</t>
  </si>
  <si>
    <t>0392880809</t>
  </si>
  <si>
    <t>Đỗ Xuân</t>
  </si>
  <si>
    <t>8,8</t>
  </si>
  <si>
    <t>25,2</t>
  </si>
  <si>
    <t>THPT Đông Sơn 1, Đông Sơn, Thanh Hoá</t>
  </si>
  <si>
    <t>038203007416</t>
  </si>
  <si>
    <t>0969290103</t>
  </si>
  <si>
    <t>Hồ Phạm</t>
  </si>
  <si>
    <t>Hùng</t>
  </si>
  <si>
    <t>Xây dựng cầu đường bộ</t>
  </si>
  <si>
    <t>CĐ Nghề Giao thông vận tải đường thuỷ II</t>
  </si>
  <si>
    <t>042088019749</t>
  </si>
  <si>
    <t>Hương Sơn</t>
  </si>
  <si>
    <t>Sơn Trung, Hương Sơn, Hà Tĩnh</t>
  </si>
  <si>
    <t>0984194488</t>
  </si>
  <si>
    <t>Sản xuất các sản phẩm lọc dầu</t>
  </si>
  <si>
    <t>Đại học Công nghiệp Việ Trì</t>
  </si>
  <si>
    <t>038090023782</t>
  </si>
  <si>
    <t>16/96 Định Hòa, phường Hàm Rồng, Thanh Hóa</t>
  </si>
  <si>
    <t>0972480112</t>
  </si>
  <si>
    <t>Nguyễn Lệnh</t>
  </si>
  <si>
    <t>Thuấn</t>
  </si>
  <si>
    <t>CNKTXD Cầu đường bộ</t>
  </si>
  <si>
    <t>Toán, văn, sinh</t>
  </si>
  <si>
    <t>ĐH CN Giao thông vận tải</t>
  </si>
  <si>
    <t>038090001328</t>
  </si>
  <si>
    <t>Thiệu Nguyên, Thiệu Hoá, Thanh Hoá</t>
  </si>
  <si>
    <t>0328560856</t>
  </si>
  <si>
    <t>Giang Thu</t>
  </si>
  <si>
    <t>Giang thu</t>
  </si>
  <si>
    <t>Vũ Như</t>
  </si>
  <si>
    <t>Xây dựng dân dung và Công nghiệp</t>
  </si>
  <si>
    <t>Đại học Dân lập Hải Phòng</t>
  </si>
  <si>
    <t>038092001845</t>
  </si>
  <si>
    <t>Quảng cư. TP. Sầm Sơn, Thanh Hóa</t>
  </si>
  <si>
    <t>0335362999</t>
  </si>
  <si>
    <t>1 bản công chứng bằng và BĐ CĐ</t>
  </si>
  <si>
    <t>7,58</t>
  </si>
  <si>
    <t>ĐH Giao thông vận tải</t>
  </si>
  <si>
    <t>038201004096</t>
  </si>
  <si>
    <t>P.An Hưng, TP.Thanh Hoá, Thanh Hoá</t>
  </si>
  <si>
    <t>0968240170</t>
  </si>
  <si>
    <t xml:space="preserve">Đào Việt </t>
  </si>
  <si>
    <t>Toán, văn, lý</t>
  </si>
  <si>
    <t>HV Hành chính Quốc gia</t>
  </si>
  <si>
    <t>038097033110</t>
  </si>
  <si>
    <t>0961380288</t>
  </si>
  <si>
    <t>Lê Hồng</t>
  </si>
  <si>
    <t>5,78</t>
  </si>
  <si>
    <t>038082033305</t>
  </si>
  <si>
    <t>Đông Thịnh, Đông Sơn, Thanh Hóa</t>
  </si>
  <si>
    <t>0949143149</t>
  </si>
  <si>
    <t>Vương Huy</t>
  </si>
  <si>
    <t>Tám</t>
  </si>
  <si>
    <t>Trắc địa</t>
  </si>
  <si>
    <t>Đại học mỏ địa chất</t>
  </si>
  <si>
    <t>038080003169</t>
  </si>
  <si>
    <t>0973500735</t>
  </si>
  <si>
    <t>Vinh</t>
  </si>
  <si>
    <t>Kỹ thuật địa chất</t>
  </si>
  <si>
    <t>ĐH Mỏ - Địa chất</t>
  </si>
  <si>
    <t>038092015028</t>
  </si>
  <si>
    <t>Quảng Tiến, Sầm Sơn, Thanh Hóa</t>
  </si>
  <si>
    <t>Xây dựng dân dụng &amp;Công nghiệp</t>
  </si>
  <si>
    <t>2015</t>
  </si>
  <si>
    <t>038095017936</t>
  </si>
  <si>
    <t>0833563569</t>
  </si>
  <si>
    <t>k có bảng điểm TC, CCCD công chứng</t>
  </si>
  <si>
    <t>19,3</t>
  </si>
  <si>
    <t>THPT Hậu Lộc 4, Hậu Lộc, Thanh Hóa</t>
  </si>
  <si>
    <t>038099024031</t>
  </si>
  <si>
    <t>Hải Lộc, Hậu Lộc, Thanh Hóa</t>
  </si>
  <si>
    <t>0987092358</t>
  </si>
  <si>
    <t>Quảng Ninh</t>
  </si>
  <si>
    <t>Phạm Thị Hồng</t>
  </si>
  <si>
    <t>Ánh</t>
  </si>
  <si>
    <t/>
  </si>
  <si>
    <t>Văn Toán Hóa</t>
  </si>
  <si>
    <t>Đỗ Thư</t>
  </si>
  <si>
    <t>Hoàn</t>
  </si>
  <si>
    <t>THPT Triệu Sơn 1</t>
  </si>
  <si>
    <t>038198019545</t>
  </si>
  <si>
    <t>Thôn 3, Thọ Phú, Triệu Sơn, Thanh Hóa</t>
  </si>
  <si>
    <t>0326743679</t>
  </si>
  <si>
    <t>Thanh Hoá</t>
  </si>
  <si>
    <t>THPT Quảng Xương 4</t>
  </si>
  <si>
    <t>Trà</t>
  </si>
  <si>
    <t>Đạt</t>
  </si>
  <si>
    <t xml:space="preserve">Trần Ngọc </t>
  </si>
  <si>
    <t>Toán Anh Lý</t>
  </si>
  <si>
    <t>GD Thể chất</t>
  </si>
  <si>
    <t>Toán Văn GDKT PL</t>
  </si>
  <si>
    <t>Văn Toán Hoá</t>
  </si>
  <si>
    <t>21.9</t>
  </si>
  <si>
    <t>Toán Văn GDCD</t>
  </si>
  <si>
    <t>Quản trị DVDL LH</t>
  </si>
  <si>
    <t>20.0</t>
  </si>
  <si>
    <t>23.4</t>
  </si>
  <si>
    <t>Văn Sử Toán</t>
  </si>
  <si>
    <t>Tit</t>
  </si>
  <si>
    <t>mã ngành</t>
  </si>
  <si>
    <t>H0</t>
  </si>
  <si>
    <t>Lê Văn Cường khoa NLNN</t>
  </si>
  <si>
    <t>H1</t>
  </si>
  <si>
    <t>Tổ hợp môn1</t>
  </si>
  <si>
    <t>Tổng
 điểm
 tổ 
hợp1</t>
  </si>
  <si>
    <t>Khoa</t>
  </si>
  <si>
    <t>Giáo dục</t>
  </si>
  <si>
    <t>KHTN</t>
  </si>
  <si>
    <t>KHXH</t>
  </si>
  <si>
    <t>Ngoại ngữ</t>
  </si>
  <si>
    <t>KT-QTKD</t>
  </si>
  <si>
    <t>LLCT-Luật</t>
  </si>
  <si>
    <t>KTCN&amp;TT</t>
  </si>
  <si>
    <t>NLNN</t>
  </si>
  <si>
    <t>Đơn vị 
đào tạo</t>
  </si>
  <si>
    <t>10/04/1986</t>
  </si>
  <si>
    <t>10/10/1995</t>
  </si>
  <si>
    <t>25/10/1998</t>
  </si>
  <si>
    <t>20/10/1995</t>
  </si>
  <si>
    <t>13/11/1996</t>
  </si>
  <si>
    <t>05/11/1999</t>
  </si>
  <si>
    <t>05/08/1999</t>
  </si>
  <si>
    <t>05/01/2000</t>
  </si>
  <si>
    <t>08/01/1993</t>
  </si>
  <si>
    <t>30/08/2001</t>
  </si>
  <si>
    <t>28/08/1997</t>
  </si>
  <si>
    <t>25/02/1995</t>
  </si>
  <si>
    <t>17/11/1997</t>
  </si>
  <si>
    <t>23/10/2001</t>
  </si>
  <si>
    <t>26/10/1998</t>
  </si>
  <si>
    <t>01/01/2000</t>
  </si>
  <si>
    <t>30/04/2001</t>
  </si>
  <si>
    <t>03/10/1995</t>
  </si>
  <si>
    <t>07/05/1986</t>
  </si>
  <si>
    <t>08/04/1996</t>
  </si>
  <si>
    <t>01/07/1997</t>
  </si>
  <si>
    <t>15/04/1994</t>
  </si>
  <si>
    <t>08/09/1998</t>
  </si>
  <si>
    <t>19/08/1992</t>
  </si>
  <si>
    <t>01/10/1991</t>
  </si>
  <si>
    <t>09/12/1996</t>
  </si>
  <si>
    <t>30/12/1984</t>
  </si>
  <si>
    <t>25/11/1996</t>
  </si>
  <si>
    <t>05/04/1990</t>
  </si>
  <si>
    <t>21/04/1991</t>
  </si>
  <si>
    <t>19/08/1994</t>
  </si>
  <si>
    <t>01/11/1990</t>
  </si>
  <si>
    <t>20/10/1993</t>
  </si>
  <si>
    <t>20/06/1990</t>
  </si>
  <si>
    <t>28/05/1994</t>
  </si>
  <si>
    <t>10/09/1995</t>
  </si>
  <si>
    <t>10/03/1988</t>
  </si>
  <si>
    <t>03/11/2002</t>
  </si>
  <si>
    <t>29/01/2003</t>
  </si>
  <si>
    <t>13/08/2003</t>
  </si>
  <si>
    <t>25/05/1999</t>
  </si>
  <si>
    <t>09/03/2002</t>
  </si>
  <si>
    <t>12/09/1997</t>
  </si>
  <si>
    <t>03/11/2003</t>
  </si>
  <si>
    <t>28/02/1993</t>
  </si>
  <si>
    <t>12/08/1999</t>
  </si>
  <si>
    <t>01/05/1991</t>
  </si>
  <si>
    <t>06/01/1997</t>
  </si>
  <si>
    <t>05/10/1992</t>
  </si>
  <si>
    <t>08/02/1999</t>
  </si>
  <si>
    <t>09/06/1998</t>
  </si>
  <si>
    <t>20/08/2001</t>
  </si>
  <si>
    <t>06/03/1994</t>
  </si>
  <si>
    <t>'04/10/2001</t>
  </si>
  <si>
    <t>08/10/2002</t>
  </si>
  <si>
    <t>31/12/2007</t>
  </si>
  <si>
    <t>31/12/1999</t>
  </si>
  <si>
    <t>11/04/2003</t>
  </si>
  <si>
    <t>12/06/1998</t>
  </si>
  <si>
    <t>10/12/1999</t>
  </si>
  <si>
    <t>11/09/2001</t>
  </si>
  <si>
    <t>23/10/2006</t>
  </si>
  <si>
    <t>17/11/2002</t>
  </si>
  <si>
    <t>16/07/2003</t>
  </si>
  <si>
    <t>20/07/1994</t>
  </si>
  <si>
    <t>21/12/1992</t>
  </si>
  <si>
    <t>18/08/2001</t>
  </si>
  <si>
    <t>22/10/1999</t>
  </si>
  <si>
    <t>06/11/1999</t>
  </si>
  <si>
    <t>18/01/2001</t>
  </si>
  <si>
    <t>11/07/2001</t>
  </si>
  <si>
    <t>19/08/1998</t>
  </si>
  <si>
    <t>10/09/2003</t>
  </si>
  <si>
    <t>06/08/2002</t>
  </si>
  <si>
    <t>21/01/2001</t>
  </si>
  <si>
    <t>15/07/1999</t>
  </si>
  <si>
    <t>08/05/2003</t>
  </si>
  <si>
    <t>29/03/2002</t>
  </si>
  <si>
    <t>09/06/1990</t>
  </si>
  <si>
    <t>19/08/1989</t>
  </si>
  <si>
    <t>09/10/1998</t>
  </si>
  <si>
    <t>19/12/2001</t>
  </si>
  <si>
    <t>10/10/1986</t>
  </si>
  <si>
    <t>10/03/1997</t>
  </si>
  <si>
    <t>06/05/1989</t>
  </si>
  <si>
    <t>22/06/1985</t>
  </si>
  <si>
    <t>14/04/1979</t>
  </si>
  <si>
    <t>10/11/1987</t>
  </si>
  <si>
    <t>26/04/1984</t>
  </si>
  <si>
    <t>10/08/1988</t>
  </si>
  <si>
    <t>02/11/1989</t>
  </si>
  <si>
    <t>05/06/1986</t>
  </si>
  <si>
    <t>05/09/2002</t>
  </si>
  <si>
    <t>21/07/2002</t>
  </si>
  <si>
    <t>25/12/1988</t>
  </si>
  <si>
    <t>13/12/2002</t>
  </si>
  <si>
    <t>30/07/1990</t>
  </si>
  <si>
    <t>28/05/1999</t>
  </si>
  <si>
    <t>19/04/1999</t>
  </si>
  <si>
    <t>23/10/1998</t>
  </si>
  <si>
    <t>20/12/2005</t>
  </si>
  <si>
    <t>22/02/2003</t>
  </si>
  <si>
    <t>13/10/1998</t>
  </si>
  <si>
    <t>24/04/1999</t>
  </si>
  <si>
    <t>18/04/2002</t>
  </si>
  <si>
    <t>08/04/2002</t>
  </si>
  <si>
    <t>29/06/2001</t>
  </si>
  <si>
    <t>03/02/1996</t>
  </si>
  <si>
    <t>21/11/1996</t>
  </si>
  <si>
    <t>23/11/1996</t>
  </si>
  <si>
    <t>24/05/1996</t>
  </si>
  <si>
    <t>04/11/2002</t>
  </si>
  <si>
    <t>31/10/2000</t>
  </si>
  <si>
    <t>14/04/2001</t>
  </si>
  <si>
    <t>30/12/1997</t>
  </si>
  <si>
    <t>15/01/1993</t>
  </si>
  <si>
    <t>18/03/2002</t>
  </si>
  <si>
    <t>24/10/2001</t>
  </si>
  <si>
    <t>22/10/1994</t>
  </si>
  <si>
    <t>07/02/2002</t>
  </si>
  <si>
    <t>28/10/2001</t>
  </si>
  <si>
    <t>20/11/2002</t>
  </si>
  <si>
    <t>27/08/1993</t>
  </si>
  <si>
    <t>16/10/1998</t>
  </si>
  <si>
    <t>15/10/1985</t>
  </si>
  <si>
    <t>06/10/1994</t>
  </si>
  <si>
    <t>03/01/1998</t>
  </si>
  <si>
    <t>05/06/1982</t>
  </si>
  <si>
    <t>23/12/2002</t>
  </si>
  <si>
    <t>18/06/1987</t>
  </si>
  <si>
    <t>12/02/1993</t>
  </si>
  <si>
    <t>18/12/1981</t>
  </si>
  <si>
    <t>06/05/1980</t>
  </si>
  <si>
    <t>02/07/1981</t>
  </si>
  <si>
    <t>01/03/2001</t>
  </si>
  <si>
    <t>24/05/1988</t>
  </si>
  <si>
    <t>07/06/1987</t>
  </si>
  <si>
    <t>31/12/1993</t>
  </si>
  <si>
    <t>30/05/1983</t>
  </si>
  <si>
    <t>13/09/2000</t>
  </si>
  <si>
    <t>16/06/1990</t>
  </si>
  <si>
    <t>26/08/1985</t>
  </si>
  <si>
    <t>04/12/1988</t>
  </si>
  <si>
    <t>05/05/1986</t>
  </si>
  <si>
    <t>20/06/1988</t>
  </si>
  <si>
    <t>27/11/2000</t>
  </si>
  <si>
    <t>21/07/1996</t>
  </si>
  <si>
    <t>03/12/1991</t>
  </si>
  <si>
    <t>10/05/2002</t>
  </si>
  <si>
    <t>19/09/1981</t>
  </si>
  <si>
    <t>18/06/1983</t>
  </si>
  <si>
    <t>03/01/2000</t>
  </si>
  <si>
    <t>07/02/1981</t>
  </si>
  <si>
    <t>22/11/2003</t>
  </si>
  <si>
    <t>27/01/1990</t>
  </si>
  <si>
    <t>26/05/1989</t>
  </si>
  <si>
    <t>11/04/1983</t>
  </si>
  <si>
    <t>12/05/1985</t>
  </si>
  <si>
    <t>02/06/1996</t>
  </si>
  <si>
    <t>04/08/1993</t>
  </si>
  <si>
    <t>20/02/1997</t>
  </si>
  <si>
    <t>06/09/1999</t>
  </si>
  <si>
    <t>27/04/1983</t>
  </si>
  <si>
    <t>16/05/2002</t>
  </si>
  <si>
    <t>02/06/1982</t>
  </si>
  <si>
    <t>20/09/1985</t>
  </si>
  <si>
    <t>02/09/1995</t>
  </si>
  <si>
    <t>06/12/2003</t>
  </si>
  <si>
    <t>18/01/2002</t>
  </si>
  <si>
    <t>20/08/1987</t>
  </si>
  <si>
    <t>25/03/1989</t>
  </si>
  <si>
    <t>24/12/2002</t>
  </si>
  <si>
    <t>24/05/1990</t>
  </si>
  <si>
    <t>03/04/1995</t>
  </si>
  <si>
    <t>13/04/1985</t>
  </si>
  <si>
    <t>05/09/2003</t>
  </si>
  <si>
    <t>18/01/1992</t>
  </si>
  <si>
    <t>20/10/2000</t>
  </si>
  <si>
    <t>08/03/1996</t>
  </si>
  <si>
    <t>22/12/2000</t>
  </si>
  <si>
    <t>13/12/1983</t>
  </si>
  <si>
    <t>02/10/1993</t>
  </si>
  <si>
    <t>17/03/1983</t>
  </si>
  <si>
    <t>01/12/2003</t>
  </si>
  <si>
    <t>12/06/1981</t>
  </si>
  <si>
    <t>01/01/1989</t>
  </si>
  <si>
    <t>10/11/1982</t>
  </si>
  <si>
    <t>25/07/2003</t>
  </si>
  <si>
    <t>13/10/1991</t>
  </si>
  <si>
    <t>17/02/1993</t>
  </si>
  <si>
    <t>09/07/1987</t>
  </si>
  <si>
    <t>06/10/2000</t>
  </si>
  <si>
    <t>01/02/1990</t>
  </si>
  <si>
    <t>18/04/1991</t>
  </si>
  <si>
    <t>20/11/1985</t>
  </si>
  <si>
    <t>25/08/1991</t>
  </si>
  <si>
    <t>08/06/1992</t>
  </si>
  <si>
    <t>19/11/1993</t>
  </si>
  <si>
    <t>03/10/2001</t>
  </si>
  <si>
    <t>01/05/2001</t>
  </si>
  <si>
    <t>16/08/2001</t>
  </si>
  <si>
    <t>17/02/1987</t>
  </si>
  <si>
    <t>12/09/2001</t>
  </si>
  <si>
    <t>20/07/1990</t>
  </si>
  <si>
    <t>12/10/1994</t>
  </si>
  <si>
    <t>26/10/1988</t>
  </si>
  <si>
    <t>16/05/1989</t>
  </si>
  <si>
    <t>06/08/2007</t>
  </si>
  <si>
    <t>14/08/1994</t>
  </si>
  <si>
    <t>02/04/2001</t>
  </si>
  <si>
    <t>25/08/2003</t>
  </si>
  <si>
    <t>16/09/2001</t>
  </si>
  <si>
    <t>01/06/1998</t>
  </si>
  <si>
    <t>04/05/1981</t>
  </si>
  <si>
    <t>27/07/1991</t>
  </si>
  <si>
    <t>23/06/1992</t>
  </si>
  <si>
    <t>01/03/1990</t>
  </si>
  <si>
    <t>19/11/1973</t>
  </si>
  <si>
    <t>18/04/1990</t>
  </si>
  <si>
    <t>27/08/1989</t>
  </si>
  <si>
    <t>02/02/1976</t>
  </si>
  <si>
    <t>12/11/1990</t>
  </si>
  <si>
    <t>30/04/1979</t>
  </si>
  <si>
    <t>26/04/1989</t>
  </si>
  <si>
    <t>30/01/1987</t>
  </si>
  <si>
    <t>25/05/1984</t>
  </si>
  <si>
    <t>28/12/1991</t>
  </si>
  <si>
    <t>02/07/1978</t>
  </si>
  <si>
    <t>04/06/2003</t>
  </si>
  <si>
    <t>05/02/1991</t>
  </si>
  <si>
    <t>08/11/1985</t>
  </si>
  <si>
    <t>02/02/1987</t>
  </si>
  <si>
    <t>02/05/1990</t>
  </si>
  <si>
    <t>20/04/1997</t>
  </si>
  <si>
    <t>02/10/1994</t>
  </si>
  <si>
    <t>10/07/1993</t>
  </si>
  <si>
    <t>05/03/2003</t>
  </si>
  <si>
    <t>27/04/1992</t>
  </si>
  <si>
    <t>28/02/1991</t>
  </si>
  <si>
    <t>01/02/2002</t>
  </si>
  <si>
    <t>05/09/1987</t>
  </si>
  <si>
    <t>16/10/1986</t>
  </si>
  <si>
    <t>10/02/1989</t>
  </si>
  <si>
    <t>25/07/1999</t>
  </si>
  <si>
    <t>22/04/1992</t>
  </si>
  <si>
    <t>20/05/1994</t>
  </si>
  <si>
    <t>02/10/1988</t>
  </si>
  <si>
    <t>11/04/2001</t>
  </si>
  <si>
    <t>13/01/1991</t>
  </si>
  <si>
    <t>06/10/1995</t>
  </si>
  <si>
    <t>06/02/1990</t>
  </si>
  <si>
    <t>06/12/2004</t>
  </si>
  <si>
    <t>29/09/1981</t>
  </si>
  <si>
    <t>22/09/1989</t>
  </si>
  <si>
    <t>09/04/1983</t>
  </si>
  <si>
    <t>06/03/1981</t>
  </si>
  <si>
    <t>16/02/1988</t>
  </si>
  <si>
    <t>28/09/1990</t>
  </si>
  <si>
    <t>08/04/1992</t>
  </si>
  <si>
    <t>19/01/2001</t>
  </si>
  <si>
    <t>15/10/1997</t>
  </si>
  <si>
    <t>13/05/1980</t>
  </si>
  <si>
    <t>28/03/1992</t>
  </si>
  <si>
    <t>19/08/1995</t>
  </si>
  <si>
    <t>22/09/1999</t>
  </si>
  <si>
    <t>27/11/1994</t>
  </si>
  <si>
    <t>10/05/1988</t>
  </si>
  <si>
    <t>26/12/1990</t>
  </si>
  <si>
    <t>28/11/1998</t>
  </si>
  <si>
    <t>12/01/2002</t>
  </si>
  <si>
    <t>28/04/1888</t>
  </si>
  <si>
    <t>21/04/1983</t>
  </si>
  <si>
    <t>06/07/1988</t>
  </si>
  <si>
    <t>08/11/1998</t>
  </si>
  <si>
    <t>22/01/2002</t>
  </si>
  <si>
    <t>30/12/1990</t>
  </si>
  <si>
    <t>26/11/2007</t>
  </si>
  <si>
    <t>12/02/2007</t>
  </si>
  <si>
    <t>12/01/2001</t>
  </si>
  <si>
    <t>12/03/1992</t>
  </si>
  <si>
    <t>01/03/1979</t>
  </si>
  <si>
    <t>MSSV</t>
  </si>
  <si>
    <t>Mã lớp học</t>
  </si>
  <si>
    <t>258901C300</t>
  </si>
  <si>
    <t>258901C301</t>
  </si>
  <si>
    <t>258901C302</t>
  </si>
  <si>
    <t>258901C303</t>
  </si>
  <si>
    <t>258901C304</t>
  </si>
  <si>
    <t>258901C305</t>
  </si>
  <si>
    <t>258901C306</t>
  </si>
  <si>
    <t>258901C307</t>
  </si>
  <si>
    <t>258901C308</t>
  </si>
  <si>
    <t>258901C309</t>
  </si>
  <si>
    <t>258901C310</t>
  </si>
  <si>
    <t>258901C311</t>
  </si>
  <si>
    <t>258901C312</t>
  </si>
  <si>
    <t>258901C313</t>
  </si>
  <si>
    <t>258901C314</t>
  </si>
  <si>
    <t>258901C315</t>
  </si>
  <si>
    <t>258901C316</t>
  </si>
  <si>
    <t>258901C317</t>
  </si>
  <si>
    <t>258901D300</t>
  </si>
  <si>
    <t>258901T300</t>
  </si>
  <si>
    <t>258901T301</t>
  </si>
  <si>
    <t>258901T302</t>
  </si>
  <si>
    <t>258901T303</t>
  </si>
  <si>
    <t>258901T304</t>
  </si>
  <si>
    <t>258901T305</t>
  </si>
  <si>
    <t>258901T306</t>
  </si>
  <si>
    <t>258901T308</t>
  </si>
  <si>
    <t>258901B1</t>
  </si>
  <si>
    <t>258900B1</t>
  </si>
  <si>
    <t>258900C300</t>
  </si>
  <si>
    <t>258900C301</t>
  </si>
  <si>
    <t>258900C302</t>
  </si>
  <si>
    <t>258900D300</t>
  </si>
  <si>
    <t>258900D301</t>
  </si>
  <si>
    <t>258900D302</t>
  </si>
  <si>
    <t>258900D303</t>
  </si>
  <si>
    <t>258900D304</t>
  </si>
  <si>
    <t>258900D305</t>
  </si>
  <si>
    <t>258900D306</t>
  </si>
  <si>
    <t>258900D307</t>
  </si>
  <si>
    <t>258900D308</t>
  </si>
  <si>
    <t>258900D309</t>
  </si>
  <si>
    <t>258900D310</t>
  </si>
  <si>
    <t>258900D311</t>
  </si>
  <si>
    <t>258900D312</t>
  </si>
  <si>
    <t>258900D313</t>
  </si>
  <si>
    <t>258900D314</t>
  </si>
  <si>
    <t>258900P300</t>
  </si>
  <si>
    <t>258900P301</t>
  </si>
  <si>
    <t>258900P302</t>
  </si>
  <si>
    <t>258900P303</t>
  </si>
  <si>
    <t>258900P304</t>
  </si>
  <si>
    <t>258900P305</t>
  </si>
  <si>
    <t>258900P306</t>
  </si>
  <si>
    <t>258900P307</t>
  </si>
  <si>
    <t>258900P308</t>
  </si>
  <si>
    <t>258900P309</t>
  </si>
  <si>
    <t>258900P310</t>
  </si>
  <si>
    <t>258900P311</t>
  </si>
  <si>
    <t>258900P312</t>
  </si>
  <si>
    <t>258900P313</t>
  </si>
  <si>
    <t>258900P314</t>
  </si>
  <si>
    <t>258900P315</t>
  </si>
  <si>
    <t>258900P316</t>
  </si>
  <si>
    <t>258900P317</t>
  </si>
  <si>
    <t>258900P318</t>
  </si>
  <si>
    <t>258900P319</t>
  </si>
  <si>
    <t>258900P320</t>
  </si>
  <si>
    <t>258900P321</t>
  </si>
  <si>
    <t>258900P322</t>
  </si>
  <si>
    <t>258900P323</t>
  </si>
  <si>
    <t>258900P324</t>
  </si>
  <si>
    <t>258900P325</t>
  </si>
  <si>
    <t>258900P326</t>
  </si>
  <si>
    <t>258900P350</t>
  </si>
  <si>
    <t>258902C300</t>
  </si>
  <si>
    <t>258902C301</t>
  </si>
  <si>
    <t>258902C302</t>
  </si>
  <si>
    <t>258902C303</t>
  </si>
  <si>
    <t>258902B1</t>
  </si>
  <si>
    <t>258101C300</t>
  </si>
  <si>
    <t>258101B1</t>
  </si>
  <si>
    <t>258101C301</t>
  </si>
  <si>
    <t>258101C302</t>
  </si>
  <si>
    <t>258101C303</t>
  </si>
  <si>
    <t>258101D300</t>
  </si>
  <si>
    <t>258101D301</t>
  </si>
  <si>
    <t>258101D302</t>
  </si>
  <si>
    <t>258101D303</t>
  </si>
  <si>
    <t>258101D304</t>
  </si>
  <si>
    <t>258101P300</t>
  </si>
  <si>
    <t>258101P301</t>
  </si>
  <si>
    <t>258101P302</t>
  </si>
  <si>
    <t>258101P303</t>
  </si>
  <si>
    <t>258101P304</t>
  </si>
  <si>
    <t>258101P305</t>
  </si>
  <si>
    <t>258101P306</t>
  </si>
  <si>
    <t>258101P307</t>
  </si>
  <si>
    <t>258101P308</t>
  </si>
  <si>
    <t>258101P309</t>
  </si>
  <si>
    <t>258101P310</t>
  </si>
  <si>
    <t>258101P311</t>
  </si>
  <si>
    <t>258701C300</t>
  </si>
  <si>
    <t>258701C301</t>
  </si>
  <si>
    <t>258701D300</t>
  </si>
  <si>
    <t>258701D301</t>
  </si>
  <si>
    <t>258701D302</t>
  </si>
  <si>
    <t>258701P301</t>
  </si>
  <si>
    <t>258701P302</t>
  </si>
  <si>
    <t>258701B1</t>
  </si>
  <si>
    <t>258702D300</t>
  </si>
  <si>
    <t>258702D301</t>
  </si>
  <si>
    <t>258702D302</t>
  </si>
  <si>
    <t>258702D303</t>
  </si>
  <si>
    <t>258702D304</t>
  </si>
  <si>
    <t>258702D305</t>
  </si>
  <si>
    <t>258702D306</t>
  </si>
  <si>
    <t>258702D307</t>
  </si>
  <si>
    <t>258702D308</t>
  </si>
  <si>
    <t>258702D309</t>
  </si>
  <si>
    <t>258702D310</t>
  </si>
  <si>
    <t>258702D311</t>
  </si>
  <si>
    <t>258702D312</t>
  </si>
  <si>
    <t>258702D313</t>
  </si>
  <si>
    <t>258702D314</t>
  </si>
  <si>
    <t>258702D315</t>
  </si>
  <si>
    <t>258702D316</t>
  </si>
  <si>
    <t>258702D317</t>
  </si>
  <si>
    <t>258702D318</t>
  </si>
  <si>
    <t>258702D319</t>
  </si>
  <si>
    <t>258702D320</t>
  </si>
  <si>
    <t>258702D321</t>
  </si>
  <si>
    <t>258702D322</t>
  </si>
  <si>
    <t>258702D323</t>
  </si>
  <si>
    <t>258702D324</t>
  </si>
  <si>
    <t>258702D325</t>
  </si>
  <si>
    <t>258702D326</t>
  </si>
  <si>
    <t>258702D328</t>
  </si>
  <si>
    <t>258702D329</t>
  </si>
  <si>
    <t>258702D330</t>
  </si>
  <si>
    <t>258702D331</t>
  </si>
  <si>
    <t>258702D332</t>
  </si>
  <si>
    <t>258702D333</t>
  </si>
  <si>
    <t>258702D334</t>
  </si>
  <si>
    <t>258702D335</t>
  </si>
  <si>
    <t>258702D336</t>
  </si>
  <si>
    <t>258702D337</t>
  </si>
  <si>
    <t>258702D338</t>
  </si>
  <si>
    <t>258702D339</t>
  </si>
  <si>
    <t>258702D340</t>
  </si>
  <si>
    <t>258702D341</t>
  </si>
  <si>
    <t>258702D342</t>
  </si>
  <si>
    <t>258702D343</t>
  </si>
  <si>
    <t>258702D344</t>
  </si>
  <si>
    <t>258702D345</t>
  </si>
  <si>
    <t>258702D346</t>
  </si>
  <si>
    <t>258702D347</t>
  </si>
  <si>
    <t>258702D348</t>
  </si>
  <si>
    <t>258702D349</t>
  </si>
  <si>
    <t>258702D350</t>
  </si>
  <si>
    <t>258702D351</t>
  </si>
  <si>
    <t>258702D352</t>
  </si>
  <si>
    <t>258702D353</t>
  </si>
  <si>
    <t>258702D354</t>
  </si>
  <si>
    <t>258702D355</t>
  </si>
  <si>
    <t>258702D356</t>
  </si>
  <si>
    <t>258702D357</t>
  </si>
  <si>
    <t>258702D358</t>
  </si>
  <si>
    <t>258702D359</t>
  </si>
  <si>
    <t>258702D360</t>
  </si>
  <si>
    <t>258702D361</t>
  </si>
  <si>
    <t>258702D362</t>
  </si>
  <si>
    <t>258702D363</t>
  </si>
  <si>
    <t>258702P300</t>
  </si>
  <si>
    <t>258702B1</t>
  </si>
  <si>
    <t>258609B</t>
  </si>
  <si>
    <t>258609D300</t>
  </si>
  <si>
    <t>258609D301</t>
  </si>
  <si>
    <t>258609D302</t>
  </si>
  <si>
    <t>258609D303</t>
  </si>
  <si>
    <t>258402C300</t>
  </si>
  <si>
    <t>258402C301</t>
  </si>
  <si>
    <t>258402C302</t>
  </si>
  <si>
    <t>258402C303</t>
  </si>
  <si>
    <t>258402D300</t>
  </si>
  <si>
    <t>258402D301</t>
  </si>
  <si>
    <t>258402D302</t>
  </si>
  <si>
    <t>258402D303</t>
  </si>
  <si>
    <t>258402T300</t>
  </si>
  <si>
    <t>258402T301</t>
  </si>
  <si>
    <t>258402P300</t>
  </si>
  <si>
    <t>258402P301</t>
  </si>
  <si>
    <t>258402B</t>
  </si>
  <si>
    <t>258401C300</t>
  </si>
  <si>
    <t>258401B</t>
  </si>
  <si>
    <t>258401C301</t>
  </si>
  <si>
    <t>258401C302</t>
  </si>
  <si>
    <t>258401C303</t>
  </si>
  <si>
    <t>258401C304</t>
  </si>
  <si>
    <t>258401C305</t>
  </si>
  <si>
    <t>258401C306</t>
  </si>
  <si>
    <t>258401C307</t>
  </si>
  <si>
    <t>258401D300</t>
  </si>
  <si>
    <t>258401D301</t>
  </si>
  <si>
    <t>258401D302</t>
  </si>
  <si>
    <t>258401D303</t>
  </si>
  <si>
    <t>258401D304</t>
  </si>
  <si>
    <t>258401D305</t>
  </si>
  <si>
    <t>258401D306</t>
  </si>
  <si>
    <t>258401D307</t>
  </si>
  <si>
    <t>258401T300</t>
  </si>
  <si>
    <t>258401T301</t>
  </si>
  <si>
    <t>258401T302</t>
  </si>
  <si>
    <t>258401P300</t>
  </si>
  <si>
    <t>258401P301</t>
  </si>
  <si>
    <t>258401P302</t>
  </si>
  <si>
    <t>258401P303</t>
  </si>
  <si>
    <t>258801C300</t>
  </si>
  <si>
    <t>258801C301</t>
  </si>
  <si>
    <t>258801D300</t>
  </si>
  <si>
    <t>258801D301</t>
  </si>
  <si>
    <t>258801D302</t>
  </si>
  <si>
    <t>258801D303</t>
  </si>
  <si>
    <t>258801D304</t>
  </si>
  <si>
    <t>258801D305</t>
  </si>
  <si>
    <t>258801D306</t>
  </si>
  <si>
    <t>258801D307</t>
  </si>
  <si>
    <t>258801D308</t>
  </si>
  <si>
    <t>258801D309</t>
  </si>
  <si>
    <t>258801D310</t>
  </si>
  <si>
    <t>258801D311</t>
  </si>
  <si>
    <t>258801D312</t>
  </si>
  <si>
    <t>258801D313</t>
  </si>
  <si>
    <t>258801D314</t>
  </si>
  <si>
    <t>258801D315</t>
  </si>
  <si>
    <t>258801D316</t>
  </si>
  <si>
    <t>258801D317</t>
  </si>
  <si>
    <t>258801D318</t>
  </si>
  <si>
    <t>258801D319</t>
  </si>
  <si>
    <t>258801T300</t>
  </si>
  <si>
    <t>258801T301</t>
  </si>
  <si>
    <t>258801T302</t>
  </si>
  <si>
    <t>258801B</t>
  </si>
  <si>
    <t>257103B</t>
  </si>
  <si>
    <t>257103C300</t>
  </si>
  <si>
    <t>257103C301</t>
  </si>
  <si>
    <t>257103C302</t>
  </si>
  <si>
    <t>257103D300</t>
  </si>
  <si>
    <t>257103D301</t>
  </si>
  <si>
    <t>257103D302</t>
  </si>
  <si>
    <t>257103D303</t>
  </si>
  <si>
    <t>257103D304</t>
  </si>
  <si>
    <t>257103D305</t>
  </si>
  <si>
    <t>257103D306</t>
  </si>
  <si>
    <t>257103D307</t>
  </si>
  <si>
    <t>257103D308</t>
  </si>
  <si>
    <t>257103D309</t>
  </si>
  <si>
    <t>257103D310</t>
  </si>
  <si>
    <t>257103D311</t>
  </si>
  <si>
    <t>257103D312</t>
  </si>
  <si>
    <t>257103D313</t>
  </si>
  <si>
    <t>257103D314</t>
  </si>
  <si>
    <t>258203C300</t>
  </si>
  <si>
    <t>258203C301</t>
  </si>
  <si>
    <t>258203D300</t>
  </si>
  <si>
    <t>258203D301</t>
  </si>
  <si>
    <t>258203D302</t>
  </si>
  <si>
    <t>258203P300</t>
  </si>
  <si>
    <t>258203P301</t>
  </si>
  <si>
    <t>258203B</t>
  </si>
  <si>
    <t>258107C300</t>
  </si>
  <si>
    <t>258107C301</t>
  </si>
  <si>
    <t>258107C302</t>
  </si>
  <si>
    <t>258107C303</t>
  </si>
  <si>
    <t>258107D300</t>
  </si>
  <si>
    <t>258107D301</t>
  </si>
  <si>
    <t>258107D302</t>
  </si>
  <si>
    <t>258107D303</t>
  </si>
  <si>
    <t>258107D304</t>
  </si>
  <si>
    <t>258107T300</t>
  </si>
  <si>
    <t>258107P300</t>
  </si>
  <si>
    <t>258107B</t>
  </si>
  <si>
    <t>257311C300</t>
  </si>
  <si>
    <t>257311C301</t>
  </si>
  <si>
    <t>257311C302</t>
  </si>
  <si>
    <t>257311D300</t>
  </si>
  <si>
    <t>257311D301</t>
  </si>
  <si>
    <t>257311D302</t>
  </si>
  <si>
    <t>257311D303</t>
  </si>
  <si>
    <t>257311D304</t>
  </si>
  <si>
    <t>257311D305</t>
  </si>
  <si>
    <t>257311D306</t>
  </si>
  <si>
    <t>257311D307</t>
  </si>
  <si>
    <t>257311T300</t>
  </si>
  <si>
    <t>257311T301</t>
  </si>
  <si>
    <t>257311T302</t>
  </si>
  <si>
    <t>257311T303</t>
  </si>
  <si>
    <t>257311T304</t>
  </si>
  <si>
    <t>257311B</t>
  </si>
  <si>
    <t>K28B1 ĐHGD Mầm non</t>
  </si>
  <si>
    <t>Lớp</t>
  </si>
  <si>
    <t>K28B1 ĐHGD Tiểu học</t>
  </si>
  <si>
    <t>K28B1 ĐHGD Thể chất</t>
  </si>
  <si>
    <t>K28B1 ĐHSP Toán học</t>
  </si>
  <si>
    <t>K28B1 ĐHSP Tiếng Anh</t>
  </si>
  <si>
    <t>K28B1 ĐH Ngôn ngữ Anh</t>
  </si>
  <si>
    <t>K28B ĐH Tâm lý học</t>
  </si>
  <si>
    <t>K28B ĐH QTKD</t>
  </si>
  <si>
    <t>K28B ĐH Kế toán</t>
  </si>
  <si>
    <t>K28B ĐH Luật</t>
  </si>
  <si>
    <t>K28B ĐH CNTT</t>
  </si>
  <si>
    <t>K28B ĐH Kỹ thuật điện</t>
  </si>
  <si>
    <t>K28B ĐH Kỹ thuật xây dựng</t>
  </si>
  <si>
    <t>K28B ĐH Chăn nuôi thú y</t>
  </si>
  <si>
    <t>CỘNG HÒA XÃ HỘI CHỦ NGHĨA VIỆT NAM</t>
  </si>
  <si>
    <t>UBND TỈNH THANH HÓA</t>
  </si>
  <si>
    <t>LK</t>
  </si>
  <si>
    <t>Tại 
trường</t>
  </si>
  <si>
    <t>CB 
Duyêt tuyển</t>
  </si>
  <si>
    <t>Hương, Thơ</t>
  </si>
  <si>
    <t xml:space="preserve">Nam </t>
  </si>
  <si>
    <t>Số hồ sơ</t>
  </si>
  <si>
    <t>Tổng số hồ sơ</t>
  </si>
  <si>
    <t>Độc lập - Tự do - Hạnh phúc</t>
  </si>
  <si>
    <t>BẢNG PHÂN CÔNG DUYỆT TUYỂN K28B LT, VLVH NĂM 2025</t>
  </si>
  <si>
    <t>Thanh hóa, ngày   tháng   năm 2025</t>
  </si>
  <si>
    <t>Người lập bảng</t>
  </si>
  <si>
    <t>Trần Thị Thu Thủy</t>
  </si>
  <si>
    <t>Thuận Minh</t>
  </si>
  <si>
    <t>Phong Lộc</t>
  </si>
  <si>
    <t>Phùng Giáo</t>
  </si>
  <si>
    <t>Định Tân</t>
  </si>
  <si>
    <t>Thuần Lộc</t>
  </si>
  <si>
    <t>QĐTT</t>
  </si>
  <si>
    <t>QĐ 2194</t>
  </si>
  <si>
    <t xml:space="preserve">Ngày </t>
  </si>
  <si>
    <t>18/08/2025</t>
  </si>
  <si>
    <t>QĐ 2195</t>
  </si>
  <si>
    <t>QĐ 2197</t>
  </si>
  <si>
    <t>0385024636</t>
  </si>
  <si>
    <t>0354456604</t>
  </si>
  <si>
    <t>0904728383</t>
  </si>
  <si>
    <t>GDMN</t>
  </si>
  <si>
    <t>7,45</t>
  </si>
  <si>
    <t>Văn, Sinh</t>
  </si>
  <si>
    <t>8,02</t>
  </si>
  <si>
    <t>Đặng Thu</t>
  </si>
  <si>
    <t>THPT Lương Đắc Bằng</t>
  </si>
  <si>
    <t>Đông Quang</t>
  </si>
  <si>
    <t>10/01/2001</t>
  </si>
  <si>
    <t>Nguyễn Duy</t>
  </si>
  <si>
    <t>14/02/1993</t>
  </si>
  <si>
    <t>7,36</t>
  </si>
  <si>
    <t>038193007474</t>
  </si>
  <si>
    <t>0344012841</t>
  </si>
  <si>
    <t>Đô</t>
  </si>
  <si>
    <t>21/09/1973</t>
  </si>
  <si>
    <t>Đại học lương Thế Vinh</t>
  </si>
  <si>
    <t>038073006412</t>
  </si>
  <si>
    <t>Thiệu Ngọc, Thiệu Hoá, Thanh Hoá</t>
  </si>
  <si>
    <t>0977217867</t>
  </si>
  <si>
    <t>Trung cấp Việt Hàn</t>
  </si>
  <si>
    <t>038301006019</t>
  </si>
  <si>
    <t>140 đường Vân Nội, Thiệu Hóa, Thanh Hóa</t>
  </si>
  <si>
    <t>0328324728</t>
  </si>
  <si>
    <t>Thùy</t>
  </si>
  <si>
    <t>10/03/2003</t>
  </si>
  <si>
    <t>038303013785</t>
  </si>
  <si>
    <t>Thôn Bào Tiến, Quảng Ninh, Thanh Hóa</t>
  </si>
  <si>
    <t>0359421265</t>
  </si>
  <si>
    <t>10/12/1997</t>
  </si>
  <si>
    <t>23,1</t>
  </si>
  <si>
    <t>THPT Trung Giã, Hà Nội</t>
  </si>
  <si>
    <t>038197033072</t>
  </si>
  <si>
    <t>Định Hòa</t>
  </si>
  <si>
    <t>Thôn Kênh Khê, Định Hòa, Thanh Hóa</t>
  </si>
  <si>
    <t>0985926697</t>
  </si>
  <si>
    <t>Đặng Quốc</t>
  </si>
  <si>
    <t>17/07/1999</t>
  </si>
  <si>
    <t>6,13</t>
  </si>
  <si>
    <t>Đại học Hồn Đức</t>
  </si>
  <si>
    <t>038099022452</t>
  </si>
  <si>
    <t>Đông Tiến</t>
  </si>
  <si>
    <t>Phố 8, phường Đông Tiến, Thanh Hóa</t>
  </si>
  <si>
    <t>'0854718234</t>
  </si>
  <si>
    <t>21/05/1993</t>
  </si>
  <si>
    <t>Cao đẳng Công nghệ Hà Nội</t>
  </si>
  <si>
    <t>038193028949</t>
  </si>
  <si>
    <t>Luận Thành</t>
  </si>
  <si>
    <t>Thôn Liên Thành, Luận Thành, Thanh Hóa</t>
  </si>
  <si>
    <t>0942629800</t>
  </si>
  <si>
    <t>11/01/1998</t>
  </si>
  <si>
    <t>038198031031</t>
  </si>
  <si>
    <t>Định Hải, Yên Định, Thanh Hóa</t>
  </si>
  <si>
    <t>0528501999</t>
  </si>
  <si>
    <t>13/10/1996</t>
  </si>
  <si>
    <t>Điều dưỡng</t>
  </si>
  <si>
    <t>ĐH Điều dưỡng Nam Định</t>
  </si>
  <si>
    <t>038196000486</t>
  </si>
  <si>
    <t>Xuân Thọ, Triệu Sơn, Thanh Hóa</t>
  </si>
  <si>
    <t>0964387286</t>
  </si>
  <si>
    <t>Sáng</t>
  </si>
  <si>
    <t>10/10/1989</t>
  </si>
  <si>
    <t>Công nghệ kỹ thuật xây dựng</t>
  </si>
  <si>
    <t>Đại học Công nghiệp Việt Hung</t>
  </si>
  <si>
    <t>038089038598</t>
  </si>
  <si>
    <t>Triệu Lộc</t>
  </si>
  <si>
    <t>Thôn Bùi, xã Triệu Lộc, tỉnh Thanh Hóa</t>
  </si>
  <si>
    <t>0986173688</t>
  </si>
  <si>
    <t>16/08/1998</t>
  </si>
  <si>
    <t>5,83</t>
  </si>
  <si>
    <t>038089021278</t>
  </si>
  <si>
    <t>29A/77, Hải Thượng Lãn Ông, phường Hạc Thành, Thanh Hóa</t>
  </si>
  <si>
    <t>0918959789</t>
  </si>
  <si>
    <t>Cao Thị</t>
  </si>
  <si>
    <t>03/09/1986</t>
  </si>
  <si>
    <t>6,65</t>
  </si>
  <si>
    <t>ĐH Y Hà Nội</t>
  </si>
  <si>
    <t>038186003414</t>
  </si>
  <si>
    <t>Hạc Thành, tỉnh Thanh Hóa</t>
  </si>
  <si>
    <t>0913327175</t>
  </si>
  <si>
    <t>30/10/1980</t>
  </si>
  <si>
    <t>7,08</t>
  </si>
  <si>
    <t>ĐH Khoa học xã hội và nhân văn - ĐHQG Hà Nội</t>
  </si>
  <si>
    <t>038180026064</t>
  </si>
  <si>
    <t>Lưu Vệ</t>
  </si>
  <si>
    <t>Phố 2, xã Lưu Vệ, tỉnh Thanh Hóa</t>
  </si>
  <si>
    <t>0946372686</t>
  </si>
  <si>
    <t>22/05/1982</t>
  </si>
  <si>
    <t>6/00</t>
  </si>
  <si>
    <t>Nợ bảng điểm</t>
  </si>
  <si>
    <t>ĐH Bách Khoa</t>
  </si>
  <si>
    <t>038082014651</t>
  </si>
  <si>
    <t>Đông Thọ, TP/ Thanh Hóa, Thanh Hóa</t>
  </si>
  <si>
    <t>0916422583</t>
  </si>
  <si>
    <t>Cao Thị Hoài</t>
  </si>
  <si>
    <t>02/05/2002</t>
  </si>
  <si>
    <t>25/7</t>
  </si>
  <si>
    <t>038302001259</t>
  </si>
  <si>
    <t>Phường Đông Thọ, TP Thanh Hóa, Thanh Hóa</t>
  </si>
  <si>
    <t>0941782567</t>
  </si>
  <si>
    <t xml:space="preserve">Đỗ Anh </t>
  </si>
  <si>
    <t>10/08/2003</t>
  </si>
  <si>
    <t>Kinh tế đầu tư</t>
  </si>
  <si>
    <t>038203000326</t>
  </si>
  <si>
    <t>Phường Tân Sơn, TP Thanh Hóa, Thanh Hóa</t>
  </si>
  <si>
    <t>0888682003</t>
  </si>
  <si>
    <t>ĐH Lương Thế Vinh</t>
  </si>
  <si>
    <t>038190022888</t>
  </si>
  <si>
    <t>0985858650</t>
  </si>
  <si>
    <t>11/10/1992</t>
  </si>
  <si>
    <t>7,48</t>
  </si>
  <si>
    <t>ĐH Công nghệ Đông Á</t>
  </si>
  <si>
    <t>CĐ Kế toán</t>
  </si>
  <si>
    <t>038192006497</t>
  </si>
  <si>
    <t>0985244638</t>
  </si>
  <si>
    <t>04/03/1991</t>
  </si>
  <si>
    <t>Đại học Công nghiệp Hà Nội</t>
  </si>
  <si>
    <t>Bằng và BĐ CĐ Kế toán</t>
  </si>
  <si>
    <t>038191036076</t>
  </si>
  <si>
    <t>Nga Sơn, Thanh Hóa</t>
  </si>
  <si>
    <t>0823912789</t>
  </si>
  <si>
    <t>22/11/1990</t>
  </si>
  <si>
    <t>ĐH Luật Hà Nội</t>
  </si>
  <si>
    <t>038190049969</t>
  </si>
  <si>
    <t>0966866536</t>
  </si>
  <si>
    <t xml:space="preserve">Đỗ Mạnh </t>
  </si>
  <si>
    <t>038094006079</t>
  </si>
  <si>
    <t>Thiệu hóa</t>
  </si>
  <si>
    <t>Tân Châu, Thiệu Hóa, Thanh Hóa</t>
  </si>
  <si>
    <t>0941528353</t>
  </si>
  <si>
    <t>Hoàng Anh</t>
  </si>
  <si>
    <t>10/10/1984</t>
  </si>
  <si>
    <t>038084022168</t>
  </si>
  <si>
    <t>0947815789</t>
  </si>
  <si>
    <t>Đỗ Thị Hà</t>
  </si>
  <si>
    <t>Yên</t>
  </si>
  <si>
    <t>26/11/1998</t>
  </si>
  <si>
    <t>8,43</t>
  </si>
  <si>
    <t>038198029347</t>
  </si>
  <si>
    <t>0325620111</t>
  </si>
  <si>
    <t xml:space="preserve">Nguyễn Đức </t>
  </si>
  <si>
    <t>04/12/1993</t>
  </si>
  <si>
    <t>Quản trị Kinh doanh</t>
  </si>
  <si>
    <t>CĐ Y tế Thanh Hóa</t>
  </si>
  <si>
    <t>038093051024</t>
  </si>
  <si>
    <t>Quảng Thịnh</t>
  </si>
  <si>
    <t>Phố Gia Lộc, Quảng Thịnh, Thanh Hóa</t>
  </si>
  <si>
    <t>0976117836</t>
  </si>
  <si>
    <t>Hồ Thị Thanh</t>
  </si>
  <si>
    <t>Dược sỹ</t>
  </si>
  <si>
    <t>038193044957</t>
  </si>
  <si>
    <t>45 Lê Hồng Phong, Hạc Thành, Thanh Hóa</t>
  </si>
  <si>
    <t>0349351571</t>
  </si>
  <si>
    <t>30/12/2000</t>
  </si>
  <si>
    <t>THPT Đông Sơn 2, Thanh Hóa</t>
  </si>
  <si>
    <t>038200012254</t>
  </si>
  <si>
    <t>Yên Trường, phường Đông Quang, Thanh Hoá</t>
  </si>
  <si>
    <t>0373261066</t>
  </si>
  <si>
    <t>05/11/1997</t>
  </si>
  <si>
    <t>038197021607</t>
  </si>
  <si>
    <t>Châu Sơn, Quảng Chính, Thanh Hóa</t>
  </si>
  <si>
    <t>0976127595</t>
  </si>
  <si>
    <t>Trương Phúc</t>
  </si>
  <si>
    <t>21/10/2003</t>
  </si>
  <si>
    <t>038203013883</t>
  </si>
  <si>
    <t>Phố 1, xã Lưu Vệ, tỉnh Thanh Hóa</t>
  </si>
  <si>
    <t>0888128318</t>
  </si>
  <si>
    <t>29/02/1992</t>
  </si>
  <si>
    <t>3,8</t>
  </si>
  <si>
    <t>CĐ Kinh tế - Kỹ thuật Công thương</t>
  </si>
  <si>
    <t>038192014087</t>
  </si>
  <si>
    <t>0916166593</t>
  </si>
  <si>
    <t>Đàm Ngọc</t>
  </si>
  <si>
    <t>28/02/1981</t>
  </si>
  <si>
    <t>Trắc địa - Bản đồ</t>
  </si>
  <si>
    <t>TH Địa chính Trung Ương II</t>
  </si>
  <si>
    <t>038081007065</t>
  </si>
  <si>
    <t>Biện Thượng</t>
  </si>
  <si>
    <t>Thôn 6, xã Biện Thượng, Thanh Hóa</t>
  </si>
  <si>
    <t>0364503626</t>
  </si>
  <si>
    <t>Bổ sung</t>
  </si>
  <si>
    <t>258101P360</t>
  </si>
  <si>
    <t>258901C366</t>
  </si>
  <si>
    <t>258901C367</t>
  </si>
  <si>
    <t>258901T330</t>
  </si>
  <si>
    <t>258900P430</t>
  </si>
  <si>
    <t>258900P431</t>
  </si>
  <si>
    <t>258609C300</t>
  </si>
  <si>
    <t>258609T300</t>
  </si>
  <si>
    <t>Thiều Thị Hà</t>
  </si>
  <si>
    <t>258701C319</t>
  </si>
  <si>
    <t>258702D364</t>
  </si>
  <si>
    <t>258702D365</t>
  </si>
  <si>
    <t>258702D366</t>
  </si>
  <si>
    <t>258702D367</t>
  </si>
  <si>
    <t>258702D368</t>
  </si>
  <si>
    <t>258702D369</t>
  </si>
  <si>
    <t>258702D370</t>
  </si>
  <si>
    <t>258702D371</t>
  </si>
  <si>
    <t>258702D372</t>
  </si>
  <si>
    <t>258702D373</t>
  </si>
  <si>
    <t>258702D374</t>
  </si>
  <si>
    <t>258401C308</t>
  </si>
  <si>
    <t>258401C309</t>
  </si>
  <si>
    <t>258401C310</t>
  </si>
  <si>
    <t>258401D308</t>
  </si>
  <si>
    <t>258402C304</t>
  </si>
  <si>
    <t>258402T302</t>
  </si>
  <si>
    <t>258402P302</t>
  </si>
  <si>
    <t>257103D315</t>
  </si>
  <si>
    <t>258107C304</t>
  </si>
  <si>
    <t>258801D320</t>
  </si>
  <si>
    <t>258801D321</t>
  </si>
  <si>
    <t>258801D322</t>
  </si>
  <si>
    <t>257311T305</t>
  </si>
  <si>
    <t xml:space="preserve">CN từ SPAnh </t>
  </si>
  <si>
    <t>258101P361</t>
  </si>
  <si>
    <t>CN từ TC sang</t>
  </si>
  <si>
    <t>18/08/2026</t>
  </si>
  <si>
    <t>258901C368</t>
  </si>
  <si>
    <t>Tuyền</t>
  </si>
  <si>
    <t>Trịnh Ngọc</t>
  </si>
  <si>
    <t>01/05/2002</t>
  </si>
  <si>
    <t xml:space="preserve">Phạm Thảo </t>
  </si>
  <si>
    <t>21/11/2003</t>
  </si>
  <si>
    <t xml:space="preserve"> Lê Vũ Lê</t>
  </si>
  <si>
    <t>Na</t>
  </si>
  <si>
    <t>12/08/2003</t>
  </si>
  <si>
    <t>10/11/1991</t>
  </si>
  <si>
    <t>Ái</t>
  </si>
  <si>
    <t>11/12/1988</t>
  </si>
  <si>
    <t>02/06/2003</t>
  </si>
  <si>
    <t xml:space="preserve">Lương Thị Ngọc </t>
  </si>
  <si>
    <t>16/08/2007</t>
  </si>
  <si>
    <t>Trương Mai</t>
  </si>
  <si>
    <t>Thi</t>
  </si>
  <si>
    <t>02/02/2003</t>
  </si>
  <si>
    <t>04/06/2005</t>
  </si>
  <si>
    <t>Nhài</t>
  </si>
  <si>
    <t>09/04/1988</t>
  </si>
  <si>
    <t>8,62</t>
  </si>
  <si>
    <t>2023</t>
  </si>
  <si>
    <t>15,56</t>
  </si>
  <si>
    <t>038302031177</t>
  </si>
  <si>
    <t>Phố Nam Sơn, phường Đông Quang, Thanh Hóa</t>
  </si>
  <si>
    <t>0853800105</t>
  </si>
  <si>
    <t>038303013217</t>
  </si>
  <si>
    <t>Thiết Ống</t>
  </si>
  <si>
    <t>Thôn Chiềng, xã Thiết Ống, tỉnh Thanh Hóa</t>
  </si>
  <si>
    <t>0376715196</t>
  </si>
  <si>
    <t>Đại học hồng Đức</t>
  </si>
  <si>
    <t>038303021569</t>
  </si>
  <si>
    <t>Tĩnh Gia</t>
  </si>
  <si>
    <t>Tiểu khu I, Phường Tĩnh Gia, tỉnh Thanh Hóa</t>
  </si>
  <si>
    <t>0398013208</t>
  </si>
  <si>
    <t>ĐH Văn hóa, Thể thao và Du lịch</t>
  </si>
  <si>
    <t>038191035487</t>
  </si>
  <si>
    <t>Hợp Tiến</t>
  </si>
  <si>
    <t>Thôn 3, Hợp Tiến, Thanh Hóa</t>
  </si>
  <si>
    <t>0978913504</t>
  </si>
  <si>
    <t>038188017518</t>
  </si>
  <si>
    <t>SN 19/656 phố Tân Phong, Triệu Sơn, Thanh Hóa</t>
  </si>
  <si>
    <t>0946126559</t>
  </si>
  <si>
    <t>ĐH Sư phạm Hà nội 2</t>
  </si>
  <si>
    <t>038303021695</t>
  </si>
  <si>
    <t>Thôn Đồng Tâm, phường Tĩnh Gia, tỉnh Thanh Hóa</t>
  </si>
  <si>
    <t>0368200169</t>
  </si>
  <si>
    <t>THPT Chu Văn An</t>
  </si>
  <si>
    <t>038307007385</t>
  </si>
  <si>
    <t>Quyảng Châu, Sầm Sơn, Thanh Hóa</t>
  </si>
  <si>
    <t>0862468964</t>
  </si>
  <si>
    <t>THPT Hậu Lộc 2</t>
  </si>
  <si>
    <t>038305003988</t>
  </si>
  <si>
    <t>0387537324</t>
  </si>
  <si>
    <t>CĐ Phát thanh, truyền hình 1</t>
  </si>
  <si>
    <t>038188049345</t>
  </si>
  <si>
    <t>Phú Yên, Yên Định, Thanh Hóa</t>
  </si>
  <si>
    <t>0978122462</t>
  </si>
  <si>
    <t xml:space="preserve">Giáo dục </t>
  </si>
  <si>
    <t>258901P311</t>
  </si>
  <si>
    <t>258900D331</t>
  </si>
  <si>
    <t>258900D332</t>
  </si>
  <si>
    <t>258900D333</t>
  </si>
  <si>
    <t>258900P432</t>
  </si>
  <si>
    <t>258900P433</t>
  </si>
  <si>
    <t>258702D375</t>
  </si>
  <si>
    <t>258702D376</t>
  </si>
  <si>
    <t>258702D377</t>
  </si>
  <si>
    <t>258801C302</t>
  </si>
  <si>
    <t xml:space="preserve">Vũ Văn </t>
  </si>
  <si>
    <t>Cảnh</t>
  </si>
  <si>
    <t>QLNN</t>
  </si>
  <si>
    <t>ĐH KD&amp;CN HN</t>
  </si>
  <si>
    <t>038090020705</t>
  </si>
  <si>
    <t>XÃ</t>
  </si>
  <si>
    <t>Lĩnh Toại</t>
  </si>
  <si>
    <t>Thái Bình, Lĩnh Toại, Thanh Hóa</t>
  </si>
  <si>
    <t>257103D316</t>
  </si>
  <si>
    <t>Tạ Khánh</t>
  </si>
  <si>
    <t>20/11/2000</t>
  </si>
  <si>
    <t>038300006842</t>
  </si>
  <si>
    <t>Hoằng Sơn</t>
  </si>
  <si>
    <t>Ba Đình, Hoàng Sơn, Thanh Hóa</t>
  </si>
  <si>
    <t>0377815488</t>
  </si>
  <si>
    <t>Duẩn</t>
  </si>
  <si>
    <t>24/12/1981</t>
  </si>
  <si>
    <t>Chỉ huy tham mưu lục quân</t>
  </si>
  <si>
    <t>Sỹ quan lục quân 1</t>
  </si>
  <si>
    <t>038081023082</t>
  </si>
  <si>
    <t>Dã Tượng, Hạc Thành, Thanh Hóa</t>
  </si>
  <si>
    <t>0915135838</t>
  </si>
  <si>
    <t>258900P434</t>
  </si>
  <si>
    <t>258801D323</t>
  </si>
  <si>
    <t>Bỏ</t>
  </si>
  <si>
    <t>Đã nộp tiền</t>
  </si>
  <si>
    <t xml:space="preserve">Đinh Văn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</si>
</sst>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1">
    <xf numFmtId="0" fontId="0" fillId="0" borderId="0" xfId="0"/>
    <xf numFmtId="0" fontId="6" fillId="0" borderId="0" xfId="0" applyFont="1"/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0" fillId="0" borderId="0" xfId="0" applyFont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0" fontId="1" fillId="0" borderId="5" xfId="0" applyFont="1" applyFill="1" applyBorder="1"/>
    <xf numFmtId="0" fontId="13" fillId="0" borderId="5" xfId="0" applyFont="1" applyFill="1" applyBorder="1" applyAlignment="1">
      <alignment horizontal="center" vertical="center"/>
    </xf>
    <xf numFmtId="49" fontId="13" fillId="0" borderId="5" xfId="1" applyNumberFormat="1" applyFont="1" applyFill="1" applyBorder="1" applyAlignment="1">
      <alignment horizontal="center" vertical="center" wrapText="1"/>
    </xf>
    <xf numFmtId="49" fontId="13" fillId="0" borderId="5" xfId="1" applyNumberFormat="1" applyFont="1" applyFill="1" applyBorder="1" applyAlignment="1">
      <alignment horizontal="left" vertical="center" wrapText="1"/>
    </xf>
    <xf numFmtId="49" fontId="13" fillId="0" borderId="5" xfId="1" applyNumberFormat="1" applyFont="1" applyFill="1" applyBorder="1" applyAlignment="1">
      <alignment vertical="center" wrapText="1"/>
    </xf>
    <xf numFmtId="2" fontId="13" fillId="0" borderId="5" xfId="1" applyNumberFormat="1" applyFont="1" applyFill="1" applyBorder="1" applyAlignment="1">
      <alignment horizontal="center" vertical="center" wrapText="1"/>
    </xf>
    <xf numFmtId="49" fontId="13" fillId="0" borderId="8" xfId="1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49" fontId="1" fillId="0" borderId="5" xfId="1" applyNumberFormat="1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center"/>
    </xf>
    <xf numFmtId="0" fontId="1" fillId="0" borderId="8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1" xfId="1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49" fontId="13" fillId="0" borderId="0" xfId="1" applyNumberFormat="1" applyFont="1" applyFill="1" applyAlignment="1">
      <alignment horizontal="center" vertical="center" wrapText="1"/>
    </xf>
    <xf numFmtId="2" fontId="13" fillId="0" borderId="0" xfId="1" applyNumberFormat="1" applyFont="1" applyFill="1" applyAlignment="1">
      <alignment horizontal="center" vertical="center" wrapText="1"/>
    </xf>
    <xf numFmtId="49" fontId="1" fillId="0" borderId="5" xfId="1" applyNumberFormat="1" applyFont="1" applyFill="1" applyBorder="1" applyAlignment="1">
      <alignment vertical="center" wrapText="1"/>
    </xf>
    <xf numFmtId="49" fontId="1" fillId="0" borderId="5" xfId="1" applyNumberFormat="1" applyFont="1" applyFill="1" applyBorder="1" applyAlignment="1">
      <alignment horizontal="left" vertical="center" wrapText="1"/>
    </xf>
    <xf numFmtId="49" fontId="1" fillId="0" borderId="5" xfId="1" quotePrefix="1" applyNumberFormat="1" applyFont="1" applyFill="1" applyBorder="1" applyAlignment="1">
      <alignment horizontal="center" vertical="center" wrapText="1"/>
    </xf>
    <xf numFmtId="49" fontId="1" fillId="0" borderId="8" xfId="1" applyNumberFormat="1" applyFont="1" applyFill="1" applyBorder="1" applyAlignment="1">
      <alignment horizontal="center" vertical="center" wrapText="1"/>
    </xf>
    <xf numFmtId="0" fontId="1" fillId="0" borderId="4" xfId="0" applyFont="1" applyFill="1" applyBorder="1"/>
    <xf numFmtId="14" fontId="1" fillId="0" borderId="5" xfId="0" applyNumberFormat="1" applyFont="1" applyFill="1" applyBorder="1"/>
    <xf numFmtId="49" fontId="1" fillId="0" borderId="5" xfId="0" quotePrefix="1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top"/>
    </xf>
    <xf numFmtId="49" fontId="1" fillId="0" borderId="4" xfId="1" applyNumberFormat="1" applyFont="1" applyFill="1" applyBorder="1" applyAlignment="1">
      <alignment horizontal="center" vertical="center" wrapText="1"/>
    </xf>
    <xf numFmtId="0" fontId="1" fillId="0" borderId="5" xfId="0" quotePrefix="1" applyFont="1" applyFill="1" applyBorder="1" applyAlignment="1">
      <alignment horizontal="center" vertical="center"/>
    </xf>
    <xf numFmtId="14" fontId="1" fillId="0" borderId="0" xfId="0" applyNumberFormat="1" applyFont="1" applyFill="1"/>
    <xf numFmtId="0" fontId="1" fillId="0" borderId="5" xfId="0" applyFont="1" applyFill="1" applyBorder="1" applyAlignment="1">
      <alignment vertical="center" wrapText="1"/>
    </xf>
    <xf numFmtId="2" fontId="1" fillId="0" borderId="5" xfId="0" applyNumberFormat="1" applyFont="1" applyFill="1" applyBorder="1" applyAlignment="1">
      <alignment horizontal="center" vertical="center"/>
    </xf>
    <xf numFmtId="0" fontId="1" fillId="0" borderId="8" xfId="0" applyFont="1" applyFill="1" applyBorder="1"/>
    <xf numFmtId="0" fontId="1" fillId="0" borderId="1" xfId="0" applyFont="1" applyFill="1" applyBorder="1"/>
    <xf numFmtId="0" fontId="1" fillId="0" borderId="0" xfId="0" quotePrefix="1" applyFont="1" applyFill="1" applyAlignment="1">
      <alignment horizontal="left"/>
    </xf>
    <xf numFmtId="0" fontId="1" fillId="0" borderId="5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11" xfId="0" applyFont="1" applyFill="1" applyBorder="1"/>
    <xf numFmtId="0" fontId="1" fillId="0" borderId="11" xfId="0" applyFont="1" applyFill="1" applyBorder="1" applyAlignment="1">
      <alignment horizontal="left"/>
    </xf>
    <xf numFmtId="0" fontId="1" fillId="0" borderId="11" xfId="0" quotePrefix="1" applyFont="1" applyFill="1" applyBorder="1" applyAlignment="1">
      <alignment horizontal="center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5" xfId="0" quotePrefix="1" applyFont="1" applyFill="1" applyBorder="1"/>
    <xf numFmtId="0" fontId="1" fillId="0" borderId="5" xfId="0" applyFont="1" applyFill="1" applyBorder="1" applyAlignment="1">
      <alignment horizontal="center" wrapText="1"/>
    </xf>
    <xf numFmtId="4" fontId="1" fillId="0" borderId="5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 vertical="center"/>
    </xf>
    <xf numFmtId="0" fontId="1" fillId="0" borderId="8" xfId="0" quotePrefix="1" applyFont="1" applyFill="1" applyBorder="1" applyAlignment="1">
      <alignment horizontal="center"/>
    </xf>
    <xf numFmtId="14" fontId="1" fillId="0" borderId="5" xfId="0" applyNumberFormat="1" applyFont="1" applyFill="1" applyBorder="1" applyAlignment="1">
      <alignment horizontal="center"/>
    </xf>
    <xf numFmtId="0" fontId="1" fillId="0" borderId="5" xfId="1" applyFont="1" applyFill="1" applyBorder="1" applyAlignment="1">
      <alignment horizontal="center"/>
    </xf>
    <xf numFmtId="49" fontId="1" fillId="0" borderId="1" xfId="1" quotePrefix="1" applyNumberFormat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5" xfId="1" applyFont="1" applyFill="1" applyBorder="1" applyAlignment="1">
      <alignment horizontal="center" vertical="center"/>
    </xf>
    <xf numFmtId="0" fontId="1" fillId="0" borderId="5" xfId="0" quotePrefix="1" applyFont="1" applyFill="1" applyBorder="1" applyAlignment="1">
      <alignment horizontal="left"/>
    </xf>
    <xf numFmtId="49" fontId="1" fillId="0" borderId="0" xfId="1" quotePrefix="1" applyNumberFormat="1" applyFont="1" applyFill="1" applyAlignment="1">
      <alignment horizontal="center" vertical="center" wrapText="1"/>
    </xf>
    <xf numFmtId="49" fontId="1" fillId="0" borderId="0" xfId="1" applyNumberFormat="1" applyFont="1" applyFill="1" applyAlignment="1">
      <alignment horizontal="center" vertical="center" wrapText="1"/>
    </xf>
    <xf numFmtId="0" fontId="1" fillId="0" borderId="5" xfId="0" applyFont="1" applyFill="1" applyBorder="1" applyAlignment="1">
      <alignment horizontal="left" vertical="top"/>
    </xf>
    <xf numFmtId="2" fontId="1" fillId="0" borderId="1" xfId="0" applyNumberFormat="1" applyFont="1" applyFill="1" applyBorder="1" applyAlignment="1">
      <alignment horizontal="center"/>
    </xf>
    <xf numFmtId="14" fontId="1" fillId="0" borderId="5" xfId="0" quotePrefix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49" fontId="1" fillId="0" borderId="9" xfId="1" applyNumberFormat="1" applyFont="1" applyFill="1" applyBorder="1" applyAlignment="1">
      <alignment horizontal="center" vertical="center" wrapText="1"/>
    </xf>
    <xf numFmtId="0" fontId="1" fillId="0" borderId="9" xfId="0" quotePrefix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9" xfId="0" applyFont="1" applyFill="1" applyBorder="1"/>
    <xf numFmtId="164" fontId="1" fillId="0" borderId="5" xfId="0" applyNumberFormat="1" applyFont="1" applyFill="1" applyBorder="1" applyAlignment="1">
      <alignment horizontal="center"/>
    </xf>
    <xf numFmtId="0" fontId="1" fillId="0" borderId="4" xfId="0" quotePrefix="1" applyFont="1" applyFill="1" applyBorder="1" applyAlignment="1">
      <alignment horizontal="center"/>
    </xf>
    <xf numFmtId="14" fontId="1" fillId="0" borderId="5" xfId="0" quotePrefix="1" applyNumberFormat="1" applyFont="1" applyFill="1" applyBorder="1" applyAlignment="1">
      <alignment horizontal="center"/>
    </xf>
    <xf numFmtId="0" fontId="1" fillId="0" borderId="2" xfId="0" applyFont="1" applyFill="1" applyBorder="1"/>
    <xf numFmtId="0" fontId="1" fillId="0" borderId="5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center"/>
    </xf>
    <xf numFmtId="0" fontId="1" fillId="0" borderId="10" xfId="0" applyFont="1" applyFill="1" applyBorder="1"/>
    <xf numFmtId="0" fontId="1" fillId="0" borderId="0" xfId="0" quotePrefix="1" applyFont="1" applyFill="1" applyAlignment="1">
      <alignment horizontal="center"/>
    </xf>
    <xf numFmtId="49" fontId="1" fillId="0" borderId="4" xfId="0" quotePrefix="1" applyNumberFormat="1" applyFont="1" applyFill="1" applyBorder="1" applyAlignment="1">
      <alignment horizontal="center"/>
    </xf>
    <xf numFmtId="49" fontId="1" fillId="0" borderId="1" xfId="0" quotePrefix="1" applyNumberFormat="1" applyFont="1" applyFill="1" applyBorder="1" applyAlignment="1">
      <alignment horizontal="center"/>
    </xf>
    <xf numFmtId="49" fontId="1" fillId="0" borderId="0" xfId="1" applyNumberFormat="1" applyFont="1" applyFill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0" xfId="0" quotePrefix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49" fontId="1" fillId="0" borderId="10" xfId="1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49" fontId="1" fillId="0" borderId="12" xfId="1" applyNumberFormat="1" applyFont="1" applyFill="1" applyBorder="1" applyAlignment="1">
      <alignment horizontal="center" vertical="center" wrapText="1"/>
    </xf>
    <xf numFmtId="0" fontId="1" fillId="0" borderId="12" xfId="0" quotePrefix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49" fontId="1" fillId="0" borderId="11" xfId="1" applyNumberFormat="1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1" fillId="0" borderId="14" xfId="0" quotePrefix="1" applyFont="1" applyFill="1" applyBorder="1" applyAlignment="1">
      <alignment horizontal="center"/>
    </xf>
    <xf numFmtId="0" fontId="1" fillId="0" borderId="11" xfId="0" quotePrefix="1" applyFont="1" applyFill="1" applyBorder="1" applyAlignment="1">
      <alignment horizontal="center" vertical="center"/>
    </xf>
    <xf numFmtId="49" fontId="1" fillId="0" borderId="11" xfId="1" quotePrefix="1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1" fillId="0" borderId="0" xfId="1" applyFont="1" applyFill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5" xfId="1" applyFont="1" applyFill="1" applyBorder="1" applyAlignment="1">
      <alignment horizontal="center" vertical="center" wrapText="1"/>
    </xf>
    <xf numFmtId="49" fontId="1" fillId="0" borderId="2" xfId="1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/>
    </xf>
    <xf numFmtId="0" fontId="1" fillId="0" borderId="11" xfId="0" quotePrefix="1" applyFont="1" applyFill="1" applyBorder="1" applyAlignment="1">
      <alignment horizontal="left"/>
    </xf>
    <xf numFmtId="2" fontId="1" fillId="0" borderId="0" xfId="0" applyNumberFormat="1" applyFont="1" applyFill="1" applyAlignment="1">
      <alignment horizontal="left" vertical="center"/>
    </xf>
    <xf numFmtId="0" fontId="1" fillId="0" borderId="5" xfId="2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16" fontId="1" fillId="0" borderId="5" xfId="0" applyNumberFormat="1" applyFont="1" applyFill="1" applyBorder="1" applyAlignment="1">
      <alignment horizontal="center" vertical="center"/>
    </xf>
    <xf numFmtId="17" fontId="1" fillId="0" borderId="5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1" fillId="0" borderId="8" xfId="1" quotePrefix="1" applyNumberFormat="1" applyFont="1" applyFill="1" applyBorder="1" applyAlignment="1">
      <alignment horizontal="center" vertical="center" wrapText="1"/>
    </xf>
    <xf numFmtId="0" fontId="1" fillId="0" borderId="8" xfId="0" quotePrefix="1" applyFont="1" applyFill="1" applyBorder="1" applyAlignment="1">
      <alignment horizontal="center" vertical="center"/>
    </xf>
    <xf numFmtId="49" fontId="1" fillId="0" borderId="4" xfId="1" quotePrefix="1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/>
    </xf>
    <xf numFmtId="0" fontId="1" fillId="0" borderId="7" xfId="0" quotePrefix="1" applyFont="1" applyFill="1" applyBorder="1" applyAlignment="1">
      <alignment horizontal="center"/>
    </xf>
    <xf numFmtId="49" fontId="1" fillId="0" borderId="10" xfId="1" quotePrefix="1" applyNumberFormat="1" applyFont="1" applyFill="1" applyBorder="1" applyAlignment="1">
      <alignment horizontal="center" vertical="center" wrapText="1"/>
    </xf>
    <xf numFmtId="0" fontId="1" fillId="0" borderId="0" xfId="0" quotePrefix="1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356708</xdr:colOff>
      <xdr:row>42</xdr:row>
      <xdr:rowOff>38100</xdr:rowOff>
    </xdr:from>
    <xdr:to>
      <xdr:col>2</xdr:col>
      <xdr:colOff>1236183</xdr:colOff>
      <xdr:row>42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8D35F3F9-224B-4F29-BDF5-A04E919C01D8}"/>
            </a:ext>
          </a:extLst>
        </xdr:cNvPr>
        <xdr:cNvCxnSpPr/>
      </xdr:nvCxnSpPr>
      <xdr:spPr>
        <a:xfrm>
          <a:off x="1604483" y="4051935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42</xdr:row>
      <xdr:rowOff>44160</xdr:rowOff>
    </xdr:from>
    <xdr:to>
      <xdr:col>26</xdr:col>
      <xdr:colOff>294408</xdr:colOff>
      <xdr:row>42</xdr:row>
      <xdr:rowOff>44160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5736E1A0-C516-4D1B-AD4B-AD4CC5A2BB53}"/>
            </a:ext>
          </a:extLst>
        </xdr:cNvPr>
        <xdr:cNvCxnSpPr/>
      </xdr:nvCxnSpPr>
      <xdr:spPr>
        <a:xfrm>
          <a:off x="10754846" y="4052541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107</xdr:row>
      <xdr:rowOff>38100</xdr:rowOff>
    </xdr:from>
    <xdr:to>
      <xdr:col>2</xdr:col>
      <xdr:colOff>1236183</xdr:colOff>
      <xdr:row>107</xdr:row>
      <xdr:rowOff>38100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999AB0A7-AC99-47FA-8217-166B2CD2434D}"/>
            </a:ext>
          </a:extLst>
        </xdr:cNvPr>
        <xdr:cNvCxnSpPr/>
      </xdr:nvCxnSpPr>
      <xdr:spPr>
        <a:xfrm>
          <a:off x="1604483" y="9077325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107</xdr:row>
      <xdr:rowOff>44160</xdr:rowOff>
    </xdr:from>
    <xdr:to>
      <xdr:col>26</xdr:col>
      <xdr:colOff>294408</xdr:colOff>
      <xdr:row>107</xdr:row>
      <xdr:rowOff>44160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23C24383-D49B-45C5-8BA3-3B32339C726B}"/>
            </a:ext>
          </a:extLst>
        </xdr:cNvPr>
        <xdr:cNvCxnSpPr/>
      </xdr:nvCxnSpPr>
      <xdr:spPr>
        <a:xfrm>
          <a:off x="10754846" y="9077931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114</xdr:row>
      <xdr:rowOff>38100</xdr:rowOff>
    </xdr:from>
    <xdr:to>
      <xdr:col>2</xdr:col>
      <xdr:colOff>1236183</xdr:colOff>
      <xdr:row>114</xdr:row>
      <xdr:rowOff>38100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ABE1FCA1-84D4-4F49-A4D6-938A7776C46A}"/>
            </a:ext>
          </a:extLst>
        </xdr:cNvPr>
        <xdr:cNvCxnSpPr/>
      </xdr:nvCxnSpPr>
      <xdr:spPr>
        <a:xfrm>
          <a:off x="1604483" y="112537875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122</xdr:row>
      <xdr:rowOff>38100</xdr:rowOff>
    </xdr:from>
    <xdr:to>
      <xdr:col>2</xdr:col>
      <xdr:colOff>1236183</xdr:colOff>
      <xdr:row>122</xdr:row>
      <xdr:rowOff>38100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604483" y="12426315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122</xdr:row>
      <xdr:rowOff>44160</xdr:rowOff>
    </xdr:from>
    <xdr:to>
      <xdr:col>26</xdr:col>
      <xdr:colOff>294408</xdr:colOff>
      <xdr:row>122</xdr:row>
      <xdr:rowOff>44160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33C7DCB6-F159-40E3-B324-12CB80B76DCF}"/>
            </a:ext>
          </a:extLst>
        </xdr:cNvPr>
        <xdr:cNvCxnSpPr/>
      </xdr:nvCxnSpPr>
      <xdr:spPr>
        <a:xfrm>
          <a:off x="10754846" y="12426921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200</xdr:row>
      <xdr:rowOff>38100</xdr:rowOff>
    </xdr:from>
    <xdr:to>
      <xdr:col>2</xdr:col>
      <xdr:colOff>1236183</xdr:colOff>
      <xdr:row>200</xdr:row>
      <xdr:rowOff>38100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2EA7D91-BA78-4DE4-8E4C-44E1E2911055}"/>
            </a:ext>
          </a:extLst>
        </xdr:cNvPr>
        <xdr:cNvCxnSpPr/>
      </xdr:nvCxnSpPr>
      <xdr:spPr>
        <a:xfrm>
          <a:off x="1604483" y="14190345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200</xdr:row>
      <xdr:rowOff>44160</xdr:rowOff>
    </xdr:from>
    <xdr:to>
      <xdr:col>26</xdr:col>
      <xdr:colOff>294408</xdr:colOff>
      <xdr:row>200</xdr:row>
      <xdr:rowOff>44160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FB715251-162C-4146-B0AA-2A7A6C51ED8A}"/>
            </a:ext>
          </a:extLst>
        </xdr:cNvPr>
        <xdr:cNvCxnSpPr/>
      </xdr:nvCxnSpPr>
      <xdr:spPr>
        <a:xfrm>
          <a:off x="10754846" y="14190951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206</xdr:row>
      <xdr:rowOff>38100</xdr:rowOff>
    </xdr:from>
    <xdr:to>
      <xdr:col>2</xdr:col>
      <xdr:colOff>1236183</xdr:colOff>
      <xdr:row>206</xdr:row>
      <xdr:rowOff>38100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9926EFFD-F869-421C-87E4-26F507ADA246}"/>
            </a:ext>
          </a:extLst>
        </xdr:cNvPr>
        <xdr:cNvCxnSpPr/>
      </xdr:nvCxnSpPr>
      <xdr:spPr>
        <a:xfrm>
          <a:off x="1604483" y="147456525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206</xdr:row>
      <xdr:rowOff>44160</xdr:rowOff>
    </xdr:from>
    <xdr:to>
      <xdr:col>26</xdr:col>
      <xdr:colOff>294408</xdr:colOff>
      <xdr:row>206</xdr:row>
      <xdr:rowOff>44160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F247BAAD-844B-4F9D-AEFC-AE579798CDFA}"/>
            </a:ext>
          </a:extLst>
        </xdr:cNvPr>
        <xdr:cNvCxnSpPr/>
      </xdr:nvCxnSpPr>
      <xdr:spPr>
        <a:xfrm>
          <a:off x="10754846" y="147462585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221</xdr:row>
      <xdr:rowOff>38100</xdr:rowOff>
    </xdr:from>
    <xdr:to>
      <xdr:col>2</xdr:col>
      <xdr:colOff>1236183</xdr:colOff>
      <xdr:row>221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DF0718C4-3C81-4B32-8BD3-2508A122E38A}"/>
            </a:ext>
          </a:extLst>
        </xdr:cNvPr>
        <xdr:cNvCxnSpPr/>
      </xdr:nvCxnSpPr>
      <xdr:spPr>
        <a:xfrm>
          <a:off x="1604483" y="15449550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221</xdr:row>
      <xdr:rowOff>44160</xdr:rowOff>
    </xdr:from>
    <xdr:to>
      <xdr:col>26</xdr:col>
      <xdr:colOff>294408</xdr:colOff>
      <xdr:row>221</xdr:row>
      <xdr:rowOff>44160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B84DBA29-B515-477F-9BC7-95091ED9C87F}"/>
            </a:ext>
          </a:extLst>
        </xdr:cNvPr>
        <xdr:cNvCxnSpPr/>
      </xdr:nvCxnSpPr>
      <xdr:spPr>
        <a:xfrm>
          <a:off x="10754846" y="15450156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248</xdr:row>
      <xdr:rowOff>38100</xdr:rowOff>
    </xdr:from>
    <xdr:to>
      <xdr:col>2</xdr:col>
      <xdr:colOff>1236183</xdr:colOff>
      <xdr:row>248</xdr:row>
      <xdr:rowOff>38100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FAA41BCA-EED5-4BAD-8B44-ACE18E83A15A}"/>
            </a:ext>
          </a:extLst>
        </xdr:cNvPr>
        <xdr:cNvCxnSpPr/>
      </xdr:nvCxnSpPr>
      <xdr:spPr>
        <a:xfrm>
          <a:off x="1604483" y="16365855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248</xdr:row>
      <xdr:rowOff>44160</xdr:rowOff>
    </xdr:from>
    <xdr:to>
      <xdr:col>26</xdr:col>
      <xdr:colOff>294408</xdr:colOff>
      <xdr:row>248</xdr:row>
      <xdr:rowOff>44160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FBBC46F1-1DB0-4B89-A782-972BC13C3464}"/>
            </a:ext>
          </a:extLst>
        </xdr:cNvPr>
        <xdr:cNvCxnSpPr/>
      </xdr:nvCxnSpPr>
      <xdr:spPr>
        <a:xfrm>
          <a:off x="10754846" y="16366461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278</xdr:row>
      <xdr:rowOff>38100</xdr:rowOff>
    </xdr:from>
    <xdr:to>
      <xdr:col>2</xdr:col>
      <xdr:colOff>1236183</xdr:colOff>
      <xdr:row>278</xdr:row>
      <xdr:rowOff>38100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77091870-6C91-45FE-B8C4-546DC9FF0E7E}"/>
            </a:ext>
          </a:extLst>
        </xdr:cNvPr>
        <xdr:cNvCxnSpPr/>
      </xdr:nvCxnSpPr>
      <xdr:spPr>
        <a:xfrm>
          <a:off x="1604483" y="173221650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278</xdr:row>
      <xdr:rowOff>44160</xdr:rowOff>
    </xdr:from>
    <xdr:to>
      <xdr:col>26</xdr:col>
      <xdr:colOff>294408</xdr:colOff>
      <xdr:row>278</xdr:row>
      <xdr:rowOff>44160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B9CB4541-E74B-4FCD-A23C-FB262A22585B}"/>
            </a:ext>
          </a:extLst>
        </xdr:cNvPr>
        <xdr:cNvCxnSpPr/>
      </xdr:nvCxnSpPr>
      <xdr:spPr>
        <a:xfrm>
          <a:off x="10754846" y="173227710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298</xdr:row>
      <xdr:rowOff>38100</xdr:rowOff>
    </xdr:from>
    <xdr:to>
      <xdr:col>2</xdr:col>
      <xdr:colOff>1236183</xdr:colOff>
      <xdr:row>298</xdr:row>
      <xdr:rowOff>38100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E2FA37B6-1BB1-4B12-A5BE-B0B83159EF5B}"/>
            </a:ext>
          </a:extLst>
        </xdr:cNvPr>
        <xdr:cNvCxnSpPr/>
      </xdr:nvCxnSpPr>
      <xdr:spPr>
        <a:xfrm>
          <a:off x="1604483" y="181384575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298</xdr:row>
      <xdr:rowOff>44160</xdr:rowOff>
    </xdr:from>
    <xdr:to>
      <xdr:col>26</xdr:col>
      <xdr:colOff>294408</xdr:colOff>
      <xdr:row>298</xdr:row>
      <xdr:rowOff>44160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8961F368-B420-426D-90B2-FC345724E170}"/>
            </a:ext>
          </a:extLst>
        </xdr:cNvPr>
        <xdr:cNvCxnSpPr/>
      </xdr:nvCxnSpPr>
      <xdr:spPr>
        <a:xfrm>
          <a:off x="10754846" y="181390635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305</xdr:row>
      <xdr:rowOff>38100</xdr:rowOff>
    </xdr:from>
    <xdr:to>
      <xdr:col>2</xdr:col>
      <xdr:colOff>1236183</xdr:colOff>
      <xdr:row>305</xdr:row>
      <xdr:rowOff>38100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8A4F515C-6932-4E68-A7A4-0F7B80F4D55B}"/>
            </a:ext>
          </a:extLst>
        </xdr:cNvPr>
        <xdr:cNvCxnSpPr/>
      </xdr:nvCxnSpPr>
      <xdr:spPr>
        <a:xfrm>
          <a:off x="1604483" y="187347225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305</xdr:row>
      <xdr:rowOff>44160</xdr:rowOff>
    </xdr:from>
    <xdr:to>
      <xdr:col>26</xdr:col>
      <xdr:colOff>294408</xdr:colOff>
      <xdr:row>305</xdr:row>
      <xdr:rowOff>44160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88A35074-A3F8-40D8-B09C-E8DF0953919E}"/>
            </a:ext>
          </a:extLst>
        </xdr:cNvPr>
        <xdr:cNvCxnSpPr/>
      </xdr:nvCxnSpPr>
      <xdr:spPr>
        <a:xfrm>
          <a:off x="10754846" y="187353285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317</xdr:row>
      <xdr:rowOff>38100</xdr:rowOff>
    </xdr:from>
    <xdr:to>
      <xdr:col>2</xdr:col>
      <xdr:colOff>1236183</xdr:colOff>
      <xdr:row>317</xdr:row>
      <xdr:rowOff>38100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55A9148D-4D67-44E0-B900-31AC2201E87A}"/>
            </a:ext>
          </a:extLst>
        </xdr:cNvPr>
        <xdr:cNvCxnSpPr/>
      </xdr:nvCxnSpPr>
      <xdr:spPr>
        <a:xfrm>
          <a:off x="1604483" y="194109975"/>
          <a:ext cx="879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324971</xdr:colOff>
      <xdr:row>317</xdr:row>
      <xdr:rowOff>44160</xdr:rowOff>
    </xdr:from>
    <xdr:to>
      <xdr:col>26</xdr:col>
      <xdr:colOff>294408</xdr:colOff>
      <xdr:row>317</xdr:row>
      <xdr:rowOff>44160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9BCC8392-B87A-4DDF-830A-C127394A4E71}"/>
            </a:ext>
          </a:extLst>
        </xdr:cNvPr>
        <xdr:cNvCxnSpPr/>
      </xdr:nvCxnSpPr>
      <xdr:spPr>
        <a:xfrm>
          <a:off x="10754846" y="194116035"/>
          <a:ext cx="19220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124</xdr:row>
      <xdr:rowOff>38100</xdr:rowOff>
    </xdr:from>
    <xdr:to>
      <xdr:col>2</xdr:col>
      <xdr:colOff>1236183</xdr:colOff>
      <xdr:row>124</xdr:row>
      <xdr:rowOff>38100</xdr:rowOff>
    </xdr:to>
    <xdr:cxnSp macro="">
      <xdr:nvCxnSpPr>
        <xdr:cNvPr id="84" name="Straight Connector 83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126</xdr:row>
      <xdr:rowOff>38100</xdr:rowOff>
    </xdr:from>
    <xdr:to>
      <xdr:col>2</xdr:col>
      <xdr:colOff>1236183</xdr:colOff>
      <xdr:row>126</xdr:row>
      <xdr:rowOff>38100</xdr:rowOff>
    </xdr:to>
    <xdr:cxnSp macro="">
      <xdr:nvCxnSpPr>
        <xdr:cNvPr id="85" name="Straight Connector 84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128</xdr:row>
      <xdr:rowOff>38100</xdr:rowOff>
    </xdr:from>
    <xdr:to>
      <xdr:col>2</xdr:col>
      <xdr:colOff>1236183</xdr:colOff>
      <xdr:row>128</xdr:row>
      <xdr:rowOff>38100</xdr:rowOff>
    </xdr:to>
    <xdr:cxnSp macro="">
      <xdr:nvCxnSpPr>
        <xdr:cNvPr id="86" name="Straight Connector 85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130</xdr:row>
      <xdr:rowOff>38100</xdr:rowOff>
    </xdr:from>
    <xdr:to>
      <xdr:col>2</xdr:col>
      <xdr:colOff>1236183</xdr:colOff>
      <xdr:row>130</xdr:row>
      <xdr:rowOff>38100</xdr:rowOff>
    </xdr:to>
    <xdr:cxnSp macro="">
      <xdr:nvCxnSpPr>
        <xdr:cNvPr id="87" name="Straight Connector 86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132</xdr:row>
      <xdr:rowOff>38100</xdr:rowOff>
    </xdr:from>
    <xdr:to>
      <xdr:col>2</xdr:col>
      <xdr:colOff>1236183</xdr:colOff>
      <xdr:row>132</xdr:row>
      <xdr:rowOff>38100</xdr:rowOff>
    </xdr:to>
    <xdr:cxnSp macro="">
      <xdr:nvCxnSpPr>
        <xdr:cNvPr id="88" name="Straight Connector 87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134</xdr:row>
      <xdr:rowOff>38100</xdr:rowOff>
    </xdr:from>
    <xdr:to>
      <xdr:col>2</xdr:col>
      <xdr:colOff>1236183</xdr:colOff>
      <xdr:row>134</xdr:row>
      <xdr:rowOff>38100</xdr:rowOff>
    </xdr:to>
    <xdr:cxnSp macro="">
      <xdr:nvCxnSpPr>
        <xdr:cNvPr id="89" name="Straight Connector 88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136</xdr:row>
      <xdr:rowOff>38100</xdr:rowOff>
    </xdr:from>
    <xdr:to>
      <xdr:col>2</xdr:col>
      <xdr:colOff>1236183</xdr:colOff>
      <xdr:row>136</xdr:row>
      <xdr:rowOff>38100</xdr:rowOff>
    </xdr:to>
    <xdr:cxnSp macro="">
      <xdr:nvCxnSpPr>
        <xdr:cNvPr id="90" name="Straight Connector 89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138</xdr:row>
      <xdr:rowOff>38100</xdr:rowOff>
    </xdr:from>
    <xdr:to>
      <xdr:col>2</xdr:col>
      <xdr:colOff>1236183</xdr:colOff>
      <xdr:row>138</xdr:row>
      <xdr:rowOff>38100</xdr:rowOff>
    </xdr:to>
    <xdr:cxnSp macro="">
      <xdr:nvCxnSpPr>
        <xdr:cNvPr id="91" name="Straight Connector 90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140</xdr:row>
      <xdr:rowOff>38100</xdr:rowOff>
    </xdr:from>
    <xdr:to>
      <xdr:col>2</xdr:col>
      <xdr:colOff>1236183</xdr:colOff>
      <xdr:row>140</xdr:row>
      <xdr:rowOff>38100</xdr:rowOff>
    </xdr:to>
    <xdr:cxnSp macro="">
      <xdr:nvCxnSpPr>
        <xdr:cNvPr id="92" name="Straight Connector 91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142</xdr:row>
      <xdr:rowOff>38100</xdr:rowOff>
    </xdr:from>
    <xdr:to>
      <xdr:col>2</xdr:col>
      <xdr:colOff>1236183</xdr:colOff>
      <xdr:row>142</xdr:row>
      <xdr:rowOff>38100</xdr:rowOff>
    </xdr:to>
    <xdr:cxnSp macro="">
      <xdr:nvCxnSpPr>
        <xdr:cNvPr id="93" name="Straight Connector 92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144</xdr:row>
      <xdr:rowOff>38100</xdr:rowOff>
    </xdr:from>
    <xdr:to>
      <xdr:col>2</xdr:col>
      <xdr:colOff>1236183</xdr:colOff>
      <xdr:row>144</xdr:row>
      <xdr:rowOff>38100</xdr:rowOff>
    </xdr:to>
    <xdr:cxnSp macro="">
      <xdr:nvCxnSpPr>
        <xdr:cNvPr id="94" name="Straight Connector 93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146</xdr:row>
      <xdr:rowOff>38100</xdr:rowOff>
    </xdr:from>
    <xdr:to>
      <xdr:col>2</xdr:col>
      <xdr:colOff>1236183</xdr:colOff>
      <xdr:row>146</xdr:row>
      <xdr:rowOff>38100</xdr:rowOff>
    </xdr:to>
    <xdr:cxnSp macro="">
      <xdr:nvCxnSpPr>
        <xdr:cNvPr id="95" name="Straight Connector 94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148</xdr:row>
      <xdr:rowOff>38100</xdr:rowOff>
    </xdr:from>
    <xdr:to>
      <xdr:col>2</xdr:col>
      <xdr:colOff>1236183</xdr:colOff>
      <xdr:row>148</xdr:row>
      <xdr:rowOff>38100</xdr:rowOff>
    </xdr:to>
    <xdr:cxnSp macro="">
      <xdr:nvCxnSpPr>
        <xdr:cNvPr id="96" name="Straight Connector 95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149</xdr:row>
      <xdr:rowOff>38100</xdr:rowOff>
    </xdr:from>
    <xdr:to>
      <xdr:col>2</xdr:col>
      <xdr:colOff>1236183</xdr:colOff>
      <xdr:row>149</xdr:row>
      <xdr:rowOff>38100</xdr:rowOff>
    </xdr:to>
    <xdr:cxnSp macro="">
      <xdr:nvCxnSpPr>
        <xdr:cNvPr id="97" name="Straight Connector 96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151</xdr:row>
      <xdr:rowOff>38100</xdr:rowOff>
    </xdr:from>
    <xdr:to>
      <xdr:col>2</xdr:col>
      <xdr:colOff>1236183</xdr:colOff>
      <xdr:row>151</xdr:row>
      <xdr:rowOff>38100</xdr:rowOff>
    </xdr:to>
    <xdr:cxnSp macro="">
      <xdr:nvCxnSpPr>
        <xdr:cNvPr id="98" name="Straight Connector 97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153</xdr:row>
      <xdr:rowOff>38100</xdr:rowOff>
    </xdr:from>
    <xdr:to>
      <xdr:col>2</xdr:col>
      <xdr:colOff>1236183</xdr:colOff>
      <xdr:row>153</xdr:row>
      <xdr:rowOff>38100</xdr:rowOff>
    </xdr:to>
    <xdr:cxnSp macro="">
      <xdr:nvCxnSpPr>
        <xdr:cNvPr id="99" name="Straight Connector 98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155</xdr:row>
      <xdr:rowOff>38100</xdr:rowOff>
    </xdr:from>
    <xdr:to>
      <xdr:col>2</xdr:col>
      <xdr:colOff>1236183</xdr:colOff>
      <xdr:row>155</xdr:row>
      <xdr:rowOff>38100</xdr:rowOff>
    </xdr:to>
    <xdr:cxnSp macro="">
      <xdr:nvCxnSpPr>
        <xdr:cNvPr id="100" name="Straight Connector 99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157</xdr:row>
      <xdr:rowOff>38100</xdr:rowOff>
    </xdr:from>
    <xdr:to>
      <xdr:col>2</xdr:col>
      <xdr:colOff>1236183</xdr:colOff>
      <xdr:row>157</xdr:row>
      <xdr:rowOff>38100</xdr:rowOff>
    </xdr:to>
    <xdr:cxnSp macro="">
      <xdr:nvCxnSpPr>
        <xdr:cNvPr id="101" name="Straight Connector 100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159</xdr:row>
      <xdr:rowOff>38100</xdr:rowOff>
    </xdr:from>
    <xdr:to>
      <xdr:col>2</xdr:col>
      <xdr:colOff>1236183</xdr:colOff>
      <xdr:row>159</xdr:row>
      <xdr:rowOff>38100</xdr:rowOff>
    </xdr:to>
    <xdr:cxnSp macro="">
      <xdr:nvCxnSpPr>
        <xdr:cNvPr id="102" name="Straight Connector 101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161</xdr:row>
      <xdr:rowOff>38100</xdr:rowOff>
    </xdr:from>
    <xdr:to>
      <xdr:col>2</xdr:col>
      <xdr:colOff>1236183</xdr:colOff>
      <xdr:row>161</xdr:row>
      <xdr:rowOff>38100</xdr:rowOff>
    </xdr:to>
    <xdr:cxnSp macro="">
      <xdr:nvCxnSpPr>
        <xdr:cNvPr id="103" name="Straight Connector 102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163</xdr:row>
      <xdr:rowOff>38100</xdr:rowOff>
    </xdr:from>
    <xdr:to>
      <xdr:col>2</xdr:col>
      <xdr:colOff>1236183</xdr:colOff>
      <xdr:row>163</xdr:row>
      <xdr:rowOff>38100</xdr:rowOff>
    </xdr:to>
    <xdr:cxnSp macro="">
      <xdr:nvCxnSpPr>
        <xdr:cNvPr id="104" name="Straight Connector 103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165</xdr:row>
      <xdr:rowOff>38100</xdr:rowOff>
    </xdr:from>
    <xdr:to>
      <xdr:col>2</xdr:col>
      <xdr:colOff>1236183</xdr:colOff>
      <xdr:row>165</xdr:row>
      <xdr:rowOff>38100</xdr:rowOff>
    </xdr:to>
    <xdr:cxnSp macro="">
      <xdr:nvCxnSpPr>
        <xdr:cNvPr id="105" name="Straight Connector 104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167</xdr:row>
      <xdr:rowOff>38100</xdr:rowOff>
    </xdr:from>
    <xdr:to>
      <xdr:col>2</xdr:col>
      <xdr:colOff>1236183</xdr:colOff>
      <xdr:row>167</xdr:row>
      <xdr:rowOff>38100</xdr:rowOff>
    </xdr:to>
    <xdr:cxnSp macro="">
      <xdr:nvCxnSpPr>
        <xdr:cNvPr id="106" name="Straight Connector 105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169</xdr:row>
      <xdr:rowOff>38100</xdr:rowOff>
    </xdr:from>
    <xdr:to>
      <xdr:col>2</xdr:col>
      <xdr:colOff>1236183</xdr:colOff>
      <xdr:row>169</xdr:row>
      <xdr:rowOff>38100</xdr:rowOff>
    </xdr:to>
    <xdr:cxnSp macro="">
      <xdr:nvCxnSpPr>
        <xdr:cNvPr id="107" name="Straight Connector 106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171</xdr:row>
      <xdr:rowOff>38100</xdr:rowOff>
    </xdr:from>
    <xdr:to>
      <xdr:col>2</xdr:col>
      <xdr:colOff>1236183</xdr:colOff>
      <xdr:row>171</xdr:row>
      <xdr:rowOff>38100</xdr:rowOff>
    </xdr:to>
    <xdr:cxnSp macro="">
      <xdr:nvCxnSpPr>
        <xdr:cNvPr id="108" name="Straight Connector 107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173</xdr:row>
      <xdr:rowOff>38100</xdr:rowOff>
    </xdr:from>
    <xdr:to>
      <xdr:col>2</xdr:col>
      <xdr:colOff>1236183</xdr:colOff>
      <xdr:row>173</xdr:row>
      <xdr:rowOff>38100</xdr:rowOff>
    </xdr:to>
    <xdr:cxnSp macro="">
      <xdr:nvCxnSpPr>
        <xdr:cNvPr id="109" name="Straight Connector 108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175</xdr:row>
      <xdr:rowOff>38100</xdr:rowOff>
    </xdr:from>
    <xdr:to>
      <xdr:col>2</xdr:col>
      <xdr:colOff>1236183</xdr:colOff>
      <xdr:row>175</xdr:row>
      <xdr:rowOff>38100</xdr:rowOff>
    </xdr:to>
    <xdr:cxnSp macro="">
      <xdr:nvCxnSpPr>
        <xdr:cNvPr id="110" name="Straight Connector 109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177</xdr:row>
      <xdr:rowOff>38100</xdr:rowOff>
    </xdr:from>
    <xdr:to>
      <xdr:col>2</xdr:col>
      <xdr:colOff>1236183</xdr:colOff>
      <xdr:row>177</xdr:row>
      <xdr:rowOff>38100</xdr:rowOff>
    </xdr:to>
    <xdr:cxnSp macro="">
      <xdr:nvCxnSpPr>
        <xdr:cNvPr id="111" name="Straight Connector 110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179</xdr:row>
      <xdr:rowOff>38100</xdr:rowOff>
    </xdr:from>
    <xdr:to>
      <xdr:col>2</xdr:col>
      <xdr:colOff>1236183</xdr:colOff>
      <xdr:row>179</xdr:row>
      <xdr:rowOff>38100</xdr:rowOff>
    </xdr:to>
    <xdr:cxnSp macro="">
      <xdr:nvCxnSpPr>
        <xdr:cNvPr id="112" name="Straight Connector 111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181</xdr:row>
      <xdr:rowOff>38100</xdr:rowOff>
    </xdr:from>
    <xdr:to>
      <xdr:col>2</xdr:col>
      <xdr:colOff>1236183</xdr:colOff>
      <xdr:row>181</xdr:row>
      <xdr:rowOff>38100</xdr:rowOff>
    </xdr:to>
    <xdr:cxnSp macro="">
      <xdr:nvCxnSpPr>
        <xdr:cNvPr id="113" name="Straight Connector 112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356708</xdr:colOff>
      <xdr:row>183</xdr:row>
      <xdr:rowOff>38100</xdr:rowOff>
    </xdr:from>
    <xdr:to>
      <xdr:col>2</xdr:col>
      <xdr:colOff>1236183</xdr:colOff>
      <xdr:row>183</xdr:row>
      <xdr:rowOff>38100</xdr:rowOff>
    </xdr:to>
    <xdr:cxnSp macro="">
      <xdr:nvCxnSpPr>
        <xdr:cNvPr id="114" name="Straight Connector 113">
          <a:extLst>
            <a:ext uri="{FF2B5EF4-FFF2-40B4-BE49-F238E27FC236}">
              <a16:creationId xmlns="" xmlns:a16="http://schemas.microsoft.com/office/drawing/2014/main" id="{D865E4C8-51CD-4C07-8810-8C5458E6143C}"/>
            </a:ext>
          </a:extLst>
        </xdr:cNvPr>
        <xdr:cNvCxnSpPr/>
      </xdr:nvCxnSpPr>
      <xdr:spPr>
        <a:xfrm>
          <a:off x="1013933" y="82505550"/>
          <a:ext cx="6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</xdr:row>
      <xdr:rowOff>19050</xdr:rowOff>
    </xdr:from>
    <xdr:to>
      <xdr:col>3</xdr:col>
      <xdr:colOff>342900</xdr:colOff>
      <xdr:row>2</xdr:row>
      <xdr:rowOff>19050</xdr:rowOff>
    </xdr:to>
    <xdr:cxnSp macro="">
      <xdr:nvCxnSpPr>
        <xdr:cNvPr id="5" name="Straight Connector 4"/>
        <xdr:cNvCxnSpPr/>
      </xdr:nvCxnSpPr>
      <xdr:spPr>
        <a:xfrm>
          <a:off x="904875" y="45720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</xdr:row>
      <xdr:rowOff>19050</xdr:rowOff>
    </xdr:from>
    <xdr:to>
      <xdr:col>6</xdr:col>
      <xdr:colOff>628650</xdr:colOff>
      <xdr:row>2</xdr:row>
      <xdr:rowOff>19050</xdr:rowOff>
    </xdr:to>
    <xdr:cxnSp macro="">
      <xdr:nvCxnSpPr>
        <xdr:cNvPr id="6" name="Straight Connector 5"/>
        <xdr:cNvCxnSpPr/>
      </xdr:nvCxnSpPr>
      <xdr:spPr>
        <a:xfrm>
          <a:off x="4324350" y="45720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34"/>
  <sheetViews>
    <sheetView tabSelected="1" workbookViewId="0">
      <pane ySplit="1" topLeftCell="A322" activePane="bottomLeft" state="frozen"/>
      <selection activeCell="C1" sqref="C1"/>
      <selection pane="bottomLeft" activeCell="B2" sqref="B2:B334"/>
    </sheetView>
  </sheetViews>
  <sheetFormatPr defaultRowHeight="15.75" x14ac:dyDescent="0.25"/>
  <cols>
    <col min="1" max="1" width="14" style="18" customWidth="1"/>
    <col min="2" max="2" width="5.85546875" style="17" customWidth="1"/>
    <col min="3" max="3" width="6.42578125" style="17" customWidth="1"/>
    <col min="4" max="4" width="9.5703125" style="17" customWidth="1"/>
    <col min="5" max="5" width="8.7109375" style="17" customWidth="1"/>
    <col min="6" max="6" width="6.85546875" style="19" customWidth="1"/>
    <col min="7" max="7" width="16" style="19" customWidth="1"/>
    <col min="8" max="8" width="15.28515625" style="19" customWidth="1"/>
    <col min="9" max="10" width="14.42578125" style="19" customWidth="1"/>
    <col min="11" max="11" width="20.7109375" style="18" customWidth="1"/>
    <col min="12" max="12" width="9" style="20" customWidth="1"/>
    <col min="13" max="13" width="12.7109375" style="21" customWidth="1"/>
    <col min="14" max="14" width="5.7109375" style="19" customWidth="1"/>
    <col min="15" max="15" width="5.85546875" style="19" hidden="1" customWidth="1"/>
    <col min="16" max="17" width="8.7109375" style="19" customWidth="1"/>
    <col min="18" max="18" width="29.5703125" style="22" customWidth="1"/>
    <col min="19" max="19" width="17.5703125" style="22" customWidth="1"/>
    <col min="20" max="20" width="31" style="18" customWidth="1"/>
    <col min="21" max="21" width="7.42578125" style="17" customWidth="1"/>
    <col min="22" max="22" width="7.140625" style="19" customWidth="1"/>
    <col min="23" max="23" width="9.140625" style="23" customWidth="1"/>
    <col min="24" max="24" width="9.42578125" style="24" customWidth="1"/>
    <col min="25" max="25" width="6.28515625" style="17" customWidth="1"/>
    <col min="26" max="26" width="6.42578125" style="24" customWidth="1"/>
    <col min="27" max="27" width="19.140625" style="17" customWidth="1"/>
    <col min="28" max="28" width="8.140625" style="17" customWidth="1"/>
    <col min="29" max="29" width="11.28515625" style="18" customWidth="1"/>
    <col min="30" max="30" width="25.28515625" style="19" customWidth="1"/>
    <col min="31" max="31" width="9.42578125" style="19" customWidth="1"/>
    <col min="32" max="32" width="9.85546875" style="19" customWidth="1"/>
    <col min="33" max="33" width="15.85546875" style="18" customWidth="1"/>
    <col min="34" max="34" width="15.85546875" style="19" customWidth="1"/>
    <col min="35" max="35" width="53.85546875" style="17" customWidth="1"/>
    <col min="36" max="36" width="11.28515625" style="17" customWidth="1"/>
    <col min="37" max="37" width="26" style="18" customWidth="1"/>
    <col min="38" max="38" width="18.140625" style="17" customWidth="1"/>
    <col min="39" max="39" width="18.42578125" style="17" customWidth="1"/>
    <col min="40" max="40" width="15.42578125" style="17" customWidth="1"/>
    <col min="41" max="41" width="14.28515625" style="17" customWidth="1"/>
    <col min="42" max="42" width="40.5703125" style="17" customWidth="1"/>
    <col min="43" max="43" width="20.5703125" style="17" customWidth="1"/>
    <col min="44" max="44" width="16.42578125" style="18" customWidth="1"/>
    <col min="45" max="45" width="16.85546875" style="18" customWidth="1"/>
    <col min="46" max="46" width="17.140625" style="17" customWidth="1"/>
    <col min="47" max="47" width="8" style="17" customWidth="1"/>
    <col min="48" max="48" width="16" style="17" customWidth="1"/>
    <col min="49" max="49" width="16.42578125" style="18" customWidth="1"/>
    <col min="50" max="50" width="9" style="18" customWidth="1"/>
    <col min="51" max="51" width="16.28515625" style="18" customWidth="1"/>
    <col min="52" max="52" width="9" style="18" customWidth="1"/>
    <col min="53" max="54" width="9" style="18"/>
    <col min="55" max="55" width="12.7109375" style="19" customWidth="1"/>
    <col min="56" max="62" width="9" style="18"/>
    <col min="63" max="63" width="12.5703125" style="18" customWidth="1"/>
    <col min="64" max="64" width="22.85546875" style="18" customWidth="1"/>
    <col min="65" max="65" width="8.7109375" style="18" customWidth="1"/>
    <col min="66" max="66" width="19.7109375" style="17" customWidth="1"/>
    <col min="67" max="67" width="9.42578125" style="17" customWidth="1"/>
    <col min="68" max="68" width="9" style="18"/>
    <col min="69" max="69" width="10.85546875" style="18" customWidth="1"/>
    <col min="70" max="70" width="9.85546875" style="18" customWidth="1"/>
    <col min="71" max="71" width="9.140625" style="18"/>
    <col min="72" max="265" width="9" style="18"/>
    <col min="266" max="266" width="4" style="18" customWidth="1"/>
    <col min="267" max="267" width="5.85546875" style="18" customWidth="1"/>
    <col min="268" max="268" width="6.42578125" style="18" customWidth="1"/>
    <col min="269" max="269" width="20.28515625" style="18" customWidth="1"/>
    <col min="270" max="270" width="7.42578125" style="18" customWidth="1"/>
    <col min="271" max="271" width="12.7109375" style="18" customWidth="1"/>
    <col min="272" max="272" width="5.85546875" style="18" customWidth="1"/>
    <col min="273" max="273" width="8.7109375" style="18" customWidth="1"/>
    <col min="274" max="274" width="25.5703125" style="18" customWidth="1"/>
    <col min="275" max="275" width="6" style="18" customWidth="1"/>
    <col min="276" max="276" width="7.42578125" style="18" customWidth="1"/>
    <col min="277" max="277" width="7.140625" style="18" customWidth="1"/>
    <col min="278" max="278" width="7" style="18" customWidth="1"/>
    <col min="279" max="279" width="6" style="18" customWidth="1"/>
    <col min="280" max="280" width="6.28515625" style="18" customWidth="1"/>
    <col min="281" max="281" width="6.42578125" style="18" customWidth="1"/>
    <col min="282" max="282" width="19.140625" style="18" customWidth="1"/>
    <col min="283" max="283" width="8.140625" style="18" customWidth="1"/>
    <col min="284" max="284" width="8.7109375" style="18" customWidth="1"/>
    <col min="285" max="285" width="11.28515625" style="18" customWidth="1"/>
    <col min="286" max="286" width="22.85546875" style="18" customWidth="1"/>
    <col min="287" max="287" width="9.42578125" style="18" customWidth="1"/>
    <col min="288" max="288" width="9.85546875" style="18" customWidth="1"/>
    <col min="289" max="290" width="15.85546875" style="18" customWidth="1"/>
    <col min="291" max="291" width="15" style="18" customWidth="1"/>
    <col min="292" max="292" width="23.28515625" style="18" customWidth="1"/>
    <col min="293" max="293" width="26.42578125" style="18" customWidth="1"/>
    <col min="294" max="294" width="11.28515625" style="18" customWidth="1"/>
    <col min="295" max="295" width="19.5703125" style="18" customWidth="1"/>
    <col min="296" max="296" width="14.42578125" style="18" customWidth="1"/>
    <col min="297" max="297" width="18.42578125" style="18" customWidth="1"/>
    <col min="298" max="298" width="10.28515625" style="18" customWidth="1"/>
    <col min="299" max="299" width="36.42578125" style="18" customWidth="1"/>
    <col min="300" max="300" width="20.5703125" style="18" customWidth="1"/>
    <col min="301" max="301" width="16.42578125" style="18" customWidth="1"/>
    <col min="302" max="302" width="14.5703125" style="18" customWidth="1"/>
    <col min="303" max="303" width="10" style="18" customWidth="1"/>
    <col min="304" max="304" width="8" style="18" customWidth="1"/>
    <col min="305" max="305" width="16" style="18" customWidth="1"/>
    <col min="306" max="306" width="16.42578125" style="18" customWidth="1"/>
    <col min="307" max="307" width="9" style="18"/>
    <col min="308" max="308" width="16.28515625" style="18" customWidth="1"/>
    <col min="309" max="318" width="9" style="18"/>
    <col min="319" max="319" width="12.5703125" style="18" customWidth="1"/>
    <col min="320" max="320" width="22.85546875" style="18" customWidth="1"/>
    <col min="321" max="321" width="8.7109375" style="18" customWidth="1"/>
    <col min="322" max="322" width="19.7109375" style="18" customWidth="1"/>
    <col min="323" max="323" width="9.42578125" style="18" customWidth="1"/>
    <col min="324" max="324" width="9" style="18"/>
    <col min="325" max="325" width="10.85546875" style="18" customWidth="1"/>
    <col min="326" max="326" width="9.85546875" style="18" customWidth="1"/>
    <col min="327" max="521" width="9" style="18"/>
    <col min="522" max="522" width="4" style="18" customWidth="1"/>
    <col min="523" max="523" width="5.85546875" style="18" customWidth="1"/>
    <col min="524" max="524" width="6.42578125" style="18" customWidth="1"/>
    <col min="525" max="525" width="20.28515625" style="18" customWidth="1"/>
    <col min="526" max="526" width="7.42578125" style="18" customWidth="1"/>
    <col min="527" max="527" width="12.7109375" style="18" customWidth="1"/>
    <col min="528" max="528" width="5.85546875" style="18" customWidth="1"/>
    <col min="529" max="529" width="8.7109375" style="18" customWidth="1"/>
    <col min="530" max="530" width="25.5703125" style="18" customWidth="1"/>
    <col min="531" max="531" width="6" style="18" customWidth="1"/>
    <col min="532" max="532" width="7.42578125" style="18" customWidth="1"/>
    <col min="533" max="533" width="7.140625" style="18" customWidth="1"/>
    <col min="534" max="534" width="7" style="18" customWidth="1"/>
    <col min="535" max="535" width="6" style="18" customWidth="1"/>
    <col min="536" max="536" width="6.28515625" style="18" customWidth="1"/>
    <col min="537" max="537" width="6.42578125" style="18" customWidth="1"/>
    <col min="538" max="538" width="19.140625" style="18" customWidth="1"/>
    <col min="539" max="539" width="8.140625" style="18" customWidth="1"/>
    <col min="540" max="540" width="8.7109375" style="18" customWidth="1"/>
    <col min="541" max="541" width="11.28515625" style="18" customWidth="1"/>
    <col min="542" max="542" width="22.85546875" style="18" customWidth="1"/>
    <col min="543" max="543" width="9.42578125" style="18" customWidth="1"/>
    <col min="544" max="544" width="9.85546875" style="18" customWidth="1"/>
    <col min="545" max="546" width="15.85546875" style="18" customWidth="1"/>
    <col min="547" max="547" width="15" style="18" customWidth="1"/>
    <col min="548" max="548" width="23.28515625" style="18" customWidth="1"/>
    <col min="549" max="549" width="26.42578125" style="18" customWidth="1"/>
    <col min="550" max="550" width="11.28515625" style="18" customWidth="1"/>
    <col min="551" max="551" width="19.5703125" style="18" customWidth="1"/>
    <col min="552" max="552" width="14.42578125" style="18" customWidth="1"/>
    <col min="553" max="553" width="18.42578125" style="18" customWidth="1"/>
    <col min="554" max="554" width="10.28515625" style="18" customWidth="1"/>
    <col min="555" max="555" width="36.42578125" style="18" customWidth="1"/>
    <col min="556" max="556" width="20.5703125" style="18" customWidth="1"/>
    <col min="557" max="557" width="16.42578125" style="18" customWidth="1"/>
    <col min="558" max="558" width="14.5703125" style="18" customWidth="1"/>
    <col min="559" max="559" width="10" style="18" customWidth="1"/>
    <col min="560" max="560" width="8" style="18" customWidth="1"/>
    <col min="561" max="561" width="16" style="18" customWidth="1"/>
    <col min="562" max="562" width="16.42578125" style="18" customWidth="1"/>
    <col min="563" max="563" width="9" style="18"/>
    <col min="564" max="564" width="16.28515625" style="18" customWidth="1"/>
    <col min="565" max="574" width="9" style="18"/>
    <col min="575" max="575" width="12.5703125" style="18" customWidth="1"/>
    <col min="576" max="576" width="22.85546875" style="18" customWidth="1"/>
    <col min="577" max="577" width="8.7109375" style="18" customWidth="1"/>
    <col min="578" max="578" width="19.7109375" style="18" customWidth="1"/>
    <col min="579" max="579" width="9.42578125" style="18" customWidth="1"/>
    <col min="580" max="580" width="9" style="18"/>
    <col min="581" max="581" width="10.85546875" style="18" customWidth="1"/>
    <col min="582" max="582" width="9.85546875" style="18" customWidth="1"/>
    <col min="583" max="777" width="9" style="18"/>
    <col min="778" max="778" width="4" style="18" customWidth="1"/>
    <col min="779" max="779" width="5.85546875" style="18" customWidth="1"/>
    <col min="780" max="780" width="6.42578125" style="18" customWidth="1"/>
    <col min="781" max="781" width="20.28515625" style="18" customWidth="1"/>
    <col min="782" max="782" width="7.42578125" style="18" customWidth="1"/>
    <col min="783" max="783" width="12.7109375" style="18" customWidth="1"/>
    <col min="784" max="784" width="5.85546875" style="18" customWidth="1"/>
    <col min="785" max="785" width="8.7109375" style="18" customWidth="1"/>
    <col min="786" max="786" width="25.5703125" style="18" customWidth="1"/>
    <col min="787" max="787" width="6" style="18" customWidth="1"/>
    <col min="788" max="788" width="7.42578125" style="18" customWidth="1"/>
    <col min="789" max="789" width="7.140625" style="18" customWidth="1"/>
    <col min="790" max="790" width="7" style="18" customWidth="1"/>
    <col min="791" max="791" width="6" style="18" customWidth="1"/>
    <col min="792" max="792" width="6.28515625" style="18" customWidth="1"/>
    <col min="793" max="793" width="6.42578125" style="18" customWidth="1"/>
    <col min="794" max="794" width="19.140625" style="18" customWidth="1"/>
    <col min="795" max="795" width="8.140625" style="18" customWidth="1"/>
    <col min="796" max="796" width="8.7109375" style="18" customWidth="1"/>
    <col min="797" max="797" width="11.28515625" style="18" customWidth="1"/>
    <col min="798" max="798" width="22.85546875" style="18" customWidth="1"/>
    <col min="799" max="799" width="9.42578125" style="18" customWidth="1"/>
    <col min="800" max="800" width="9.85546875" style="18" customWidth="1"/>
    <col min="801" max="802" width="15.85546875" style="18" customWidth="1"/>
    <col min="803" max="803" width="15" style="18" customWidth="1"/>
    <col min="804" max="804" width="23.28515625" style="18" customWidth="1"/>
    <col min="805" max="805" width="26.42578125" style="18" customWidth="1"/>
    <col min="806" max="806" width="11.28515625" style="18" customWidth="1"/>
    <col min="807" max="807" width="19.5703125" style="18" customWidth="1"/>
    <col min="808" max="808" width="14.42578125" style="18" customWidth="1"/>
    <col min="809" max="809" width="18.42578125" style="18" customWidth="1"/>
    <col min="810" max="810" width="10.28515625" style="18" customWidth="1"/>
    <col min="811" max="811" width="36.42578125" style="18" customWidth="1"/>
    <col min="812" max="812" width="20.5703125" style="18" customWidth="1"/>
    <col min="813" max="813" width="16.42578125" style="18" customWidth="1"/>
    <col min="814" max="814" width="14.5703125" style="18" customWidth="1"/>
    <col min="815" max="815" width="10" style="18" customWidth="1"/>
    <col min="816" max="816" width="8" style="18" customWidth="1"/>
    <col min="817" max="817" width="16" style="18" customWidth="1"/>
    <col min="818" max="818" width="16.42578125" style="18" customWidth="1"/>
    <col min="819" max="819" width="9" style="18"/>
    <col min="820" max="820" width="16.28515625" style="18" customWidth="1"/>
    <col min="821" max="830" width="9" style="18"/>
    <col min="831" max="831" width="12.5703125" style="18" customWidth="1"/>
    <col min="832" max="832" width="22.85546875" style="18" customWidth="1"/>
    <col min="833" max="833" width="8.7109375" style="18" customWidth="1"/>
    <col min="834" max="834" width="19.7109375" style="18" customWidth="1"/>
    <col min="835" max="835" width="9.42578125" style="18" customWidth="1"/>
    <col min="836" max="836" width="9" style="18"/>
    <col min="837" max="837" width="10.85546875" style="18" customWidth="1"/>
    <col min="838" max="838" width="9.85546875" style="18" customWidth="1"/>
    <col min="839" max="1033" width="9" style="18"/>
    <col min="1034" max="1034" width="4" style="18" customWidth="1"/>
    <col min="1035" max="1035" width="5.85546875" style="18" customWidth="1"/>
    <col min="1036" max="1036" width="6.42578125" style="18" customWidth="1"/>
    <col min="1037" max="1037" width="20.28515625" style="18" customWidth="1"/>
    <col min="1038" max="1038" width="7.42578125" style="18" customWidth="1"/>
    <col min="1039" max="1039" width="12.7109375" style="18" customWidth="1"/>
    <col min="1040" max="1040" width="5.85546875" style="18" customWidth="1"/>
    <col min="1041" max="1041" width="8.7109375" style="18" customWidth="1"/>
    <col min="1042" max="1042" width="25.5703125" style="18" customWidth="1"/>
    <col min="1043" max="1043" width="6" style="18" customWidth="1"/>
    <col min="1044" max="1044" width="7.42578125" style="18" customWidth="1"/>
    <col min="1045" max="1045" width="7.140625" style="18" customWidth="1"/>
    <col min="1046" max="1046" width="7" style="18" customWidth="1"/>
    <col min="1047" max="1047" width="6" style="18" customWidth="1"/>
    <col min="1048" max="1048" width="6.28515625" style="18" customWidth="1"/>
    <col min="1049" max="1049" width="6.42578125" style="18" customWidth="1"/>
    <col min="1050" max="1050" width="19.140625" style="18" customWidth="1"/>
    <col min="1051" max="1051" width="8.140625" style="18" customWidth="1"/>
    <col min="1052" max="1052" width="8.7109375" style="18" customWidth="1"/>
    <col min="1053" max="1053" width="11.28515625" style="18" customWidth="1"/>
    <col min="1054" max="1054" width="22.85546875" style="18" customWidth="1"/>
    <col min="1055" max="1055" width="9.42578125" style="18" customWidth="1"/>
    <col min="1056" max="1056" width="9.85546875" style="18" customWidth="1"/>
    <col min="1057" max="1058" width="15.85546875" style="18" customWidth="1"/>
    <col min="1059" max="1059" width="15" style="18" customWidth="1"/>
    <col min="1060" max="1060" width="23.28515625" style="18" customWidth="1"/>
    <col min="1061" max="1061" width="26.42578125" style="18" customWidth="1"/>
    <col min="1062" max="1062" width="11.28515625" style="18" customWidth="1"/>
    <col min="1063" max="1063" width="19.5703125" style="18" customWidth="1"/>
    <col min="1064" max="1064" width="14.42578125" style="18" customWidth="1"/>
    <col min="1065" max="1065" width="18.42578125" style="18" customWidth="1"/>
    <col min="1066" max="1066" width="10.28515625" style="18" customWidth="1"/>
    <col min="1067" max="1067" width="36.42578125" style="18" customWidth="1"/>
    <col min="1068" max="1068" width="20.5703125" style="18" customWidth="1"/>
    <col min="1069" max="1069" width="16.42578125" style="18" customWidth="1"/>
    <col min="1070" max="1070" width="14.5703125" style="18" customWidth="1"/>
    <col min="1071" max="1071" width="10" style="18" customWidth="1"/>
    <col min="1072" max="1072" width="8" style="18" customWidth="1"/>
    <col min="1073" max="1073" width="16" style="18" customWidth="1"/>
    <col min="1074" max="1074" width="16.42578125" style="18" customWidth="1"/>
    <col min="1075" max="1075" width="9" style="18"/>
    <col min="1076" max="1076" width="16.28515625" style="18" customWidth="1"/>
    <col min="1077" max="1086" width="9" style="18"/>
    <col min="1087" max="1087" width="12.5703125" style="18" customWidth="1"/>
    <col min="1088" max="1088" width="22.85546875" style="18" customWidth="1"/>
    <col min="1089" max="1089" width="8.7109375" style="18" customWidth="1"/>
    <col min="1090" max="1090" width="19.7109375" style="18" customWidth="1"/>
    <col min="1091" max="1091" width="9.42578125" style="18" customWidth="1"/>
    <col min="1092" max="1092" width="9" style="18"/>
    <col min="1093" max="1093" width="10.85546875" style="18" customWidth="1"/>
    <col min="1094" max="1094" width="9.85546875" style="18" customWidth="1"/>
    <col min="1095" max="1289" width="9" style="18"/>
    <col min="1290" max="1290" width="4" style="18" customWidth="1"/>
    <col min="1291" max="1291" width="5.85546875" style="18" customWidth="1"/>
    <col min="1292" max="1292" width="6.42578125" style="18" customWidth="1"/>
    <col min="1293" max="1293" width="20.28515625" style="18" customWidth="1"/>
    <col min="1294" max="1294" width="7.42578125" style="18" customWidth="1"/>
    <col min="1295" max="1295" width="12.7109375" style="18" customWidth="1"/>
    <col min="1296" max="1296" width="5.85546875" style="18" customWidth="1"/>
    <col min="1297" max="1297" width="8.7109375" style="18" customWidth="1"/>
    <col min="1298" max="1298" width="25.5703125" style="18" customWidth="1"/>
    <col min="1299" max="1299" width="6" style="18" customWidth="1"/>
    <col min="1300" max="1300" width="7.42578125" style="18" customWidth="1"/>
    <col min="1301" max="1301" width="7.140625" style="18" customWidth="1"/>
    <col min="1302" max="1302" width="7" style="18" customWidth="1"/>
    <col min="1303" max="1303" width="6" style="18" customWidth="1"/>
    <col min="1304" max="1304" width="6.28515625" style="18" customWidth="1"/>
    <col min="1305" max="1305" width="6.42578125" style="18" customWidth="1"/>
    <col min="1306" max="1306" width="19.140625" style="18" customWidth="1"/>
    <col min="1307" max="1307" width="8.140625" style="18" customWidth="1"/>
    <col min="1308" max="1308" width="8.7109375" style="18" customWidth="1"/>
    <col min="1309" max="1309" width="11.28515625" style="18" customWidth="1"/>
    <col min="1310" max="1310" width="22.85546875" style="18" customWidth="1"/>
    <col min="1311" max="1311" width="9.42578125" style="18" customWidth="1"/>
    <col min="1312" max="1312" width="9.85546875" style="18" customWidth="1"/>
    <col min="1313" max="1314" width="15.85546875" style="18" customWidth="1"/>
    <col min="1315" max="1315" width="15" style="18" customWidth="1"/>
    <col min="1316" max="1316" width="23.28515625" style="18" customWidth="1"/>
    <col min="1317" max="1317" width="26.42578125" style="18" customWidth="1"/>
    <col min="1318" max="1318" width="11.28515625" style="18" customWidth="1"/>
    <col min="1319" max="1319" width="19.5703125" style="18" customWidth="1"/>
    <col min="1320" max="1320" width="14.42578125" style="18" customWidth="1"/>
    <col min="1321" max="1321" width="18.42578125" style="18" customWidth="1"/>
    <col min="1322" max="1322" width="10.28515625" style="18" customWidth="1"/>
    <col min="1323" max="1323" width="36.42578125" style="18" customWidth="1"/>
    <col min="1324" max="1324" width="20.5703125" style="18" customWidth="1"/>
    <col min="1325" max="1325" width="16.42578125" style="18" customWidth="1"/>
    <col min="1326" max="1326" width="14.5703125" style="18" customWidth="1"/>
    <col min="1327" max="1327" width="10" style="18" customWidth="1"/>
    <col min="1328" max="1328" width="8" style="18" customWidth="1"/>
    <col min="1329" max="1329" width="16" style="18" customWidth="1"/>
    <col min="1330" max="1330" width="16.42578125" style="18" customWidth="1"/>
    <col min="1331" max="1331" width="9" style="18"/>
    <col min="1332" max="1332" width="16.28515625" style="18" customWidth="1"/>
    <col min="1333" max="1342" width="9" style="18"/>
    <col min="1343" max="1343" width="12.5703125" style="18" customWidth="1"/>
    <col min="1344" max="1344" width="22.85546875" style="18" customWidth="1"/>
    <col min="1345" max="1345" width="8.7109375" style="18" customWidth="1"/>
    <col min="1346" max="1346" width="19.7109375" style="18" customWidth="1"/>
    <col min="1347" max="1347" width="9.42578125" style="18" customWidth="1"/>
    <col min="1348" max="1348" width="9" style="18"/>
    <col min="1349" max="1349" width="10.85546875" style="18" customWidth="1"/>
    <col min="1350" max="1350" width="9.85546875" style="18" customWidth="1"/>
    <col min="1351" max="1545" width="9" style="18"/>
    <col min="1546" max="1546" width="4" style="18" customWidth="1"/>
    <col min="1547" max="1547" width="5.85546875" style="18" customWidth="1"/>
    <col min="1548" max="1548" width="6.42578125" style="18" customWidth="1"/>
    <col min="1549" max="1549" width="20.28515625" style="18" customWidth="1"/>
    <col min="1550" max="1550" width="7.42578125" style="18" customWidth="1"/>
    <col min="1551" max="1551" width="12.7109375" style="18" customWidth="1"/>
    <col min="1552" max="1552" width="5.85546875" style="18" customWidth="1"/>
    <col min="1553" max="1553" width="8.7109375" style="18" customWidth="1"/>
    <col min="1554" max="1554" width="25.5703125" style="18" customWidth="1"/>
    <col min="1555" max="1555" width="6" style="18" customWidth="1"/>
    <col min="1556" max="1556" width="7.42578125" style="18" customWidth="1"/>
    <col min="1557" max="1557" width="7.140625" style="18" customWidth="1"/>
    <col min="1558" max="1558" width="7" style="18" customWidth="1"/>
    <col min="1559" max="1559" width="6" style="18" customWidth="1"/>
    <col min="1560" max="1560" width="6.28515625" style="18" customWidth="1"/>
    <col min="1561" max="1561" width="6.42578125" style="18" customWidth="1"/>
    <col min="1562" max="1562" width="19.140625" style="18" customWidth="1"/>
    <col min="1563" max="1563" width="8.140625" style="18" customWidth="1"/>
    <col min="1564" max="1564" width="8.7109375" style="18" customWidth="1"/>
    <col min="1565" max="1565" width="11.28515625" style="18" customWidth="1"/>
    <col min="1566" max="1566" width="22.85546875" style="18" customWidth="1"/>
    <col min="1567" max="1567" width="9.42578125" style="18" customWidth="1"/>
    <col min="1568" max="1568" width="9.85546875" style="18" customWidth="1"/>
    <col min="1569" max="1570" width="15.85546875" style="18" customWidth="1"/>
    <col min="1571" max="1571" width="15" style="18" customWidth="1"/>
    <col min="1572" max="1572" width="23.28515625" style="18" customWidth="1"/>
    <col min="1573" max="1573" width="26.42578125" style="18" customWidth="1"/>
    <col min="1574" max="1574" width="11.28515625" style="18" customWidth="1"/>
    <col min="1575" max="1575" width="19.5703125" style="18" customWidth="1"/>
    <col min="1576" max="1576" width="14.42578125" style="18" customWidth="1"/>
    <col min="1577" max="1577" width="18.42578125" style="18" customWidth="1"/>
    <col min="1578" max="1578" width="10.28515625" style="18" customWidth="1"/>
    <col min="1579" max="1579" width="36.42578125" style="18" customWidth="1"/>
    <col min="1580" max="1580" width="20.5703125" style="18" customWidth="1"/>
    <col min="1581" max="1581" width="16.42578125" style="18" customWidth="1"/>
    <col min="1582" max="1582" width="14.5703125" style="18" customWidth="1"/>
    <col min="1583" max="1583" width="10" style="18" customWidth="1"/>
    <col min="1584" max="1584" width="8" style="18" customWidth="1"/>
    <col min="1585" max="1585" width="16" style="18" customWidth="1"/>
    <col min="1586" max="1586" width="16.42578125" style="18" customWidth="1"/>
    <col min="1587" max="1587" width="9" style="18"/>
    <col min="1588" max="1588" width="16.28515625" style="18" customWidth="1"/>
    <col min="1589" max="1598" width="9" style="18"/>
    <col min="1599" max="1599" width="12.5703125" style="18" customWidth="1"/>
    <col min="1600" max="1600" width="22.85546875" style="18" customWidth="1"/>
    <col min="1601" max="1601" width="8.7109375" style="18" customWidth="1"/>
    <col min="1602" max="1602" width="19.7109375" style="18" customWidth="1"/>
    <col min="1603" max="1603" width="9.42578125" style="18" customWidth="1"/>
    <col min="1604" max="1604" width="9" style="18"/>
    <col min="1605" max="1605" width="10.85546875" style="18" customWidth="1"/>
    <col min="1606" max="1606" width="9.85546875" style="18" customWidth="1"/>
    <col min="1607" max="1801" width="9" style="18"/>
    <col min="1802" max="1802" width="4" style="18" customWidth="1"/>
    <col min="1803" max="1803" width="5.85546875" style="18" customWidth="1"/>
    <col min="1804" max="1804" width="6.42578125" style="18" customWidth="1"/>
    <col min="1805" max="1805" width="20.28515625" style="18" customWidth="1"/>
    <col min="1806" max="1806" width="7.42578125" style="18" customWidth="1"/>
    <col min="1807" max="1807" width="12.7109375" style="18" customWidth="1"/>
    <col min="1808" max="1808" width="5.85546875" style="18" customWidth="1"/>
    <col min="1809" max="1809" width="8.7109375" style="18" customWidth="1"/>
    <col min="1810" max="1810" width="25.5703125" style="18" customWidth="1"/>
    <col min="1811" max="1811" width="6" style="18" customWidth="1"/>
    <col min="1812" max="1812" width="7.42578125" style="18" customWidth="1"/>
    <col min="1813" max="1813" width="7.140625" style="18" customWidth="1"/>
    <col min="1814" max="1814" width="7" style="18" customWidth="1"/>
    <col min="1815" max="1815" width="6" style="18" customWidth="1"/>
    <col min="1816" max="1816" width="6.28515625" style="18" customWidth="1"/>
    <col min="1817" max="1817" width="6.42578125" style="18" customWidth="1"/>
    <col min="1818" max="1818" width="19.140625" style="18" customWidth="1"/>
    <col min="1819" max="1819" width="8.140625" style="18" customWidth="1"/>
    <col min="1820" max="1820" width="8.7109375" style="18" customWidth="1"/>
    <col min="1821" max="1821" width="11.28515625" style="18" customWidth="1"/>
    <col min="1822" max="1822" width="22.85546875" style="18" customWidth="1"/>
    <col min="1823" max="1823" width="9.42578125" style="18" customWidth="1"/>
    <col min="1824" max="1824" width="9.85546875" style="18" customWidth="1"/>
    <col min="1825" max="1826" width="15.85546875" style="18" customWidth="1"/>
    <col min="1827" max="1827" width="15" style="18" customWidth="1"/>
    <col min="1828" max="1828" width="23.28515625" style="18" customWidth="1"/>
    <col min="1829" max="1829" width="26.42578125" style="18" customWidth="1"/>
    <col min="1830" max="1830" width="11.28515625" style="18" customWidth="1"/>
    <col min="1831" max="1831" width="19.5703125" style="18" customWidth="1"/>
    <col min="1832" max="1832" width="14.42578125" style="18" customWidth="1"/>
    <col min="1833" max="1833" width="18.42578125" style="18" customWidth="1"/>
    <col min="1834" max="1834" width="10.28515625" style="18" customWidth="1"/>
    <col min="1835" max="1835" width="36.42578125" style="18" customWidth="1"/>
    <col min="1836" max="1836" width="20.5703125" style="18" customWidth="1"/>
    <col min="1837" max="1837" width="16.42578125" style="18" customWidth="1"/>
    <col min="1838" max="1838" width="14.5703125" style="18" customWidth="1"/>
    <col min="1839" max="1839" width="10" style="18" customWidth="1"/>
    <col min="1840" max="1840" width="8" style="18" customWidth="1"/>
    <col min="1841" max="1841" width="16" style="18" customWidth="1"/>
    <col min="1842" max="1842" width="16.42578125" style="18" customWidth="1"/>
    <col min="1843" max="1843" width="9" style="18"/>
    <col min="1844" max="1844" width="16.28515625" style="18" customWidth="1"/>
    <col min="1845" max="1854" width="9" style="18"/>
    <col min="1855" max="1855" width="12.5703125" style="18" customWidth="1"/>
    <col min="1856" max="1856" width="22.85546875" style="18" customWidth="1"/>
    <col min="1857" max="1857" width="8.7109375" style="18" customWidth="1"/>
    <col min="1858" max="1858" width="19.7109375" style="18" customWidth="1"/>
    <col min="1859" max="1859" width="9.42578125" style="18" customWidth="1"/>
    <col min="1860" max="1860" width="9" style="18"/>
    <col min="1861" max="1861" width="10.85546875" style="18" customWidth="1"/>
    <col min="1862" max="1862" width="9.85546875" style="18" customWidth="1"/>
    <col min="1863" max="2057" width="9" style="18"/>
    <col min="2058" max="2058" width="4" style="18" customWidth="1"/>
    <col min="2059" max="2059" width="5.85546875" style="18" customWidth="1"/>
    <col min="2060" max="2060" width="6.42578125" style="18" customWidth="1"/>
    <col min="2061" max="2061" width="20.28515625" style="18" customWidth="1"/>
    <col min="2062" max="2062" width="7.42578125" style="18" customWidth="1"/>
    <col min="2063" max="2063" width="12.7109375" style="18" customWidth="1"/>
    <col min="2064" max="2064" width="5.85546875" style="18" customWidth="1"/>
    <col min="2065" max="2065" width="8.7109375" style="18" customWidth="1"/>
    <col min="2066" max="2066" width="25.5703125" style="18" customWidth="1"/>
    <col min="2067" max="2067" width="6" style="18" customWidth="1"/>
    <col min="2068" max="2068" width="7.42578125" style="18" customWidth="1"/>
    <col min="2069" max="2069" width="7.140625" style="18" customWidth="1"/>
    <col min="2070" max="2070" width="7" style="18" customWidth="1"/>
    <col min="2071" max="2071" width="6" style="18" customWidth="1"/>
    <col min="2072" max="2072" width="6.28515625" style="18" customWidth="1"/>
    <col min="2073" max="2073" width="6.42578125" style="18" customWidth="1"/>
    <col min="2074" max="2074" width="19.140625" style="18" customWidth="1"/>
    <col min="2075" max="2075" width="8.140625" style="18" customWidth="1"/>
    <col min="2076" max="2076" width="8.7109375" style="18" customWidth="1"/>
    <col min="2077" max="2077" width="11.28515625" style="18" customWidth="1"/>
    <col min="2078" max="2078" width="22.85546875" style="18" customWidth="1"/>
    <col min="2079" max="2079" width="9.42578125" style="18" customWidth="1"/>
    <col min="2080" max="2080" width="9.85546875" style="18" customWidth="1"/>
    <col min="2081" max="2082" width="15.85546875" style="18" customWidth="1"/>
    <col min="2083" max="2083" width="15" style="18" customWidth="1"/>
    <col min="2084" max="2084" width="23.28515625" style="18" customWidth="1"/>
    <col min="2085" max="2085" width="26.42578125" style="18" customWidth="1"/>
    <col min="2086" max="2086" width="11.28515625" style="18" customWidth="1"/>
    <col min="2087" max="2087" width="19.5703125" style="18" customWidth="1"/>
    <col min="2088" max="2088" width="14.42578125" style="18" customWidth="1"/>
    <col min="2089" max="2089" width="18.42578125" style="18" customWidth="1"/>
    <col min="2090" max="2090" width="10.28515625" style="18" customWidth="1"/>
    <col min="2091" max="2091" width="36.42578125" style="18" customWidth="1"/>
    <col min="2092" max="2092" width="20.5703125" style="18" customWidth="1"/>
    <col min="2093" max="2093" width="16.42578125" style="18" customWidth="1"/>
    <col min="2094" max="2094" width="14.5703125" style="18" customWidth="1"/>
    <col min="2095" max="2095" width="10" style="18" customWidth="1"/>
    <col min="2096" max="2096" width="8" style="18" customWidth="1"/>
    <col min="2097" max="2097" width="16" style="18" customWidth="1"/>
    <col min="2098" max="2098" width="16.42578125" style="18" customWidth="1"/>
    <col min="2099" max="2099" width="9" style="18"/>
    <col min="2100" max="2100" width="16.28515625" style="18" customWidth="1"/>
    <col min="2101" max="2110" width="9" style="18"/>
    <col min="2111" max="2111" width="12.5703125" style="18" customWidth="1"/>
    <col min="2112" max="2112" width="22.85546875" style="18" customWidth="1"/>
    <col min="2113" max="2113" width="8.7109375" style="18" customWidth="1"/>
    <col min="2114" max="2114" width="19.7109375" style="18" customWidth="1"/>
    <col min="2115" max="2115" width="9.42578125" style="18" customWidth="1"/>
    <col min="2116" max="2116" width="9" style="18"/>
    <col min="2117" max="2117" width="10.85546875" style="18" customWidth="1"/>
    <col min="2118" max="2118" width="9.85546875" style="18" customWidth="1"/>
    <col min="2119" max="2313" width="9" style="18"/>
    <col min="2314" max="2314" width="4" style="18" customWidth="1"/>
    <col min="2315" max="2315" width="5.85546875" style="18" customWidth="1"/>
    <col min="2316" max="2316" width="6.42578125" style="18" customWidth="1"/>
    <col min="2317" max="2317" width="20.28515625" style="18" customWidth="1"/>
    <col min="2318" max="2318" width="7.42578125" style="18" customWidth="1"/>
    <col min="2319" max="2319" width="12.7109375" style="18" customWidth="1"/>
    <col min="2320" max="2320" width="5.85546875" style="18" customWidth="1"/>
    <col min="2321" max="2321" width="8.7109375" style="18" customWidth="1"/>
    <col min="2322" max="2322" width="25.5703125" style="18" customWidth="1"/>
    <col min="2323" max="2323" width="6" style="18" customWidth="1"/>
    <col min="2324" max="2324" width="7.42578125" style="18" customWidth="1"/>
    <col min="2325" max="2325" width="7.140625" style="18" customWidth="1"/>
    <col min="2326" max="2326" width="7" style="18" customWidth="1"/>
    <col min="2327" max="2327" width="6" style="18" customWidth="1"/>
    <col min="2328" max="2328" width="6.28515625" style="18" customWidth="1"/>
    <col min="2329" max="2329" width="6.42578125" style="18" customWidth="1"/>
    <col min="2330" max="2330" width="19.140625" style="18" customWidth="1"/>
    <col min="2331" max="2331" width="8.140625" style="18" customWidth="1"/>
    <col min="2332" max="2332" width="8.7109375" style="18" customWidth="1"/>
    <col min="2333" max="2333" width="11.28515625" style="18" customWidth="1"/>
    <col min="2334" max="2334" width="22.85546875" style="18" customWidth="1"/>
    <col min="2335" max="2335" width="9.42578125" style="18" customWidth="1"/>
    <col min="2336" max="2336" width="9.85546875" style="18" customWidth="1"/>
    <col min="2337" max="2338" width="15.85546875" style="18" customWidth="1"/>
    <col min="2339" max="2339" width="15" style="18" customWidth="1"/>
    <col min="2340" max="2340" width="23.28515625" style="18" customWidth="1"/>
    <col min="2341" max="2341" width="26.42578125" style="18" customWidth="1"/>
    <col min="2342" max="2342" width="11.28515625" style="18" customWidth="1"/>
    <col min="2343" max="2343" width="19.5703125" style="18" customWidth="1"/>
    <col min="2344" max="2344" width="14.42578125" style="18" customWidth="1"/>
    <col min="2345" max="2345" width="18.42578125" style="18" customWidth="1"/>
    <col min="2346" max="2346" width="10.28515625" style="18" customWidth="1"/>
    <col min="2347" max="2347" width="36.42578125" style="18" customWidth="1"/>
    <col min="2348" max="2348" width="20.5703125" style="18" customWidth="1"/>
    <col min="2349" max="2349" width="16.42578125" style="18" customWidth="1"/>
    <col min="2350" max="2350" width="14.5703125" style="18" customWidth="1"/>
    <col min="2351" max="2351" width="10" style="18" customWidth="1"/>
    <col min="2352" max="2352" width="8" style="18" customWidth="1"/>
    <col min="2353" max="2353" width="16" style="18" customWidth="1"/>
    <col min="2354" max="2354" width="16.42578125" style="18" customWidth="1"/>
    <col min="2355" max="2355" width="9" style="18"/>
    <col min="2356" max="2356" width="16.28515625" style="18" customWidth="1"/>
    <col min="2357" max="2366" width="9" style="18"/>
    <col min="2367" max="2367" width="12.5703125" style="18" customWidth="1"/>
    <col min="2368" max="2368" width="22.85546875" style="18" customWidth="1"/>
    <col min="2369" max="2369" width="8.7109375" style="18" customWidth="1"/>
    <col min="2370" max="2370" width="19.7109375" style="18" customWidth="1"/>
    <col min="2371" max="2371" width="9.42578125" style="18" customWidth="1"/>
    <col min="2372" max="2372" width="9" style="18"/>
    <col min="2373" max="2373" width="10.85546875" style="18" customWidth="1"/>
    <col min="2374" max="2374" width="9.85546875" style="18" customWidth="1"/>
    <col min="2375" max="2569" width="9" style="18"/>
    <col min="2570" max="2570" width="4" style="18" customWidth="1"/>
    <col min="2571" max="2571" width="5.85546875" style="18" customWidth="1"/>
    <col min="2572" max="2572" width="6.42578125" style="18" customWidth="1"/>
    <col min="2573" max="2573" width="20.28515625" style="18" customWidth="1"/>
    <col min="2574" max="2574" width="7.42578125" style="18" customWidth="1"/>
    <col min="2575" max="2575" width="12.7109375" style="18" customWidth="1"/>
    <col min="2576" max="2576" width="5.85546875" style="18" customWidth="1"/>
    <col min="2577" max="2577" width="8.7109375" style="18" customWidth="1"/>
    <col min="2578" max="2578" width="25.5703125" style="18" customWidth="1"/>
    <col min="2579" max="2579" width="6" style="18" customWidth="1"/>
    <col min="2580" max="2580" width="7.42578125" style="18" customWidth="1"/>
    <col min="2581" max="2581" width="7.140625" style="18" customWidth="1"/>
    <col min="2582" max="2582" width="7" style="18" customWidth="1"/>
    <col min="2583" max="2583" width="6" style="18" customWidth="1"/>
    <col min="2584" max="2584" width="6.28515625" style="18" customWidth="1"/>
    <col min="2585" max="2585" width="6.42578125" style="18" customWidth="1"/>
    <col min="2586" max="2586" width="19.140625" style="18" customWidth="1"/>
    <col min="2587" max="2587" width="8.140625" style="18" customWidth="1"/>
    <col min="2588" max="2588" width="8.7109375" style="18" customWidth="1"/>
    <col min="2589" max="2589" width="11.28515625" style="18" customWidth="1"/>
    <col min="2590" max="2590" width="22.85546875" style="18" customWidth="1"/>
    <col min="2591" max="2591" width="9.42578125" style="18" customWidth="1"/>
    <col min="2592" max="2592" width="9.85546875" style="18" customWidth="1"/>
    <col min="2593" max="2594" width="15.85546875" style="18" customWidth="1"/>
    <col min="2595" max="2595" width="15" style="18" customWidth="1"/>
    <col min="2596" max="2596" width="23.28515625" style="18" customWidth="1"/>
    <col min="2597" max="2597" width="26.42578125" style="18" customWidth="1"/>
    <col min="2598" max="2598" width="11.28515625" style="18" customWidth="1"/>
    <col min="2599" max="2599" width="19.5703125" style="18" customWidth="1"/>
    <col min="2600" max="2600" width="14.42578125" style="18" customWidth="1"/>
    <col min="2601" max="2601" width="18.42578125" style="18" customWidth="1"/>
    <col min="2602" max="2602" width="10.28515625" style="18" customWidth="1"/>
    <col min="2603" max="2603" width="36.42578125" style="18" customWidth="1"/>
    <col min="2604" max="2604" width="20.5703125" style="18" customWidth="1"/>
    <col min="2605" max="2605" width="16.42578125" style="18" customWidth="1"/>
    <col min="2606" max="2606" width="14.5703125" style="18" customWidth="1"/>
    <col min="2607" max="2607" width="10" style="18" customWidth="1"/>
    <col min="2608" max="2608" width="8" style="18" customWidth="1"/>
    <col min="2609" max="2609" width="16" style="18" customWidth="1"/>
    <col min="2610" max="2610" width="16.42578125" style="18" customWidth="1"/>
    <col min="2611" max="2611" width="9" style="18"/>
    <col min="2612" max="2612" width="16.28515625" style="18" customWidth="1"/>
    <col min="2613" max="2622" width="9" style="18"/>
    <col min="2623" max="2623" width="12.5703125" style="18" customWidth="1"/>
    <col min="2624" max="2624" width="22.85546875" style="18" customWidth="1"/>
    <col min="2625" max="2625" width="8.7109375" style="18" customWidth="1"/>
    <col min="2626" max="2626" width="19.7109375" style="18" customWidth="1"/>
    <col min="2627" max="2627" width="9.42578125" style="18" customWidth="1"/>
    <col min="2628" max="2628" width="9" style="18"/>
    <col min="2629" max="2629" width="10.85546875" style="18" customWidth="1"/>
    <col min="2630" max="2630" width="9.85546875" style="18" customWidth="1"/>
    <col min="2631" max="2825" width="9" style="18"/>
    <col min="2826" max="2826" width="4" style="18" customWidth="1"/>
    <col min="2827" max="2827" width="5.85546875" style="18" customWidth="1"/>
    <col min="2828" max="2828" width="6.42578125" style="18" customWidth="1"/>
    <col min="2829" max="2829" width="20.28515625" style="18" customWidth="1"/>
    <col min="2830" max="2830" width="7.42578125" style="18" customWidth="1"/>
    <col min="2831" max="2831" width="12.7109375" style="18" customWidth="1"/>
    <col min="2832" max="2832" width="5.85546875" style="18" customWidth="1"/>
    <col min="2833" max="2833" width="8.7109375" style="18" customWidth="1"/>
    <col min="2834" max="2834" width="25.5703125" style="18" customWidth="1"/>
    <col min="2835" max="2835" width="6" style="18" customWidth="1"/>
    <col min="2836" max="2836" width="7.42578125" style="18" customWidth="1"/>
    <col min="2837" max="2837" width="7.140625" style="18" customWidth="1"/>
    <col min="2838" max="2838" width="7" style="18" customWidth="1"/>
    <col min="2839" max="2839" width="6" style="18" customWidth="1"/>
    <col min="2840" max="2840" width="6.28515625" style="18" customWidth="1"/>
    <col min="2841" max="2841" width="6.42578125" style="18" customWidth="1"/>
    <col min="2842" max="2842" width="19.140625" style="18" customWidth="1"/>
    <col min="2843" max="2843" width="8.140625" style="18" customWidth="1"/>
    <col min="2844" max="2844" width="8.7109375" style="18" customWidth="1"/>
    <col min="2845" max="2845" width="11.28515625" style="18" customWidth="1"/>
    <col min="2846" max="2846" width="22.85546875" style="18" customWidth="1"/>
    <col min="2847" max="2847" width="9.42578125" style="18" customWidth="1"/>
    <col min="2848" max="2848" width="9.85546875" style="18" customWidth="1"/>
    <col min="2849" max="2850" width="15.85546875" style="18" customWidth="1"/>
    <col min="2851" max="2851" width="15" style="18" customWidth="1"/>
    <col min="2852" max="2852" width="23.28515625" style="18" customWidth="1"/>
    <col min="2853" max="2853" width="26.42578125" style="18" customWidth="1"/>
    <col min="2854" max="2854" width="11.28515625" style="18" customWidth="1"/>
    <col min="2855" max="2855" width="19.5703125" style="18" customWidth="1"/>
    <col min="2856" max="2856" width="14.42578125" style="18" customWidth="1"/>
    <col min="2857" max="2857" width="18.42578125" style="18" customWidth="1"/>
    <col min="2858" max="2858" width="10.28515625" style="18" customWidth="1"/>
    <col min="2859" max="2859" width="36.42578125" style="18" customWidth="1"/>
    <col min="2860" max="2860" width="20.5703125" style="18" customWidth="1"/>
    <col min="2861" max="2861" width="16.42578125" style="18" customWidth="1"/>
    <col min="2862" max="2862" width="14.5703125" style="18" customWidth="1"/>
    <col min="2863" max="2863" width="10" style="18" customWidth="1"/>
    <col min="2864" max="2864" width="8" style="18" customWidth="1"/>
    <col min="2865" max="2865" width="16" style="18" customWidth="1"/>
    <col min="2866" max="2866" width="16.42578125" style="18" customWidth="1"/>
    <col min="2867" max="2867" width="9" style="18"/>
    <col min="2868" max="2868" width="16.28515625" style="18" customWidth="1"/>
    <col min="2869" max="2878" width="9" style="18"/>
    <col min="2879" max="2879" width="12.5703125" style="18" customWidth="1"/>
    <col min="2880" max="2880" width="22.85546875" style="18" customWidth="1"/>
    <col min="2881" max="2881" width="8.7109375" style="18" customWidth="1"/>
    <col min="2882" max="2882" width="19.7109375" style="18" customWidth="1"/>
    <col min="2883" max="2883" width="9.42578125" style="18" customWidth="1"/>
    <col min="2884" max="2884" width="9" style="18"/>
    <col min="2885" max="2885" width="10.85546875" style="18" customWidth="1"/>
    <col min="2886" max="2886" width="9.85546875" style="18" customWidth="1"/>
    <col min="2887" max="3081" width="9" style="18"/>
    <col min="3082" max="3082" width="4" style="18" customWidth="1"/>
    <col min="3083" max="3083" width="5.85546875" style="18" customWidth="1"/>
    <col min="3084" max="3084" width="6.42578125" style="18" customWidth="1"/>
    <col min="3085" max="3085" width="20.28515625" style="18" customWidth="1"/>
    <col min="3086" max="3086" width="7.42578125" style="18" customWidth="1"/>
    <col min="3087" max="3087" width="12.7109375" style="18" customWidth="1"/>
    <col min="3088" max="3088" width="5.85546875" style="18" customWidth="1"/>
    <col min="3089" max="3089" width="8.7109375" style="18" customWidth="1"/>
    <col min="3090" max="3090" width="25.5703125" style="18" customWidth="1"/>
    <col min="3091" max="3091" width="6" style="18" customWidth="1"/>
    <col min="3092" max="3092" width="7.42578125" style="18" customWidth="1"/>
    <col min="3093" max="3093" width="7.140625" style="18" customWidth="1"/>
    <col min="3094" max="3094" width="7" style="18" customWidth="1"/>
    <col min="3095" max="3095" width="6" style="18" customWidth="1"/>
    <col min="3096" max="3096" width="6.28515625" style="18" customWidth="1"/>
    <col min="3097" max="3097" width="6.42578125" style="18" customWidth="1"/>
    <col min="3098" max="3098" width="19.140625" style="18" customWidth="1"/>
    <col min="3099" max="3099" width="8.140625" style="18" customWidth="1"/>
    <col min="3100" max="3100" width="8.7109375" style="18" customWidth="1"/>
    <col min="3101" max="3101" width="11.28515625" style="18" customWidth="1"/>
    <col min="3102" max="3102" width="22.85546875" style="18" customWidth="1"/>
    <col min="3103" max="3103" width="9.42578125" style="18" customWidth="1"/>
    <col min="3104" max="3104" width="9.85546875" style="18" customWidth="1"/>
    <col min="3105" max="3106" width="15.85546875" style="18" customWidth="1"/>
    <col min="3107" max="3107" width="15" style="18" customWidth="1"/>
    <col min="3108" max="3108" width="23.28515625" style="18" customWidth="1"/>
    <col min="3109" max="3109" width="26.42578125" style="18" customWidth="1"/>
    <col min="3110" max="3110" width="11.28515625" style="18" customWidth="1"/>
    <col min="3111" max="3111" width="19.5703125" style="18" customWidth="1"/>
    <col min="3112" max="3112" width="14.42578125" style="18" customWidth="1"/>
    <col min="3113" max="3113" width="18.42578125" style="18" customWidth="1"/>
    <col min="3114" max="3114" width="10.28515625" style="18" customWidth="1"/>
    <col min="3115" max="3115" width="36.42578125" style="18" customWidth="1"/>
    <col min="3116" max="3116" width="20.5703125" style="18" customWidth="1"/>
    <col min="3117" max="3117" width="16.42578125" style="18" customWidth="1"/>
    <col min="3118" max="3118" width="14.5703125" style="18" customWidth="1"/>
    <col min="3119" max="3119" width="10" style="18" customWidth="1"/>
    <col min="3120" max="3120" width="8" style="18" customWidth="1"/>
    <col min="3121" max="3121" width="16" style="18" customWidth="1"/>
    <col min="3122" max="3122" width="16.42578125" style="18" customWidth="1"/>
    <col min="3123" max="3123" width="9" style="18"/>
    <col min="3124" max="3124" width="16.28515625" style="18" customWidth="1"/>
    <col min="3125" max="3134" width="9" style="18"/>
    <col min="3135" max="3135" width="12.5703125" style="18" customWidth="1"/>
    <col min="3136" max="3136" width="22.85546875" style="18" customWidth="1"/>
    <col min="3137" max="3137" width="8.7109375" style="18" customWidth="1"/>
    <col min="3138" max="3138" width="19.7109375" style="18" customWidth="1"/>
    <col min="3139" max="3139" width="9.42578125" style="18" customWidth="1"/>
    <col min="3140" max="3140" width="9" style="18"/>
    <col min="3141" max="3141" width="10.85546875" style="18" customWidth="1"/>
    <col min="3142" max="3142" width="9.85546875" style="18" customWidth="1"/>
    <col min="3143" max="3337" width="9" style="18"/>
    <col min="3338" max="3338" width="4" style="18" customWidth="1"/>
    <col min="3339" max="3339" width="5.85546875" style="18" customWidth="1"/>
    <col min="3340" max="3340" width="6.42578125" style="18" customWidth="1"/>
    <col min="3341" max="3341" width="20.28515625" style="18" customWidth="1"/>
    <col min="3342" max="3342" width="7.42578125" style="18" customWidth="1"/>
    <col min="3343" max="3343" width="12.7109375" style="18" customWidth="1"/>
    <col min="3344" max="3344" width="5.85546875" style="18" customWidth="1"/>
    <col min="3345" max="3345" width="8.7109375" style="18" customWidth="1"/>
    <col min="3346" max="3346" width="25.5703125" style="18" customWidth="1"/>
    <col min="3347" max="3347" width="6" style="18" customWidth="1"/>
    <col min="3348" max="3348" width="7.42578125" style="18" customWidth="1"/>
    <col min="3349" max="3349" width="7.140625" style="18" customWidth="1"/>
    <col min="3350" max="3350" width="7" style="18" customWidth="1"/>
    <col min="3351" max="3351" width="6" style="18" customWidth="1"/>
    <col min="3352" max="3352" width="6.28515625" style="18" customWidth="1"/>
    <col min="3353" max="3353" width="6.42578125" style="18" customWidth="1"/>
    <col min="3354" max="3354" width="19.140625" style="18" customWidth="1"/>
    <col min="3355" max="3355" width="8.140625" style="18" customWidth="1"/>
    <col min="3356" max="3356" width="8.7109375" style="18" customWidth="1"/>
    <col min="3357" max="3357" width="11.28515625" style="18" customWidth="1"/>
    <col min="3358" max="3358" width="22.85546875" style="18" customWidth="1"/>
    <col min="3359" max="3359" width="9.42578125" style="18" customWidth="1"/>
    <col min="3360" max="3360" width="9.85546875" style="18" customWidth="1"/>
    <col min="3361" max="3362" width="15.85546875" style="18" customWidth="1"/>
    <col min="3363" max="3363" width="15" style="18" customWidth="1"/>
    <col min="3364" max="3364" width="23.28515625" style="18" customWidth="1"/>
    <col min="3365" max="3365" width="26.42578125" style="18" customWidth="1"/>
    <col min="3366" max="3366" width="11.28515625" style="18" customWidth="1"/>
    <col min="3367" max="3367" width="19.5703125" style="18" customWidth="1"/>
    <col min="3368" max="3368" width="14.42578125" style="18" customWidth="1"/>
    <col min="3369" max="3369" width="18.42578125" style="18" customWidth="1"/>
    <col min="3370" max="3370" width="10.28515625" style="18" customWidth="1"/>
    <col min="3371" max="3371" width="36.42578125" style="18" customWidth="1"/>
    <col min="3372" max="3372" width="20.5703125" style="18" customWidth="1"/>
    <col min="3373" max="3373" width="16.42578125" style="18" customWidth="1"/>
    <col min="3374" max="3374" width="14.5703125" style="18" customWidth="1"/>
    <col min="3375" max="3375" width="10" style="18" customWidth="1"/>
    <col min="3376" max="3376" width="8" style="18" customWidth="1"/>
    <col min="3377" max="3377" width="16" style="18" customWidth="1"/>
    <col min="3378" max="3378" width="16.42578125" style="18" customWidth="1"/>
    <col min="3379" max="3379" width="9" style="18"/>
    <col min="3380" max="3380" width="16.28515625" style="18" customWidth="1"/>
    <col min="3381" max="3390" width="9" style="18"/>
    <col min="3391" max="3391" width="12.5703125" style="18" customWidth="1"/>
    <col min="3392" max="3392" width="22.85546875" style="18" customWidth="1"/>
    <col min="3393" max="3393" width="8.7109375" style="18" customWidth="1"/>
    <col min="3394" max="3394" width="19.7109375" style="18" customWidth="1"/>
    <col min="3395" max="3395" width="9.42578125" style="18" customWidth="1"/>
    <col min="3396" max="3396" width="9" style="18"/>
    <col min="3397" max="3397" width="10.85546875" style="18" customWidth="1"/>
    <col min="3398" max="3398" width="9.85546875" style="18" customWidth="1"/>
    <col min="3399" max="3593" width="9" style="18"/>
    <col min="3594" max="3594" width="4" style="18" customWidth="1"/>
    <col min="3595" max="3595" width="5.85546875" style="18" customWidth="1"/>
    <col min="3596" max="3596" width="6.42578125" style="18" customWidth="1"/>
    <col min="3597" max="3597" width="20.28515625" style="18" customWidth="1"/>
    <col min="3598" max="3598" width="7.42578125" style="18" customWidth="1"/>
    <col min="3599" max="3599" width="12.7109375" style="18" customWidth="1"/>
    <col min="3600" max="3600" width="5.85546875" style="18" customWidth="1"/>
    <col min="3601" max="3601" width="8.7109375" style="18" customWidth="1"/>
    <col min="3602" max="3602" width="25.5703125" style="18" customWidth="1"/>
    <col min="3603" max="3603" width="6" style="18" customWidth="1"/>
    <col min="3604" max="3604" width="7.42578125" style="18" customWidth="1"/>
    <col min="3605" max="3605" width="7.140625" style="18" customWidth="1"/>
    <col min="3606" max="3606" width="7" style="18" customWidth="1"/>
    <col min="3607" max="3607" width="6" style="18" customWidth="1"/>
    <col min="3608" max="3608" width="6.28515625" style="18" customWidth="1"/>
    <col min="3609" max="3609" width="6.42578125" style="18" customWidth="1"/>
    <col min="3610" max="3610" width="19.140625" style="18" customWidth="1"/>
    <col min="3611" max="3611" width="8.140625" style="18" customWidth="1"/>
    <col min="3612" max="3612" width="8.7109375" style="18" customWidth="1"/>
    <col min="3613" max="3613" width="11.28515625" style="18" customWidth="1"/>
    <col min="3614" max="3614" width="22.85546875" style="18" customWidth="1"/>
    <col min="3615" max="3615" width="9.42578125" style="18" customWidth="1"/>
    <col min="3616" max="3616" width="9.85546875" style="18" customWidth="1"/>
    <col min="3617" max="3618" width="15.85546875" style="18" customWidth="1"/>
    <col min="3619" max="3619" width="15" style="18" customWidth="1"/>
    <col min="3620" max="3620" width="23.28515625" style="18" customWidth="1"/>
    <col min="3621" max="3621" width="26.42578125" style="18" customWidth="1"/>
    <col min="3622" max="3622" width="11.28515625" style="18" customWidth="1"/>
    <col min="3623" max="3623" width="19.5703125" style="18" customWidth="1"/>
    <col min="3624" max="3624" width="14.42578125" style="18" customWidth="1"/>
    <col min="3625" max="3625" width="18.42578125" style="18" customWidth="1"/>
    <col min="3626" max="3626" width="10.28515625" style="18" customWidth="1"/>
    <col min="3627" max="3627" width="36.42578125" style="18" customWidth="1"/>
    <col min="3628" max="3628" width="20.5703125" style="18" customWidth="1"/>
    <col min="3629" max="3629" width="16.42578125" style="18" customWidth="1"/>
    <col min="3630" max="3630" width="14.5703125" style="18" customWidth="1"/>
    <col min="3631" max="3631" width="10" style="18" customWidth="1"/>
    <col min="3632" max="3632" width="8" style="18" customWidth="1"/>
    <col min="3633" max="3633" width="16" style="18" customWidth="1"/>
    <col min="3634" max="3634" width="16.42578125" style="18" customWidth="1"/>
    <col min="3635" max="3635" width="9" style="18"/>
    <col min="3636" max="3636" width="16.28515625" style="18" customWidth="1"/>
    <col min="3637" max="3646" width="9" style="18"/>
    <col min="3647" max="3647" width="12.5703125" style="18" customWidth="1"/>
    <col min="3648" max="3648" width="22.85546875" style="18" customWidth="1"/>
    <col min="3649" max="3649" width="8.7109375" style="18" customWidth="1"/>
    <col min="3650" max="3650" width="19.7109375" style="18" customWidth="1"/>
    <col min="3651" max="3651" width="9.42578125" style="18" customWidth="1"/>
    <col min="3652" max="3652" width="9" style="18"/>
    <col min="3653" max="3653" width="10.85546875" style="18" customWidth="1"/>
    <col min="3654" max="3654" width="9.85546875" style="18" customWidth="1"/>
    <col min="3655" max="3849" width="9" style="18"/>
    <col min="3850" max="3850" width="4" style="18" customWidth="1"/>
    <col min="3851" max="3851" width="5.85546875" style="18" customWidth="1"/>
    <col min="3852" max="3852" width="6.42578125" style="18" customWidth="1"/>
    <col min="3853" max="3853" width="20.28515625" style="18" customWidth="1"/>
    <col min="3854" max="3854" width="7.42578125" style="18" customWidth="1"/>
    <col min="3855" max="3855" width="12.7109375" style="18" customWidth="1"/>
    <col min="3856" max="3856" width="5.85546875" style="18" customWidth="1"/>
    <col min="3857" max="3857" width="8.7109375" style="18" customWidth="1"/>
    <col min="3858" max="3858" width="25.5703125" style="18" customWidth="1"/>
    <col min="3859" max="3859" width="6" style="18" customWidth="1"/>
    <col min="3860" max="3860" width="7.42578125" style="18" customWidth="1"/>
    <col min="3861" max="3861" width="7.140625" style="18" customWidth="1"/>
    <col min="3862" max="3862" width="7" style="18" customWidth="1"/>
    <col min="3863" max="3863" width="6" style="18" customWidth="1"/>
    <col min="3864" max="3864" width="6.28515625" style="18" customWidth="1"/>
    <col min="3865" max="3865" width="6.42578125" style="18" customWidth="1"/>
    <col min="3866" max="3866" width="19.140625" style="18" customWidth="1"/>
    <col min="3867" max="3867" width="8.140625" style="18" customWidth="1"/>
    <col min="3868" max="3868" width="8.7109375" style="18" customWidth="1"/>
    <col min="3869" max="3869" width="11.28515625" style="18" customWidth="1"/>
    <col min="3870" max="3870" width="22.85546875" style="18" customWidth="1"/>
    <col min="3871" max="3871" width="9.42578125" style="18" customWidth="1"/>
    <col min="3872" max="3872" width="9.85546875" style="18" customWidth="1"/>
    <col min="3873" max="3874" width="15.85546875" style="18" customWidth="1"/>
    <col min="3875" max="3875" width="15" style="18" customWidth="1"/>
    <col min="3876" max="3876" width="23.28515625" style="18" customWidth="1"/>
    <col min="3877" max="3877" width="26.42578125" style="18" customWidth="1"/>
    <col min="3878" max="3878" width="11.28515625" style="18" customWidth="1"/>
    <col min="3879" max="3879" width="19.5703125" style="18" customWidth="1"/>
    <col min="3880" max="3880" width="14.42578125" style="18" customWidth="1"/>
    <col min="3881" max="3881" width="18.42578125" style="18" customWidth="1"/>
    <col min="3882" max="3882" width="10.28515625" style="18" customWidth="1"/>
    <col min="3883" max="3883" width="36.42578125" style="18" customWidth="1"/>
    <col min="3884" max="3884" width="20.5703125" style="18" customWidth="1"/>
    <col min="3885" max="3885" width="16.42578125" style="18" customWidth="1"/>
    <col min="3886" max="3886" width="14.5703125" style="18" customWidth="1"/>
    <col min="3887" max="3887" width="10" style="18" customWidth="1"/>
    <col min="3888" max="3888" width="8" style="18" customWidth="1"/>
    <col min="3889" max="3889" width="16" style="18" customWidth="1"/>
    <col min="3890" max="3890" width="16.42578125" style="18" customWidth="1"/>
    <col min="3891" max="3891" width="9" style="18"/>
    <col min="3892" max="3892" width="16.28515625" style="18" customWidth="1"/>
    <col min="3893" max="3902" width="9" style="18"/>
    <col min="3903" max="3903" width="12.5703125" style="18" customWidth="1"/>
    <col min="3904" max="3904" width="22.85546875" style="18" customWidth="1"/>
    <col min="3905" max="3905" width="8.7109375" style="18" customWidth="1"/>
    <col min="3906" max="3906" width="19.7109375" style="18" customWidth="1"/>
    <col min="3907" max="3907" width="9.42578125" style="18" customWidth="1"/>
    <col min="3908" max="3908" width="9" style="18"/>
    <col min="3909" max="3909" width="10.85546875" style="18" customWidth="1"/>
    <col min="3910" max="3910" width="9.85546875" style="18" customWidth="1"/>
    <col min="3911" max="4105" width="9" style="18"/>
    <col min="4106" max="4106" width="4" style="18" customWidth="1"/>
    <col min="4107" max="4107" width="5.85546875" style="18" customWidth="1"/>
    <col min="4108" max="4108" width="6.42578125" style="18" customWidth="1"/>
    <col min="4109" max="4109" width="20.28515625" style="18" customWidth="1"/>
    <col min="4110" max="4110" width="7.42578125" style="18" customWidth="1"/>
    <col min="4111" max="4111" width="12.7109375" style="18" customWidth="1"/>
    <col min="4112" max="4112" width="5.85546875" style="18" customWidth="1"/>
    <col min="4113" max="4113" width="8.7109375" style="18" customWidth="1"/>
    <col min="4114" max="4114" width="25.5703125" style="18" customWidth="1"/>
    <col min="4115" max="4115" width="6" style="18" customWidth="1"/>
    <col min="4116" max="4116" width="7.42578125" style="18" customWidth="1"/>
    <col min="4117" max="4117" width="7.140625" style="18" customWidth="1"/>
    <col min="4118" max="4118" width="7" style="18" customWidth="1"/>
    <col min="4119" max="4119" width="6" style="18" customWidth="1"/>
    <col min="4120" max="4120" width="6.28515625" style="18" customWidth="1"/>
    <col min="4121" max="4121" width="6.42578125" style="18" customWidth="1"/>
    <col min="4122" max="4122" width="19.140625" style="18" customWidth="1"/>
    <col min="4123" max="4123" width="8.140625" style="18" customWidth="1"/>
    <col min="4124" max="4124" width="8.7109375" style="18" customWidth="1"/>
    <col min="4125" max="4125" width="11.28515625" style="18" customWidth="1"/>
    <col min="4126" max="4126" width="22.85546875" style="18" customWidth="1"/>
    <col min="4127" max="4127" width="9.42578125" style="18" customWidth="1"/>
    <col min="4128" max="4128" width="9.85546875" style="18" customWidth="1"/>
    <col min="4129" max="4130" width="15.85546875" style="18" customWidth="1"/>
    <col min="4131" max="4131" width="15" style="18" customWidth="1"/>
    <col min="4132" max="4132" width="23.28515625" style="18" customWidth="1"/>
    <col min="4133" max="4133" width="26.42578125" style="18" customWidth="1"/>
    <col min="4134" max="4134" width="11.28515625" style="18" customWidth="1"/>
    <col min="4135" max="4135" width="19.5703125" style="18" customWidth="1"/>
    <col min="4136" max="4136" width="14.42578125" style="18" customWidth="1"/>
    <col min="4137" max="4137" width="18.42578125" style="18" customWidth="1"/>
    <col min="4138" max="4138" width="10.28515625" style="18" customWidth="1"/>
    <col min="4139" max="4139" width="36.42578125" style="18" customWidth="1"/>
    <col min="4140" max="4140" width="20.5703125" style="18" customWidth="1"/>
    <col min="4141" max="4141" width="16.42578125" style="18" customWidth="1"/>
    <col min="4142" max="4142" width="14.5703125" style="18" customWidth="1"/>
    <col min="4143" max="4143" width="10" style="18" customWidth="1"/>
    <col min="4144" max="4144" width="8" style="18" customWidth="1"/>
    <col min="4145" max="4145" width="16" style="18" customWidth="1"/>
    <col min="4146" max="4146" width="16.42578125" style="18" customWidth="1"/>
    <col min="4147" max="4147" width="9" style="18"/>
    <col min="4148" max="4148" width="16.28515625" style="18" customWidth="1"/>
    <col min="4149" max="4158" width="9" style="18"/>
    <col min="4159" max="4159" width="12.5703125" style="18" customWidth="1"/>
    <col min="4160" max="4160" width="22.85546875" style="18" customWidth="1"/>
    <col min="4161" max="4161" width="8.7109375" style="18" customWidth="1"/>
    <col min="4162" max="4162" width="19.7109375" style="18" customWidth="1"/>
    <col min="4163" max="4163" width="9.42578125" style="18" customWidth="1"/>
    <col min="4164" max="4164" width="9" style="18"/>
    <col min="4165" max="4165" width="10.85546875" style="18" customWidth="1"/>
    <col min="4166" max="4166" width="9.85546875" style="18" customWidth="1"/>
    <col min="4167" max="4361" width="9" style="18"/>
    <col min="4362" max="4362" width="4" style="18" customWidth="1"/>
    <col min="4363" max="4363" width="5.85546875" style="18" customWidth="1"/>
    <col min="4364" max="4364" width="6.42578125" style="18" customWidth="1"/>
    <col min="4365" max="4365" width="20.28515625" style="18" customWidth="1"/>
    <col min="4366" max="4366" width="7.42578125" style="18" customWidth="1"/>
    <col min="4367" max="4367" width="12.7109375" style="18" customWidth="1"/>
    <col min="4368" max="4368" width="5.85546875" style="18" customWidth="1"/>
    <col min="4369" max="4369" width="8.7109375" style="18" customWidth="1"/>
    <col min="4370" max="4370" width="25.5703125" style="18" customWidth="1"/>
    <col min="4371" max="4371" width="6" style="18" customWidth="1"/>
    <col min="4372" max="4372" width="7.42578125" style="18" customWidth="1"/>
    <col min="4373" max="4373" width="7.140625" style="18" customWidth="1"/>
    <col min="4374" max="4374" width="7" style="18" customWidth="1"/>
    <col min="4375" max="4375" width="6" style="18" customWidth="1"/>
    <col min="4376" max="4376" width="6.28515625" style="18" customWidth="1"/>
    <col min="4377" max="4377" width="6.42578125" style="18" customWidth="1"/>
    <col min="4378" max="4378" width="19.140625" style="18" customWidth="1"/>
    <col min="4379" max="4379" width="8.140625" style="18" customWidth="1"/>
    <col min="4380" max="4380" width="8.7109375" style="18" customWidth="1"/>
    <col min="4381" max="4381" width="11.28515625" style="18" customWidth="1"/>
    <col min="4382" max="4382" width="22.85546875" style="18" customWidth="1"/>
    <col min="4383" max="4383" width="9.42578125" style="18" customWidth="1"/>
    <col min="4384" max="4384" width="9.85546875" style="18" customWidth="1"/>
    <col min="4385" max="4386" width="15.85546875" style="18" customWidth="1"/>
    <col min="4387" max="4387" width="15" style="18" customWidth="1"/>
    <col min="4388" max="4388" width="23.28515625" style="18" customWidth="1"/>
    <col min="4389" max="4389" width="26.42578125" style="18" customWidth="1"/>
    <col min="4390" max="4390" width="11.28515625" style="18" customWidth="1"/>
    <col min="4391" max="4391" width="19.5703125" style="18" customWidth="1"/>
    <col min="4392" max="4392" width="14.42578125" style="18" customWidth="1"/>
    <col min="4393" max="4393" width="18.42578125" style="18" customWidth="1"/>
    <col min="4394" max="4394" width="10.28515625" style="18" customWidth="1"/>
    <col min="4395" max="4395" width="36.42578125" style="18" customWidth="1"/>
    <col min="4396" max="4396" width="20.5703125" style="18" customWidth="1"/>
    <col min="4397" max="4397" width="16.42578125" style="18" customWidth="1"/>
    <col min="4398" max="4398" width="14.5703125" style="18" customWidth="1"/>
    <col min="4399" max="4399" width="10" style="18" customWidth="1"/>
    <col min="4400" max="4400" width="8" style="18" customWidth="1"/>
    <col min="4401" max="4401" width="16" style="18" customWidth="1"/>
    <col min="4402" max="4402" width="16.42578125" style="18" customWidth="1"/>
    <col min="4403" max="4403" width="9" style="18"/>
    <col min="4404" max="4404" width="16.28515625" style="18" customWidth="1"/>
    <col min="4405" max="4414" width="9" style="18"/>
    <col min="4415" max="4415" width="12.5703125" style="18" customWidth="1"/>
    <col min="4416" max="4416" width="22.85546875" style="18" customWidth="1"/>
    <col min="4417" max="4417" width="8.7109375" style="18" customWidth="1"/>
    <col min="4418" max="4418" width="19.7109375" style="18" customWidth="1"/>
    <col min="4419" max="4419" width="9.42578125" style="18" customWidth="1"/>
    <col min="4420" max="4420" width="9" style="18"/>
    <col min="4421" max="4421" width="10.85546875" style="18" customWidth="1"/>
    <col min="4422" max="4422" width="9.85546875" style="18" customWidth="1"/>
    <col min="4423" max="4617" width="9" style="18"/>
    <col min="4618" max="4618" width="4" style="18" customWidth="1"/>
    <col min="4619" max="4619" width="5.85546875" style="18" customWidth="1"/>
    <col min="4620" max="4620" width="6.42578125" style="18" customWidth="1"/>
    <col min="4621" max="4621" width="20.28515625" style="18" customWidth="1"/>
    <col min="4622" max="4622" width="7.42578125" style="18" customWidth="1"/>
    <col min="4623" max="4623" width="12.7109375" style="18" customWidth="1"/>
    <col min="4624" max="4624" width="5.85546875" style="18" customWidth="1"/>
    <col min="4625" max="4625" width="8.7109375" style="18" customWidth="1"/>
    <col min="4626" max="4626" width="25.5703125" style="18" customWidth="1"/>
    <col min="4627" max="4627" width="6" style="18" customWidth="1"/>
    <col min="4628" max="4628" width="7.42578125" style="18" customWidth="1"/>
    <col min="4629" max="4629" width="7.140625" style="18" customWidth="1"/>
    <col min="4630" max="4630" width="7" style="18" customWidth="1"/>
    <col min="4631" max="4631" width="6" style="18" customWidth="1"/>
    <col min="4632" max="4632" width="6.28515625" style="18" customWidth="1"/>
    <col min="4633" max="4633" width="6.42578125" style="18" customWidth="1"/>
    <col min="4634" max="4634" width="19.140625" style="18" customWidth="1"/>
    <col min="4635" max="4635" width="8.140625" style="18" customWidth="1"/>
    <col min="4636" max="4636" width="8.7109375" style="18" customWidth="1"/>
    <col min="4637" max="4637" width="11.28515625" style="18" customWidth="1"/>
    <col min="4638" max="4638" width="22.85546875" style="18" customWidth="1"/>
    <col min="4639" max="4639" width="9.42578125" style="18" customWidth="1"/>
    <col min="4640" max="4640" width="9.85546875" style="18" customWidth="1"/>
    <col min="4641" max="4642" width="15.85546875" style="18" customWidth="1"/>
    <col min="4643" max="4643" width="15" style="18" customWidth="1"/>
    <col min="4644" max="4644" width="23.28515625" style="18" customWidth="1"/>
    <col min="4645" max="4645" width="26.42578125" style="18" customWidth="1"/>
    <col min="4646" max="4646" width="11.28515625" style="18" customWidth="1"/>
    <col min="4647" max="4647" width="19.5703125" style="18" customWidth="1"/>
    <col min="4648" max="4648" width="14.42578125" style="18" customWidth="1"/>
    <col min="4649" max="4649" width="18.42578125" style="18" customWidth="1"/>
    <col min="4650" max="4650" width="10.28515625" style="18" customWidth="1"/>
    <col min="4651" max="4651" width="36.42578125" style="18" customWidth="1"/>
    <col min="4652" max="4652" width="20.5703125" style="18" customWidth="1"/>
    <col min="4653" max="4653" width="16.42578125" style="18" customWidth="1"/>
    <col min="4654" max="4654" width="14.5703125" style="18" customWidth="1"/>
    <col min="4655" max="4655" width="10" style="18" customWidth="1"/>
    <col min="4656" max="4656" width="8" style="18" customWidth="1"/>
    <col min="4657" max="4657" width="16" style="18" customWidth="1"/>
    <col min="4658" max="4658" width="16.42578125" style="18" customWidth="1"/>
    <col min="4659" max="4659" width="9" style="18"/>
    <col min="4660" max="4660" width="16.28515625" style="18" customWidth="1"/>
    <col min="4661" max="4670" width="9" style="18"/>
    <col min="4671" max="4671" width="12.5703125" style="18" customWidth="1"/>
    <col min="4672" max="4672" width="22.85546875" style="18" customWidth="1"/>
    <col min="4673" max="4673" width="8.7109375" style="18" customWidth="1"/>
    <col min="4674" max="4674" width="19.7109375" style="18" customWidth="1"/>
    <col min="4675" max="4675" width="9.42578125" style="18" customWidth="1"/>
    <col min="4676" max="4676" width="9" style="18"/>
    <col min="4677" max="4677" width="10.85546875" style="18" customWidth="1"/>
    <col min="4678" max="4678" width="9.85546875" style="18" customWidth="1"/>
    <col min="4679" max="4873" width="9" style="18"/>
    <col min="4874" max="4874" width="4" style="18" customWidth="1"/>
    <col min="4875" max="4875" width="5.85546875" style="18" customWidth="1"/>
    <col min="4876" max="4876" width="6.42578125" style="18" customWidth="1"/>
    <col min="4877" max="4877" width="20.28515625" style="18" customWidth="1"/>
    <col min="4878" max="4878" width="7.42578125" style="18" customWidth="1"/>
    <col min="4879" max="4879" width="12.7109375" style="18" customWidth="1"/>
    <col min="4880" max="4880" width="5.85546875" style="18" customWidth="1"/>
    <col min="4881" max="4881" width="8.7109375" style="18" customWidth="1"/>
    <col min="4882" max="4882" width="25.5703125" style="18" customWidth="1"/>
    <col min="4883" max="4883" width="6" style="18" customWidth="1"/>
    <col min="4884" max="4884" width="7.42578125" style="18" customWidth="1"/>
    <col min="4885" max="4885" width="7.140625" style="18" customWidth="1"/>
    <col min="4886" max="4886" width="7" style="18" customWidth="1"/>
    <col min="4887" max="4887" width="6" style="18" customWidth="1"/>
    <col min="4888" max="4888" width="6.28515625" style="18" customWidth="1"/>
    <col min="4889" max="4889" width="6.42578125" style="18" customWidth="1"/>
    <col min="4890" max="4890" width="19.140625" style="18" customWidth="1"/>
    <col min="4891" max="4891" width="8.140625" style="18" customWidth="1"/>
    <col min="4892" max="4892" width="8.7109375" style="18" customWidth="1"/>
    <col min="4893" max="4893" width="11.28515625" style="18" customWidth="1"/>
    <col min="4894" max="4894" width="22.85546875" style="18" customWidth="1"/>
    <col min="4895" max="4895" width="9.42578125" style="18" customWidth="1"/>
    <col min="4896" max="4896" width="9.85546875" style="18" customWidth="1"/>
    <col min="4897" max="4898" width="15.85546875" style="18" customWidth="1"/>
    <col min="4899" max="4899" width="15" style="18" customWidth="1"/>
    <col min="4900" max="4900" width="23.28515625" style="18" customWidth="1"/>
    <col min="4901" max="4901" width="26.42578125" style="18" customWidth="1"/>
    <col min="4902" max="4902" width="11.28515625" style="18" customWidth="1"/>
    <col min="4903" max="4903" width="19.5703125" style="18" customWidth="1"/>
    <col min="4904" max="4904" width="14.42578125" style="18" customWidth="1"/>
    <col min="4905" max="4905" width="18.42578125" style="18" customWidth="1"/>
    <col min="4906" max="4906" width="10.28515625" style="18" customWidth="1"/>
    <col min="4907" max="4907" width="36.42578125" style="18" customWidth="1"/>
    <col min="4908" max="4908" width="20.5703125" style="18" customWidth="1"/>
    <col min="4909" max="4909" width="16.42578125" style="18" customWidth="1"/>
    <col min="4910" max="4910" width="14.5703125" style="18" customWidth="1"/>
    <col min="4911" max="4911" width="10" style="18" customWidth="1"/>
    <col min="4912" max="4912" width="8" style="18" customWidth="1"/>
    <col min="4913" max="4913" width="16" style="18" customWidth="1"/>
    <col min="4914" max="4914" width="16.42578125" style="18" customWidth="1"/>
    <col min="4915" max="4915" width="9" style="18"/>
    <col min="4916" max="4916" width="16.28515625" style="18" customWidth="1"/>
    <col min="4917" max="4926" width="9" style="18"/>
    <col min="4927" max="4927" width="12.5703125" style="18" customWidth="1"/>
    <col min="4928" max="4928" width="22.85546875" style="18" customWidth="1"/>
    <col min="4929" max="4929" width="8.7109375" style="18" customWidth="1"/>
    <col min="4930" max="4930" width="19.7109375" style="18" customWidth="1"/>
    <col min="4931" max="4931" width="9.42578125" style="18" customWidth="1"/>
    <col min="4932" max="4932" width="9" style="18"/>
    <col min="4933" max="4933" width="10.85546875" style="18" customWidth="1"/>
    <col min="4934" max="4934" width="9.85546875" style="18" customWidth="1"/>
    <col min="4935" max="5129" width="9" style="18"/>
    <col min="5130" max="5130" width="4" style="18" customWidth="1"/>
    <col min="5131" max="5131" width="5.85546875" style="18" customWidth="1"/>
    <col min="5132" max="5132" width="6.42578125" style="18" customWidth="1"/>
    <col min="5133" max="5133" width="20.28515625" style="18" customWidth="1"/>
    <col min="5134" max="5134" width="7.42578125" style="18" customWidth="1"/>
    <col min="5135" max="5135" width="12.7109375" style="18" customWidth="1"/>
    <col min="5136" max="5136" width="5.85546875" style="18" customWidth="1"/>
    <col min="5137" max="5137" width="8.7109375" style="18" customWidth="1"/>
    <col min="5138" max="5138" width="25.5703125" style="18" customWidth="1"/>
    <col min="5139" max="5139" width="6" style="18" customWidth="1"/>
    <col min="5140" max="5140" width="7.42578125" style="18" customWidth="1"/>
    <col min="5141" max="5141" width="7.140625" style="18" customWidth="1"/>
    <col min="5142" max="5142" width="7" style="18" customWidth="1"/>
    <col min="5143" max="5143" width="6" style="18" customWidth="1"/>
    <col min="5144" max="5144" width="6.28515625" style="18" customWidth="1"/>
    <col min="5145" max="5145" width="6.42578125" style="18" customWidth="1"/>
    <col min="5146" max="5146" width="19.140625" style="18" customWidth="1"/>
    <col min="5147" max="5147" width="8.140625" style="18" customWidth="1"/>
    <col min="5148" max="5148" width="8.7109375" style="18" customWidth="1"/>
    <col min="5149" max="5149" width="11.28515625" style="18" customWidth="1"/>
    <col min="5150" max="5150" width="22.85546875" style="18" customWidth="1"/>
    <col min="5151" max="5151" width="9.42578125" style="18" customWidth="1"/>
    <col min="5152" max="5152" width="9.85546875" style="18" customWidth="1"/>
    <col min="5153" max="5154" width="15.85546875" style="18" customWidth="1"/>
    <col min="5155" max="5155" width="15" style="18" customWidth="1"/>
    <col min="5156" max="5156" width="23.28515625" style="18" customWidth="1"/>
    <col min="5157" max="5157" width="26.42578125" style="18" customWidth="1"/>
    <col min="5158" max="5158" width="11.28515625" style="18" customWidth="1"/>
    <col min="5159" max="5159" width="19.5703125" style="18" customWidth="1"/>
    <col min="5160" max="5160" width="14.42578125" style="18" customWidth="1"/>
    <col min="5161" max="5161" width="18.42578125" style="18" customWidth="1"/>
    <col min="5162" max="5162" width="10.28515625" style="18" customWidth="1"/>
    <col min="5163" max="5163" width="36.42578125" style="18" customWidth="1"/>
    <col min="5164" max="5164" width="20.5703125" style="18" customWidth="1"/>
    <col min="5165" max="5165" width="16.42578125" style="18" customWidth="1"/>
    <col min="5166" max="5166" width="14.5703125" style="18" customWidth="1"/>
    <col min="5167" max="5167" width="10" style="18" customWidth="1"/>
    <col min="5168" max="5168" width="8" style="18" customWidth="1"/>
    <col min="5169" max="5169" width="16" style="18" customWidth="1"/>
    <col min="5170" max="5170" width="16.42578125" style="18" customWidth="1"/>
    <col min="5171" max="5171" width="9" style="18"/>
    <col min="5172" max="5172" width="16.28515625" style="18" customWidth="1"/>
    <col min="5173" max="5182" width="9" style="18"/>
    <col min="5183" max="5183" width="12.5703125" style="18" customWidth="1"/>
    <col min="5184" max="5184" width="22.85546875" style="18" customWidth="1"/>
    <col min="5185" max="5185" width="8.7109375" style="18" customWidth="1"/>
    <col min="5186" max="5186" width="19.7109375" style="18" customWidth="1"/>
    <col min="5187" max="5187" width="9.42578125" style="18" customWidth="1"/>
    <col min="5188" max="5188" width="9" style="18"/>
    <col min="5189" max="5189" width="10.85546875" style="18" customWidth="1"/>
    <col min="5190" max="5190" width="9.85546875" style="18" customWidth="1"/>
    <col min="5191" max="5385" width="9" style="18"/>
    <col min="5386" max="5386" width="4" style="18" customWidth="1"/>
    <col min="5387" max="5387" width="5.85546875" style="18" customWidth="1"/>
    <col min="5388" max="5388" width="6.42578125" style="18" customWidth="1"/>
    <col min="5389" max="5389" width="20.28515625" style="18" customWidth="1"/>
    <col min="5390" max="5390" width="7.42578125" style="18" customWidth="1"/>
    <col min="5391" max="5391" width="12.7109375" style="18" customWidth="1"/>
    <col min="5392" max="5392" width="5.85546875" style="18" customWidth="1"/>
    <col min="5393" max="5393" width="8.7109375" style="18" customWidth="1"/>
    <col min="5394" max="5394" width="25.5703125" style="18" customWidth="1"/>
    <col min="5395" max="5395" width="6" style="18" customWidth="1"/>
    <col min="5396" max="5396" width="7.42578125" style="18" customWidth="1"/>
    <col min="5397" max="5397" width="7.140625" style="18" customWidth="1"/>
    <col min="5398" max="5398" width="7" style="18" customWidth="1"/>
    <col min="5399" max="5399" width="6" style="18" customWidth="1"/>
    <col min="5400" max="5400" width="6.28515625" style="18" customWidth="1"/>
    <col min="5401" max="5401" width="6.42578125" style="18" customWidth="1"/>
    <col min="5402" max="5402" width="19.140625" style="18" customWidth="1"/>
    <col min="5403" max="5403" width="8.140625" style="18" customWidth="1"/>
    <col min="5404" max="5404" width="8.7109375" style="18" customWidth="1"/>
    <col min="5405" max="5405" width="11.28515625" style="18" customWidth="1"/>
    <col min="5406" max="5406" width="22.85546875" style="18" customWidth="1"/>
    <col min="5407" max="5407" width="9.42578125" style="18" customWidth="1"/>
    <col min="5408" max="5408" width="9.85546875" style="18" customWidth="1"/>
    <col min="5409" max="5410" width="15.85546875" style="18" customWidth="1"/>
    <col min="5411" max="5411" width="15" style="18" customWidth="1"/>
    <col min="5412" max="5412" width="23.28515625" style="18" customWidth="1"/>
    <col min="5413" max="5413" width="26.42578125" style="18" customWidth="1"/>
    <col min="5414" max="5414" width="11.28515625" style="18" customWidth="1"/>
    <col min="5415" max="5415" width="19.5703125" style="18" customWidth="1"/>
    <col min="5416" max="5416" width="14.42578125" style="18" customWidth="1"/>
    <col min="5417" max="5417" width="18.42578125" style="18" customWidth="1"/>
    <col min="5418" max="5418" width="10.28515625" style="18" customWidth="1"/>
    <col min="5419" max="5419" width="36.42578125" style="18" customWidth="1"/>
    <col min="5420" max="5420" width="20.5703125" style="18" customWidth="1"/>
    <col min="5421" max="5421" width="16.42578125" style="18" customWidth="1"/>
    <col min="5422" max="5422" width="14.5703125" style="18" customWidth="1"/>
    <col min="5423" max="5423" width="10" style="18" customWidth="1"/>
    <col min="5424" max="5424" width="8" style="18" customWidth="1"/>
    <col min="5425" max="5425" width="16" style="18" customWidth="1"/>
    <col min="5426" max="5426" width="16.42578125" style="18" customWidth="1"/>
    <col min="5427" max="5427" width="9" style="18"/>
    <col min="5428" max="5428" width="16.28515625" style="18" customWidth="1"/>
    <col min="5429" max="5438" width="9" style="18"/>
    <col min="5439" max="5439" width="12.5703125" style="18" customWidth="1"/>
    <col min="5440" max="5440" width="22.85546875" style="18" customWidth="1"/>
    <col min="5441" max="5441" width="8.7109375" style="18" customWidth="1"/>
    <col min="5442" max="5442" width="19.7109375" style="18" customWidth="1"/>
    <col min="5443" max="5443" width="9.42578125" style="18" customWidth="1"/>
    <col min="5444" max="5444" width="9" style="18"/>
    <col min="5445" max="5445" width="10.85546875" style="18" customWidth="1"/>
    <col min="5446" max="5446" width="9.85546875" style="18" customWidth="1"/>
    <col min="5447" max="5641" width="9" style="18"/>
    <col min="5642" max="5642" width="4" style="18" customWidth="1"/>
    <col min="5643" max="5643" width="5.85546875" style="18" customWidth="1"/>
    <col min="5644" max="5644" width="6.42578125" style="18" customWidth="1"/>
    <col min="5645" max="5645" width="20.28515625" style="18" customWidth="1"/>
    <col min="5646" max="5646" width="7.42578125" style="18" customWidth="1"/>
    <col min="5647" max="5647" width="12.7109375" style="18" customWidth="1"/>
    <col min="5648" max="5648" width="5.85546875" style="18" customWidth="1"/>
    <col min="5649" max="5649" width="8.7109375" style="18" customWidth="1"/>
    <col min="5650" max="5650" width="25.5703125" style="18" customWidth="1"/>
    <col min="5651" max="5651" width="6" style="18" customWidth="1"/>
    <col min="5652" max="5652" width="7.42578125" style="18" customWidth="1"/>
    <col min="5653" max="5653" width="7.140625" style="18" customWidth="1"/>
    <col min="5654" max="5654" width="7" style="18" customWidth="1"/>
    <col min="5655" max="5655" width="6" style="18" customWidth="1"/>
    <col min="5656" max="5656" width="6.28515625" style="18" customWidth="1"/>
    <col min="5657" max="5657" width="6.42578125" style="18" customWidth="1"/>
    <col min="5658" max="5658" width="19.140625" style="18" customWidth="1"/>
    <col min="5659" max="5659" width="8.140625" style="18" customWidth="1"/>
    <col min="5660" max="5660" width="8.7109375" style="18" customWidth="1"/>
    <col min="5661" max="5661" width="11.28515625" style="18" customWidth="1"/>
    <col min="5662" max="5662" width="22.85546875" style="18" customWidth="1"/>
    <col min="5663" max="5663" width="9.42578125" style="18" customWidth="1"/>
    <col min="5664" max="5664" width="9.85546875" style="18" customWidth="1"/>
    <col min="5665" max="5666" width="15.85546875" style="18" customWidth="1"/>
    <col min="5667" max="5667" width="15" style="18" customWidth="1"/>
    <col min="5668" max="5668" width="23.28515625" style="18" customWidth="1"/>
    <col min="5669" max="5669" width="26.42578125" style="18" customWidth="1"/>
    <col min="5670" max="5670" width="11.28515625" style="18" customWidth="1"/>
    <col min="5671" max="5671" width="19.5703125" style="18" customWidth="1"/>
    <col min="5672" max="5672" width="14.42578125" style="18" customWidth="1"/>
    <col min="5673" max="5673" width="18.42578125" style="18" customWidth="1"/>
    <col min="5674" max="5674" width="10.28515625" style="18" customWidth="1"/>
    <col min="5675" max="5675" width="36.42578125" style="18" customWidth="1"/>
    <col min="5676" max="5676" width="20.5703125" style="18" customWidth="1"/>
    <col min="5677" max="5677" width="16.42578125" style="18" customWidth="1"/>
    <col min="5678" max="5678" width="14.5703125" style="18" customWidth="1"/>
    <col min="5679" max="5679" width="10" style="18" customWidth="1"/>
    <col min="5680" max="5680" width="8" style="18" customWidth="1"/>
    <col min="5681" max="5681" width="16" style="18" customWidth="1"/>
    <col min="5682" max="5682" width="16.42578125" style="18" customWidth="1"/>
    <col min="5683" max="5683" width="9" style="18"/>
    <col min="5684" max="5684" width="16.28515625" style="18" customWidth="1"/>
    <col min="5685" max="5694" width="9" style="18"/>
    <col min="5695" max="5695" width="12.5703125" style="18" customWidth="1"/>
    <col min="5696" max="5696" width="22.85546875" style="18" customWidth="1"/>
    <col min="5697" max="5697" width="8.7109375" style="18" customWidth="1"/>
    <col min="5698" max="5698" width="19.7109375" style="18" customWidth="1"/>
    <col min="5699" max="5699" width="9.42578125" style="18" customWidth="1"/>
    <col min="5700" max="5700" width="9" style="18"/>
    <col min="5701" max="5701" width="10.85546875" style="18" customWidth="1"/>
    <col min="5702" max="5702" width="9.85546875" style="18" customWidth="1"/>
    <col min="5703" max="5897" width="9" style="18"/>
    <col min="5898" max="5898" width="4" style="18" customWidth="1"/>
    <col min="5899" max="5899" width="5.85546875" style="18" customWidth="1"/>
    <col min="5900" max="5900" width="6.42578125" style="18" customWidth="1"/>
    <col min="5901" max="5901" width="20.28515625" style="18" customWidth="1"/>
    <col min="5902" max="5902" width="7.42578125" style="18" customWidth="1"/>
    <col min="5903" max="5903" width="12.7109375" style="18" customWidth="1"/>
    <col min="5904" max="5904" width="5.85546875" style="18" customWidth="1"/>
    <col min="5905" max="5905" width="8.7109375" style="18" customWidth="1"/>
    <col min="5906" max="5906" width="25.5703125" style="18" customWidth="1"/>
    <col min="5907" max="5907" width="6" style="18" customWidth="1"/>
    <col min="5908" max="5908" width="7.42578125" style="18" customWidth="1"/>
    <col min="5909" max="5909" width="7.140625" style="18" customWidth="1"/>
    <col min="5910" max="5910" width="7" style="18" customWidth="1"/>
    <col min="5911" max="5911" width="6" style="18" customWidth="1"/>
    <col min="5912" max="5912" width="6.28515625" style="18" customWidth="1"/>
    <col min="5913" max="5913" width="6.42578125" style="18" customWidth="1"/>
    <col min="5914" max="5914" width="19.140625" style="18" customWidth="1"/>
    <col min="5915" max="5915" width="8.140625" style="18" customWidth="1"/>
    <col min="5916" max="5916" width="8.7109375" style="18" customWidth="1"/>
    <col min="5917" max="5917" width="11.28515625" style="18" customWidth="1"/>
    <col min="5918" max="5918" width="22.85546875" style="18" customWidth="1"/>
    <col min="5919" max="5919" width="9.42578125" style="18" customWidth="1"/>
    <col min="5920" max="5920" width="9.85546875" style="18" customWidth="1"/>
    <col min="5921" max="5922" width="15.85546875" style="18" customWidth="1"/>
    <col min="5923" max="5923" width="15" style="18" customWidth="1"/>
    <col min="5924" max="5924" width="23.28515625" style="18" customWidth="1"/>
    <col min="5925" max="5925" width="26.42578125" style="18" customWidth="1"/>
    <col min="5926" max="5926" width="11.28515625" style="18" customWidth="1"/>
    <col min="5927" max="5927" width="19.5703125" style="18" customWidth="1"/>
    <col min="5928" max="5928" width="14.42578125" style="18" customWidth="1"/>
    <col min="5929" max="5929" width="18.42578125" style="18" customWidth="1"/>
    <col min="5930" max="5930" width="10.28515625" style="18" customWidth="1"/>
    <col min="5931" max="5931" width="36.42578125" style="18" customWidth="1"/>
    <col min="5932" max="5932" width="20.5703125" style="18" customWidth="1"/>
    <col min="5933" max="5933" width="16.42578125" style="18" customWidth="1"/>
    <col min="5934" max="5934" width="14.5703125" style="18" customWidth="1"/>
    <col min="5935" max="5935" width="10" style="18" customWidth="1"/>
    <col min="5936" max="5936" width="8" style="18" customWidth="1"/>
    <col min="5937" max="5937" width="16" style="18" customWidth="1"/>
    <col min="5938" max="5938" width="16.42578125" style="18" customWidth="1"/>
    <col min="5939" max="5939" width="9" style="18"/>
    <col min="5940" max="5940" width="16.28515625" style="18" customWidth="1"/>
    <col min="5941" max="5950" width="9" style="18"/>
    <col min="5951" max="5951" width="12.5703125" style="18" customWidth="1"/>
    <col min="5952" max="5952" width="22.85546875" style="18" customWidth="1"/>
    <col min="5953" max="5953" width="8.7109375" style="18" customWidth="1"/>
    <col min="5954" max="5954" width="19.7109375" style="18" customWidth="1"/>
    <col min="5955" max="5955" width="9.42578125" style="18" customWidth="1"/>
    <col min="5956" max="5956" width="9" style="18"/>
    <col min="5957" max="5957" width="10.85546875" style="18" customWidth="1"/>
    <col min="5958" max="5958" width="9.85546875" style="18" customWidth="1"/>
    <col min="5959" max="6153" width="9" style="18"/>
    <col min="6154" max="6154" width="4" style="18" customWidth="1"/>
    <col min="6155" max="6155" width="5.85546875" style="18" customWidth="1"/>
    <col min="6156" max="6156" width="6.42578125" style="18" customWidth="1"/>
    <col min="6157" max="6157" width="20.28515625" style="18" customWidth="1"/>
    <col min="6158" max="6158" width="7.42578125" style="18" customWidth="1"/>
    <col min="6159" max="6159" width="12.7109375" style="18" customWidth="1"/>
    <col min="6160" max="6160" width="5.85546875" style="18" customWidth="1"/>
    <col min="6161" max="6161" width="8.7109375" style="18" customWidth="1"/>
    <col min="6162" max="6162" width="25.5703125" style="18" customWidth="1"/>
    <col min="6163" max="6163" width="6" style="18" customWidth="1"/>
    <col min="6164" max="6164" width="7.42578125" style="18" customWidth="1"/>
    <col min="6165" max="6165" width="7.140625" style="18" customWidth="1"/>
    <col min="6166" max="6166" width="7" style="18" customWidth="1"/>
    <col min="6167" max="6167" width="6" style="18" customWidth="1"/>
    <col min="6168" max="6168" width="6.28515625" style="18" customWidth="1"/>
    <col min="6169" max="6169" width="6.42578125" style="18" customWidth="1"/>
    <col min="6170" max="6170" width="19.140625" style="18" customWidth="1"/>
    <col min="6171" max="6171" width="8.140625" style="18" customWidth="1"/>
    <col min="6172" max="6172" width="8.7109375" style="18" customWidth="1"/>
    <col min="6173" max="6173" width="11.28515625" style="18" customWidth="1"/>
    <col min="6174" max="6174" width="22.85546875" style="18" customWidth="1"/>
    <col min="6175" max="6175" width="9.42578125" style="18" customWidth="1"/>
    <col min="6176" max="6176" width="9.85546875" style="18" customWidth="1"/>
    <col min="6177" max="6178" width="15.85546875" style="18" customWidth="1"/>
    <col min="6179" max="6179" width="15" style="18" customWidth="1"/>
    <col min="6180" max="6180" width="23.28515625" style="18" customWidth="1"/>
    <col min="6181" max="6181" width="26.42578125" style="18" customWidth="1"/>
    <col min="6182" max="6182" width="11.28515625" style="18" customWidth="1"/>
    <col min="6183" max="6183" width="19.5703125" style="18" customWidth="1"/>
    <col min="6184" max="6184" width="14.42578125" style="18" customWidth="1"/>
    <col min="6185" max="6185" width="18.42578125" style="18" customWidth="1"/>
    <col min="6186" max="6186" width="10.28515625" style="18" customWidth="1"/>
    <col min="6187" max="6187" width="36.42578125" style="18" customWidth="1"/>
    <col min="6188" max="6188" width="20.5703125" style="18" customWidth="1"/>
    <col min="6189" max="6189" width="16.42578125" style="18" customWidth="1"/>
    <col min="6190" max="6190" width="14.5703125" style="18" customWidth="1"/>
    <col min="6191" max="6191" width="10" style="18" customWidth="1"/>
    <col min="6192" max="6192" width="8" style="18" customWidth="1"/>
    <col min="6193" max="6193" width="16" style="18" customWidth="1"/>
    <col min="6194" max="6194" width="16.42578125" style="18" customWidth="1"/>
    <col min="6195" max="6195" width="9" style="18"/>
    <col min="6196" max="6196" width="16.28515625" style="18" customWidth="1"/>
    <col min="6197" max="6206" width="9" style="18"/>
    <col min="6207" max="6207" width="12.5703125" style="18" customWidth="1"/>
    <col min="6208" max="6208" width="22.85546875" style="18" customWidth="1"/>
    <col min="6209" max="6209" width="8.7109375" style="18" customWidth="1"/>
    <col min="6210" max="6210" width="19.7109375" style="18" customWidth="1"/>
    <col min="6211" max="6211" width="9.42578125" style="18" customWidth="1"/>
    <col min="6212" max="6212" width="9" style="18"/>
    <col min="6213" max="6213" width="10.85546875" style="18" customWidth="1"/>
    <col min="6214" max="6214" width="9.85546875" style="18" customWidth="1"/>
    <col min="6215" max="6409" width="9" style="18"/>
    <col min="6410" max="6410" width="4" style="18" customWidth="1"/>
    <col min="6411" max="6411" width="5.85546875" style="18" customWidth="1"/>
    <col min="6412" max="6412" width="6.42578125" style="18" customWidth="1"/>
    <col min="6413" max="6413" width="20.28515625" style="18" customWidth="1"/>
    <col min="6414" max="6414" width="7.42578125" style="18" customWidth="1"/>
    <col min="6415" max="6415" width="12.7109375" style="18" customWidth="1"/>
    <col min="6416" max="6416" width="5.85546875" style="18" customWidth="1"/>
    <col min="6417" max="6417" width="8.7109375" style="18" customWidth="1"/>
    <col min="6418" max="6418" width="25.5703125" style="18" customWidth="1"/>
    <col min="6419" max="6419" width="6" style="18" customWidth="1"/>
    <col min="6420" max="6420" width="7.42578125" style="18" customWidth="1"/>
    <col min="6421" max="6421" width="7.140625" style="18" customWidth="1"/>
    <col min="6422" max="6422" width="7" style="18" customWidth="1"/>
    <col min="6423" max="6423" width="6" style="18" customWidth="1"/>
    <col min="6424" max="6424" width="6.28515625" style="18" customWidth="1"/>
    <col min="6425" max="6425" width="6.42578125" style="18" customWidth="1"/>
    <col min="6426" max="6426" width="19.140625" style="18" customWidth="1"/>
    <col min="6427" max="6427" width="8.140625" style="18" customWidth="1"/>
    <col min="6428" max="6428" width="8.7109375" style="18" customWidth="1"/>
    <col min="6429" max="6429" width="11.28515625" style="18" customWidth="1"/>
    <col min="6430" max="6430" width="22.85546875" style="18" customWidth="1"/>
    <col min="6431" max="6431" width="9.42578125" style="18" customWidth="1"/>
    <col min="6432" max="6432" width="9.85546875" style="18" customWidth="1"/>
    <col min="6433" max="6434" width="15.85546875" style="18" customWidth="1"/>
    <col min="6435" max="6435" width="15" style="18" customWidth="1"/>
    <col min="6436" max="6436" width="23.28515625" style="18" customWidth="1"/>
    <col min="6437" max="6437" width="26.42578125" style="18" customWidth="1"/>
    <col min="6438" max="6438" width="11.28515625" style="18" customWidth="1"/>
    <col min="6439" max="6439" width="19.5703125" style="18" customWidth="1"/>
    <col min="6440" max="6440" width="14.42578125" style="18" customWidth="1"/>
    <col min="6441" max="6441" width="18.42578125" style="18" customWidth="1"/>
    <col min="6442" max="6442" width="10.28515625" style="18" customWidth="1"/>
    <col min="6443" max="6443" width="36.42578125" style="18" customWidth="1"/>
    <col min="6444" max="6444" width="20.5703125" style="18" customWidth="1"/>
    <col min="6445" max="6445" width="16.42578125" style="18" customWidth="1"/>
    <col min="6446" max="6446" width="14.5703125" style="18" customWidth="1"/>
    <col min="6447" max="6447" width="10" style="18" customWidth="1"/>
    <col min="6448" max="6448" width="8" style="18" customWidth="1"/>
    <col min="6449" max="6449" width="16" style="18" customWidth="1"/>
    <col min="6450" max="6450" width="16.42578125" style="18" customWidth="1"/>
    <col min="6451" max="6451" width="9" style="18"/>
    <col min="6452" max="6452" width="16.28515625" style="18" customWidth="1"/>
    <col min="6453" max="6462" width="9" style="18"/>
    <col min="6463" max="6463" width="12.5703125" style="18" customWidth="1"/>
    <col min="6464" max="6464" width="22.85546875" style="18" customWidth="1"/>
    <col min="6465" max="6465" width="8.7109375" style="18" customWidth="1"/>
    <col min="6466" max="6466" width="19.7109375" style="18" customWidth="1"/>
    <col min="6467" max="6467" width="9.42578125" style="18" customWidth="1"/>
    <col min="6468" max="6468" width="9" style="18"/>
    <col min="6469" max="6469" width="10.85546875" style="18" customWidth="1"/>
    <col min="6470" max="6470" width="9.85546875" style="18" customWidth="1"/>
    <col min="6471" max="6665" width="9" style="18"/>
    <col min="6666" max="6666" width="4" style="18" customWidth="1"/>
    <col min="6667" max="6667" width="5.85546875" style="18" customWidth="1"/>
    <col min="6668" max="6668" width="6.42578125" style="18" customWidth="1"/>
    <col min="6669" max="6669" width="20.28515625" style="18" customWidth="1"/>
    <col min="6670" max="6670" width="7.42578125" style="18" customWidth="1"/>
    <col min="6671" max="6671" width="12.7109375" style="18" customWidth="1"/>
    <col min="6672" max="6672" width="5.85546875" style="18" customWidth="1"/>
    <col min="6673" max="6673" width="8.7109375" style="18" customWidth="1"/>
    <col min="6674" max="6674" width="25.5703125" style="18" customWidth="1"/>
    <col min="6675" max="6675" width="6" style="18" customWidth="1"/>
    <col min="6676" max="6676" width="7.42578125" style="18" customWidth="1"/>
    <col min="6677" max="6677" width="7.140625" style="18" customWidth="1"/>
    <col min="6678" max="6678" width="7" style="18" customWidth="1"/>
    <col min="6679" max="6679" width="6" style="18" customWidth="1"/>
    <col min="6680" max="6680" width="6.28515625" style="18" customWidth="1"/>
    <col min="6681" max="6681" width="6.42578125" style="18" customWidth="1"/>
    <col min="6682" max="6682" width="19.140625" style="18" customWidth="1"/>
    <col min="6683" max="6683" width="8.140625" style="18" customWidth="1"/>
    <col min="6684" max="6684" width="8.7109375" style="18" customWidth="1"/>
    <col min="6685" max="6685" width="11.28515625" style="18" customWidth="1"/>
    <col min="6686" max="6686" width="22.85546875" style="18" customWidth="1"/>
    <col min="6687" max="6687" width="9.42578125" style="18" customWidth="1"/>
    <col min="6688" max="6688" width="9.85546875" style="18" customWidth="1"/>
    <col min="6689" max="6690" width="15.85546875" style="18" customWidth="1"/>
    <col min="6691" max="6691" width="15" style="18" customWidth="1"/>
    <col min="6692" max="6692" width="23.28515625" style="18" customWidth="1"/>
    <col min="6693" max="6693" width="26.42578125" style="18" customWidth="1"/>
    <col min="6694" max="6694" width="11.28515625" style="18" customWidth="1"/>
    <col min="6695" max="6695" width="19.5703125" style="18" customWidth="1"/>
    <col min="6696" max="6696" width="14.42578125" style="18" customWidth="1"/>
    <col min="6697" max="6697" width="18.42578125" style="18" customWidth="1"/>
    <col min="6698" max="6698" width="10.28515625" style="18" customWidth="1"/>
    <col min="6699" max="6699" width="36.42578125" style="18" customWidth="1"/>
    <col min="6700" max="6700" width="20.5703125" style="18" customWidth="1"/>
    <col min="6701" max="6701" width="16.42578125" style="18" customWidth="1"/>
    <col min="6702" max="6702" width="14.5703125" style="18" customWidth="1"/>
    <col min="6703" max="6703" width="10" style="18" customWidth="1"/>
    <col min="6704" max="6704" width="8" style="18" customWidth="1"/>
    <col min="6705" max="6705" width="16" style="18" customWidth="1"/>
    <col min="6706" max="6706" width="16.42578125" style="18" customWidth="1"/>
    <col min="6707" max="6707" width="9" style="18"/>
    <col min="6708" max="6708" width="16.28515625" style="18" customWidth="1"/>
    <col min="6709" max="6718" width="9" style="18"/>
    <col min="6719" max="6719" width="12.5703125" style="18" customWidth="1"/>
    <col min="6720" max="6720" width="22.85546875" style="18" customWidth="1"/>
    <col min="6721" max="6721" width="8.7109375" style="18" customWidth="1"/>
    <col min="6722" max="6722" width="19.7109375" style="18" customWidth="1"/>
    <col min="6723" max="6723" width="9.42578125" style="18" customWidth="1"/>
    <col min="6724" max="6724" width="9" style="18"/>
    <col min="6725" max="6725" width="10.85546875" style="18" customWidth="1"/>
    <col min="6726" max="6726" width="9.85546875" style="18" customWidth="1"/>
    <col min="6727" max="6921" width="9" style="18"/>
    <col min="6922" max="6922" width="4" style="18" customWidth="1"/>
    <col min="6923" max="6923" width="5.85546875" style="18" customWidth="1"/>
    <col min="6924" max="6924" width="6.42578125" style="18" customWidth="1"/>
    <col min="6925" max="6925" width="20.28515625" style="18" customWidth="1"/>
    <col min="6926" max="6926" width="7.42578125" style="18" customWidth="1"/>
    <col min="6927" max="6927" width="12.7109375" style="18" customWidth="1"/>
    <col min="6928" max="6928" width="5.85546875" style="18" customWidth="1"/>
    <col min="6929" max="6929" width="8.7109375" style="18" customWidth="1"/>
    <col min="6930" max="6930" width="25.5703125" style="18" customWidth="1"/>
    <col min="6931" max="6931" width="6" style="18" customWidth="1"/>
    <col min="6932" max="6932" width="7.42578125" style="18" customWidth="1"/>
    <col min="6933" max="6933" width="7.140625" style="18" customWidth="1"/>
    <col min="6934" max="6934" width="7" style="18" customWidth="1"/>
    <col min="6935" max="6935" width="6" style="18" customWidth="1"/>
    <col min="6936" max="6936" width="6.28515625" style="18" customWidth="1"/>
    <col min="6937" max="6937" width="6.42578125" style="18" customWidth="1"/>
    <col min="6938" max="6938" width="19.140625" style="18" customWidth="1"/>
    <col min="6939" max="6939" width="8.140625" style="18" customWidth="1"/>
    <col min="6940" max="6940" width="8.7109375" style="18" customWidth="1"/>
    <col min="6941" max="6941" width="11.28515625" style="18" customWidth="1"/>
    <col min="6942" max="6942" width="22.85546875" style="18" customWidth="1"/>
    <col min="6943" max="6943" width="9.42578125" style="18" customWidth="1"/>
    <col min="6944" max="6944" width="9.85546875" style="18" customWidth="1"/>
    <col min="6945" max="6946" width="15.85546875" style="18" customWidth="1"/>
    <col min="6947" max="6947" width="15" style="18" customWidth="1"/>
    <col min="6948" max="6948" width="23.28515625" style="18" customWidth="1"/>
    <col min="6949" max="6949" width="26.42578125" style="18" customWidth="1"/>
    <col min="6950" max="6950" width="11.28515625" style="18" customWidth="1"/>
    <col min="6951" max="6951" width="19.5703125" style="18" customWidth="1"/>
    <col min="6952" max="6952" width="14.42578125" style="18" customWidth="1"/>
    <col min="6953" max="6953" width="18.42578125" style="18" customWidth="1"/>
    <col min="6954" max="6954" width="10.28515625" style="18" customWidth="1"/>
    <col min="6955" max="6955" width="36.42578125" style="18" customWidth="1"/>
    <col min="6956" max="6956" width="20.5703125" style="18" customWidth="1"/>
    <col min="6957" max="6957" width="16.42578125" style="18" customWidth="1"/>
    <col min="6958" max="6958" width="14.5703125" style="18" customWidth="1"/>
    <col min="6959" max="6959" width="10" style="18" customWidth="1"/>
    <col min="6960" max="6960" width="8" style="18" customWidth="1"/>
    <col min="6961" max="6961" width="16" style="18" customWidth="1"/>
    <col min="6962" max="6962" width="16.42578125" style="18" customWidth="1"/>
    <col min="6963" max="6963" width="9" style="18"/>
    <col min="6964" max="6964" width="16.28515625" style="18" customWidth="1"/>
    <col min="6965" max="6974" width="9" style="18"/>
    <col min="6975" max="6975" width="12.5703125" style="18" customWidth="1"/>
    <col min="6976" max="6976" width="22.85546875" style="18" customWidth="1"/>
    <col min="6977" max="6977" width="8.7109375" style="18" customWidth="1"/>
    <col min="6978" max="6978" width="19.7109375" style="18" customWidth="1"/>
    <col min="6979" max="6979" width="9.42578125" style="18" customWidth="1"/>
    <col min="6980" max="6980" width="9" style="18"/>
    <col min="6981" max="6981" width="10.85546875" style="18" customWidth="1"/>
    <col min="6982" max="6982" width="9.85546875" style="18" customWidth="1"/>
    <col min="6983" max="7177" width="9" style="18"/>
    <col min="7178" max="7178" width="4" style="18" customWidth="1"/>
    <col min="7179" max="7179" width="5.85546875" style="18" customWidth="1"/>
    <col min="7180" max="7180" width="6.42578125" style="18" customWidth="1"/>
    <col min="7181" max="7181" width="20.28515625" style="18" customWidth="1"/>
    <col min="7182" max="7182" width="7.42578125" style="18" customWidth="1"/>
    <col min="7183" max="7183" width="12.7109375" style="18" customWidth="1"/>
    <col min="7184" max="7184" width="5.85546875" style="18" customWidth="1"/>
    <col min="7185" max="7185" width="8.7109375" style="18" customWidth="1"/>
    <col min="7186" max="7186" width="25.5703125" style="18" customWidth="1"/>
    <col min="7187" max="7187" width="6" style="18" customWidth="1"/>
    <col min="7188" max="7188" width="7.42578125" style="18" customWidth="1"/>
    <col min="7189" max="7189" width="7.140625" style="18" customWidth="1"/>
    <col min="7190" max="7190" width="7" style="18" customWidth="1"/>
    <col min="7191" max="7191" width="6" style="18" customWidth="1"/>
    <col min="7192" max="7192" width="6.28515625" style="18" customWidth="1"/>
    <col min="7193" max="7193" width="6.42578125" style="18" customWidth="1"/>
    <col min="7194" max="7194" width="19.140625" style="18" customWidth="1"/>
    <col min="7195" max="7195" width="8.140625" style="18" customWidth="1"/>
    <col min="7196" max="7196" width="8.7109375" style="18" customWidth="1"/>
    <col min="7197" max="7197" width="11.28515625" style="18" customWidth="1"/>
    <col min="7198" max="7198" width="22.85546875" style="18" customWidth="1"/>
    <col min="7199" max="7199" width="9.42578125" style="18" customWidth="1"/>
    <col min="7200" max="7200" width="9.85546875" style="18" customWidth="1"/>
    <col min="7201" max="7202" width="15.85546875" style="18" customWidth="1"/>
    <col min="7203" max="7203" width="15" style="18" customWidth="1"/>
    <col min="7204" max="7204" width="23.28515625" style="18" customWidth="1"/>
    <col min="7205" max="7205" width="26.42578125" style="18" customWidth="1"/>
    <col min="7206" max="7206" width="11.28515625" style="18" customWidth="1"/>
    <col min="7207" max="7207" width="19.5703125" style="18" customWidth="1"/>
    <col min="7208" max="7208" width="14.42578125" style="18" customWidth="1"/>
    <col min="7209" max="7209" width="18.42578125" style="18" customWidth="1"/>
    <col min="7210" max="7210" width="10.28515625" style="18" customWidth="1"/>
    <col min="7211" max="7211" width="36.42578125" style="18" customWidth="1"/>
    <col min="7212" max="7212" width="20.5703125" style="18" customWidth="1"/>
    <col min="7213" max="7213" width="16.42578125" style="18" customWidth="1"/>
    <col min="7214" max="7214" width="14.5703125" style="18" customWidth="1"/>
    <col min="7215" max="7215" width="10" style="18" customWidth="1"/>
    <col min="7216" max="7216" width="8" style="18" customWidth="1"/>
    <col min="7217" max="7217" width="16" style="18" customWidth="1"/>
    <col min="7218" max="7218" width="16.42578125" style="18" customWidth="1"/>
    <col min="7219" max="7219" width="9" style="18"/>
    <col min="7220" max="7220" width="16.28515625" style="18" customWidth="1"/>
    <col min="7221" max="7230" width="9" style="18"/>
    <col min="7231" max="7231" width="12.5703125" style="18" customWidth="1"/>
    <col min="7232" max="7232" width="22.85546875" style="18" customWidth="1"/>
    <col min="7233" max="7233" width="8.7109375" style="18" customWidth="1"/>
    <col min="7234" max="7234" width="19.7109375" style="18" customWidth="1"/>
    <col min="7235" max="7235" width="9.42578125" style="18" customWidth="1"/>
    <col min="7236" max="7236" width="9" style="18"/>
    <col min="7237" max="7237" width="10.85546875" style="18" customWidth="1"/>
    <col min="7238" max="7238" width="9.85546875" style="18" customWidth="1"/>
    <col min="7239" max="7433" width="9" style="18"/>
    <col min="7434" max="7434" width="4" style="18" customWidth="1"/>
    <col min="7435" max="7435" width="5.85546875" style="18" customWidth="1"/>
    <col min="7436" max="7436" width="6.42578125" style="18" customWidth="1"/>
    <col min="7437" max="7437" width="20.28515625" style="18" customWidth="1"/>
    <col min="7438" max="7438" width="7.42578125" style="18" customWidth="1"/>
    <col min="7439" max="7439" width="12.7109375" style="18" customWidth="1"/>
    <col min="7440" max="7440" width="5.85546875" style="18" customWidth="1"/>
    <col min="7441" max="7441" width="8.7109375" style="18" customWidth="1"/>
    <col min="7442" max="7442" width="25.5703125" style="18" customWidth="1"/>
    <col min="7443" max="7443" width="6" style="18" customWidth="1"/>
    <col min="7444" max="7444" width="7.42578125" style="18" customWidth="1"/>
    <col min="7445" max="7445" width="7.140625" style="18" customWidth="1"/>
    <col min="7446" max="7446" width="7" style="18" customWidth="1"/>
    <col min="7447" max="7447" width="6" style="18" customWidth="1"/>
    <col min="7448" max="7448" width="6.28515625" style="18" customWidth="1"/>
    <col min="7449" max="7449" width="6.42578125" style="18" customWidth="1"/>
    <col min="7450" max="7450" width="19.140625" style="18" customWidth="1"/>
    <col min="7451" max="7451" width="8.140625" style="18" customWidth="1"/>
    <col min="7452" max="7452" width="8.7109375" style="18" customWidth="1"/>
    <col min="7453" max="7453" width="11.28515625" style="18" customWidth="1"/>
    <col min="7454" max="7454" width="22.85546875" style="18" customWidth="1"/>
    <col min="7455" max="7455" width="9.42578125" style="18" customWidth="1"/>
    <col min="7456" max="7456" width="9.85546875" style="18" customWidth="1"/>
    <col min="7457" max="7458" width="15.85546875" style="18" customWidth="1"/>
    <col min="7459" max="7459" width="15" style="18" customWidth="1"/>
    <col min="7460" max="7460" width="23.28515625" style="18" customWidth="1"/>
    <col min="7461" max="7461" width="26.42578125" style="18" customWidth="1"/>
    <col min="7462" max="7462" width="11.28515625" style="18" customWidth="1"/>
    <col min="7463" max="7463" width="19.5703125" style="18" customWidth="1"/>
    <col min="7464" max="7464" width="14.42578125" style="18" customWidth="1"/>
    <col min="7465" max="7465" width="18.42578125" style="18" customWidth="1"/>
    <col min="7466" max="7466" width="10.28515625" style="18" customWidth="1"/>
    <col min="7467" max="7467" width="36.42578125" style="18" customWidth="1"/>
    <col min="7468" max="7468" width="20.5703125" style="18" customWidth="1"/>
    <col min="7469" max="7469" width="16.42578125" style="18" customWidth="1"/>
    <col min="7470" max="7470" width="14.5703125" style="18" customWidth="1"/>
    <col min="7471" max="7471" width="10" style="18" customWidth="1"/>
    <col min="7472" max="7472" width="8" style="18" customWidth="1"/>
    <col min="7473" max="7473" width="16" style="18" customWidth="1"/>
    <col min="7474" max="7474" width="16.42578125" style="18" customWidth="1"/>
    <col min="7475" max="7475" width="9" style="18"/>
    <col min="7476" max="7476" width="16.28515625" style="18" customWidth="1"/>
    <col min="7477" max="7486" width="9" style="18"/>
    <col min="7487" max="7487" width="12.5703125" style="18" customWidth="1"/>
    <col min="7488" max="7488" width="22.85546875" style="18" customWidth="1"/>
    <col min="7489" max="7489" width="8.7109375" style="18" customWidth="1"/>
    <col min="7490" max="7490" width="19.7109375" style="18" customWidth="1"/>
    <col min="7491" max="7491" width="9.42578125" style="18" customWidth="1"/>
    <col min="7492" max="7492" width="9" style="18"/>
    <col min="7493" max="7493" width="10.85546875" style="18" customWidth="1"/>
    <col min="7494" max="7494" width="9.85546875" style="18" customWidth="1"/>
    <col min="7495" max="7689" width="9" style="18"/>
    <col min="7690" max="7690" width="4" style="18" customWidth="1"/>
    <col min="7691" max="7691" width="5.85546875" style="18" customWidth="1"/>
    <col min="7692" max="7692" width="6.42578125" style="18" customWidth="1"/>
    <col min="7693" max="7693" width="20.28515625" style="18" customWidth="1"/>
    <col min="7694" max="7694" width="7.42578125" style="18" customWidth="1"/>
    <col min="7695" max="7695" width="12.7109375" style="18" customWidth="1"/>
    <col min="7696" max="7696" width="5.85546875" style="18" customWidth="1"/>
    <col min="7697" max="7697" width="8.7109375" style="18" customWidth="1"/>
    <col min="7698" max="7698" width="25.5703125" style="18" customWidth="1"/>
    <col min="7699" max="7699" width="6" style="18" customWidth="1"/>
    <col min="7700" max="7700" width="7.42578125" style="18" customWidth="1"/>
    <col min="7701" max="7701" width="7.140625" style="18" customWidth="1"/>
    <col min="7702" max="7702" width="7" style="18" customWidth="1"/>
    <col min="7703" max="7703" width="6" style="18" customWidth="1"/>
    <col min="7704" max="7704" width="6.28515625" style="18" customWidth="1"/>
    <col min="7705" max="7705" width="6.42578125" style="18" customWidth="1"/>
    <col min="7706" max="7706" width="19.140625" style="18" customWidth="1"/>
    <col min="7707" max="7707" width="8.140625" style="18" customWidth="1"/>
    <col min="7708" max="7708" width="8.7109375" style="18" customWidth="1"/>
    <col min="7709" max="7709" width="11.28515625" style="18" customWidth="1"/>
    <col min="7710" max="7710" width="22.85546875" style="18" customWidth="1"/>
    <col min="7711" max="7711" width="9.42578125" style="18" customWidth="1"/>
    <col min="7712" max="7712" width="9.85546875" style="18" customWidth="1"/>
    <col min="7713" max="7714" width="15.85546875" style="18" customWidth="1"/>
    <col min="7715" max="7715" width="15" style="18" customWidth="1"/>
    <col min="7716" max="7716" width="23.28515625" style="18" customWidth="1"/>
    <col min="7717" max="7717" width="26.42578125" style="18" customWidth="1"/>
    <col min="7718" max="7718" width="11.28515625" style="18" customWidth="1"/>
    <col min="7719" max="7719" width="19.5703125" style="18" customWidth="1"/>
    <col min="7720" max="7720" width="14.42578125" style="18" customWidth="1"/>
    <col min="7721" max="7721" width="18.42578125" style="18" customWidth="1"/>
    <col min="7722" max="7722" width="10.28515625" style="18" customWidth="1"/>
    <col min="7723" max="7723" width="36.42578125" style="18" customWidth="1"/>
    <col min="7724" max="7724" width="20.5703125" style="18" customWidth="1"/>
    <col min="7725" max="7725" width="16.42578125" style="18" customWidth="1"/>
    <col min="7726" max="7726" width="14.5703125" style="18" customWidth="1"/>
    <col min="7727" max="7727" width="10" style="18" customWidth="1"/>
    <col min="7728" max="7728" width="8" style="18" customWidth="1"/>
    <col min="7729" max="7729" width="16" style="18" customWidth="1"/>
    <col min="7730" max="7730" width="16.42578125" style="18" customWidth="1"/>
    <col min="7731" max="7731" width="9" style="18"/>
    <col min="7732" max="7732" width="16.28515625" style="18" customWidth="1"/>
    <col min="7733" max="7742" width="9" style="18"/>
    <col min="7743" max="7743" width="12.5703125" style="18" customWidth="1"/>
    <col min="7744" max="7744" width="22.85546875" style="18" customWidth="1"/>
    <col min="7745" max="7745" width="8.7109375" style="18" customWidth="1"/>
    <col min="7746" max="7746" width="19.7109375" style="18" customWidth="1"/>
    <col min="7747" max="7747" width="9.42578125" style="18" customWidth="1"/>
    <col min="7748" max="7748" width="9" style="18"/>
    <col min="7749" max="7749" width="10.85546875" style="18" customWidth="1"/>
    <col min="7750" max="7750" width="9.85546875" style="18" customWidth="1"/>
    <col min="7751" max="7945" width="9" style="18"/>
    <col min="7946" max="7946" width="4" style="18" customWidth="1"/>
    <col min="7947" max="7947" width="5.85546875" style="18" customWidth="1"/>
    <col min="7948" max="7948" width="6.42578125" style="18" customWidth="1"/>
    <col min="7949" max="7949" width="20.28515625" style="18" customWidth="1"/>
    <col min="7950" max="7950" width="7.42578125" style="18" customWidth="1"/>
    <col min="7951" max="7951" width="12.7109375" style="18" customWidth="1"/>
    <col min="7952" max="7952" width="5.85546875" style="18" customWidth="1"/>
    <col min="7953" max="7953" width="8.7109375" style="18" customWidth="1"/>
    <col min="7954" max="7954" width="25.5703125" style="18" customWidth="1"/>
    <col min="7955" max="7955" width="6" style="18" customWidth="1"/>
    <col min="7956" max="7956" width="7.42578125" style="18" customWidth="1"/>
    <col min="7957" max="7957" width="7.140625" style="18" customWidth="1"/>
    <col min="7958" max="7958" width="7" style="18" customWidth="1"/>
    <col min="7959" max="7959" width="6" style="18" customWidth="1"/>
    <col min="7960" max="7960" width="6.28515625" style="18" customWidth="1"/>
    <col min="7961" max="7961" width="6.42578125" style="18" customWidth="1"/>
    <col min="7962" max="7962" width="19.140625" style="18" customWidth="1"/>
    <col min="7963" max="7963" width="8.140625" style="18" customWidth="1"/>
    <col min="7964" max="7964" width="8.7109375" style="18" customWidth="1"/>
    <col min="7965" max="7965" width="11.28515625" style="18" customWidth="1"/>
    <col min="7966" max="7966" width="22.85546875" style="18" customWidth="1"/>
    <col min="7967" max="7967" width="9.42578125" style="18" customWidth="1"/>
    <col min="7968" max="7968" width="9.85546875" style="18" customWidth="1"/>
    <col min="7969" max="7970" width="15.85546875" style="18" customWidth="1"/>
    <col min="7971" max="7971" width="15" style="18" customWidth="1"/>
    <col min="7972" max="7972" width="23.28515625" style="18" customWidth="1"/>
    <col min="7973" max="7973" width="26.42578125" style="18" customWidth="1"/>
    <col min="7974" max="7974" width="11.28515625" style="18" customWidth="1"/>
    <col min="7975" max="7975" width="19.5703125" style="18" customWidth="1"/>
    <col min="7976" max="7976" width="14.42578125" style="18" customWidth="1"/>
    <col min="7977" max="7977" width="18.42578125" style="18" customWidth="1"/>
    <col min="7978" max="7978" width="10.28515625" style="18" customWidth="1"/>
    <col min="7979" max="7979" width="36.42578125" style="18" customWidth="1"/>
    <col min="7980" max="7980" width="20.5703125" style="18" customWidth="1"/>
    <col min="7981" max="7981" width="16.42578125" style="18" customWidth="1"/>
    <col min="7982" max="7982" width="14.5703125" style="18" customWidth="1"/>
    <col min="7983" max="7983" width="10" style="18" customWidth="1"/>
    <col min="7984" max="7984" width="8" style="18" customWidth="1"/>
    <col min="7985" max="7985" width="16" style="18" customWidth="1"/>
    <col min="7986" max="7986" width="16.42578125" style="18" customWidth="1"/>
    <col min="7987" max="7987" width="9" style="18"/>
    <col min="7988" max="7988" width="16.28515625" style="18" customWidth="1"/>
    <col min="7989" max="7998" width="9" style="18"/>
    <col min="7999" max="7999" width="12.5703125" style="18" customWidth="1"/>
    <col min="8000" max="8000" width="22.85546875" style="18" customWidth="1"/>
    <col min="8001" max="8001" width="8.7109375" style="18" customWidth="1"/>
    <col min="8002" max="8002" width="19.7109375" style="18" customWidth="1"/>
    <col min="8003" max="8003" width="9.42578125" style="18" customWidth="1"/>
    <col min="8004" max="8004" width="9" style="18"/>
    <col min="8005" max="8005" width="10.85546875" style="18" customWidth="1"/>
    <col min="8006" max="8006" width="9.85546875" style="18" customWidth="1"/>
    <col min="8007" max="8201" width="9" style="18"/>
    <col min="8202" max="8202" width="4" style="18" customWidth="1"/>
    <col min="8203" max="8203" width="5.85546875" style="18" customWidth="1"/>
    <col min="8204" max="8204" width="6.42578125" style="18" customWidth="1"/>
    <col min="8205" max="8205" width="20.28515625" style="18" customWidth="1"/>
    <col min="8206" max="8206" width="7.42578125" style="18" customWidth="1"/>
    <col min="8207" max="8207" width="12.7109375" style="18" customWidth="1"/>
    <col min="8208" max="8208" width="5.85546875" style="18" customWidth="1"/>
    <col min="8209" max="8209" width="8.7109375" style="18" customWidth="1"/>
    <col min="8210" max="8210" width="25.5703125" style="18" customWidth="1"/>
    <col min="8211" max="8211" width="6" style="18" customWidth="1"/>
    <col min="8212" max="8212" width="7.42578125" style="18" customWidth="1"/>
    <col min="8213" max="8213" width="7.140625" style="18" customWidth="1"/>
    <col min="8214" max="8214" width="7" style="18" customWidth="1"/>
    <col min="8215" max="8215" width="6" style="18" customWidth="1"/>
    <col min="8216" max="8216" width="6.28515625" style="18" customWidth="1"/>
    <col min="8217" max="8217" width="6.42578125" style="18" customWidth="1"/>
    <col min="8218" max="8218" width="19.140625" style="18" customWidth="1"/>
    <col min="8219" max="8219" width="8.140625" style="18" customWidth="1"/>
    <col min="8220" max="8220" width="8.7109375" style="18" customWidth="1"/>
    <col min="8221" max="8221" width="11.28515625" style="18" customWidth="1"/>
    <col min="8222" max="8222" width="22.85546875" style="18" customWidth="1"/>
    <col min="8223" max="8223" width="9.42578125" style="18" customWidth="1"/>
    <col min="8224" max="8224" width="9.85546875" style="18" customWidth="1"/>
    <col min="8225" max="8226" width="15.85546875" style="18" customWidth="1"/>
    <col min="8227" max="8227" width="15" style="18" customWidth="1"/>
    <col min="8228" max="8228" width="23.28515625" style="18" customWidth="1"/>
    <col min="8229" max="8229" width="26.42578125" style="18" customWidth="1"/>
    <col min="8230" max="8230" width="11.28515625" style="18" customWidth="1"/>
    <col min="8231" max="8231" width="19.5703125" style="18" customWidth="1"/>
    <col min="8232" max="8232" width="14.42578125" style="18" customWidth="1"/>
    <col min="8233" max="8233" width="18.42578125" style="18" customWidth="1"/>
    <col min="8234" max="8234" width="10.28515625" style="18" customWidth="1"/>
    <col min="8235" max="8235" width="36.42578125" style="18" customWidth="1"/>
    <col min="8236" max="8236" width="20.5703125" style="18" customWidth="1"/>
    <col min="8237" max="8237" width="16.42578125" style="18" customWidth="1"/>
    <col min="8238" max="8238" width="14.5703125" style="18" customWidth="1"/>
    <col min="8239" max="8239" width="10" style="18" customWidth="1"/>
    <col min="8240" max="8240" width="8" style="18" customWidth="1"/>
    <col min="8241" max="8241" width="16" style="18" customWidth="1"/>
    <col min="8242" max="8242" width="16.42578125" style="18" customWidth="1"/>
    <col min="8243" max="8243" width="9" style="18"/>
    <col min="8244" max="8244" width="16.28515625" style="18" customWidth="1"/>
    <col min="8245" max="8254" width="9" style="18"/>
    <col min="8255" max="8255" width="12.5703125" style="18" customWidth="1"/>
    <col min="8256" max="8256" width="22.85546875" style="18" customWidth="1"/>
    <col min="8257" max="8257" width="8.7109375" style="18" customWidth="1"/>
    <col min="8258" max="8258" width="19.7109375" style="18" customWidth="1"/>
    <col min="8259" max="8259" width="9.42578125" style="18" customWidth="1"/>
    <col min="8260" max="8260" width="9" style="18"/>
    <col min="8261" max="8261" width="10.85546875" style="18" customWidth="1"/>
    <col min="8262" max="8262" width="9.85546875" style="18" customWidth="1"/>
    <col min="8263" max="8457" width="9" style="18"/>
    <col min="8458" max="8458" width="4" style="18" customWidth="1"/>
    <col min="8459" max="8459" width="5.85546875" style="18" customWidth="1"/>
    <col min="8460" max="8460" width="6.42578125" style="18" customWidth="1"/>
    <col min="8461" max="8461" width="20.28515625" style="18" customWidth="1"/>
    <col min="8462" max="8462" width="7.42578125" style="18" customWidth="1"/>
    <col min="8463" max="8463" width="12.7109375" style="18" customWidth="1"/>
    <col min="8464" max="8464" width="5.85546875" style="18" customWidth="1"/>
    <col min="8465" max="8465" width="8.7109375" style="18" customWidth="1"/>
    <col min="8466" max="8466" width="25.5703125" style="18" customWidth="1"/>
    <col min="8467" max="8467" width="6" style="18" customWidth="1"/>
    <col min="8468" max="8468" width="7.42578125" style="18" customWidth="1"/>
    <col min="8469" max="8469" width="7.140625" style="18" customWidth="1"/>
    <col min="8470" max="8470" width="7" style="18" customWidth="1"/>
    <col min="8471" max="8471" width="6" style="18" customWidth="1"/>
    <col min="8472" max="8472" width="6.28515625" style="18" customWidth="1"/>
    <col min="8473" max="8473" width="6.42578125" style="18" customWidth="1"/>
    <col min="8474" max="8474" width="19.140625" style="18" customWidth="1"/>
    <col min="8475" max="8475" width="8.140625" style="18" customWidth="1"/>
    <col min="8476" max="8476" width="8.7109375" style="18" customWidth="1"/>
    <col min="8477" max="8477" width="11.28515625" style="18" customWidth="1"/>
    <col min="8478" max="8478" width="22.85546875" style="18" customWidth="1"/>
    <col min="8479" max="8479" width="9.42578125" style="18" customWidth="1"/>
    <col min="8480" max="8480" width="9.85546875" style="18" customWidth="1"/>
    <col min="8481" max="8482" width="15.85546875" style="18" customWidth="1"/>
    <col min="8483" max="8483" width="15" style="18" customWidth="1"/>
    <col min="8484" max="8484" width="23.28515625" style="18" customWidth="1"/>
    <col min="8485" max="8485" width="26.42578125" style="18" customWidth="1"/>
    <col min="8486" max="8486" width="11.28515625" style="18" customWidth="1"/>
    <col min="8487" max="8487" width="19.5703125" style="18" customWidth="1"/>
    <col min="8488" max="8488" width="14.42578125" style="18" customWidth="1"/>
    <col min="8489" max="8489" width="18.42578125" style="18" customWidth="1"/>
    <col min="8490" max="8490" width="10.28515625" style="18" customWidth="1"/>
    <col min="8491" max="8491" width="36.42578125" style="18" customWidth="1"/>
    <col min="8492" max="8492" width="20.5703125" style="18" customWidth="1"/>
    <col min="8493" max="8493" width="16.42578125" style="18" customWidth="1"/>
    <col min="8494" max="8494" width="14.5703125" style="18" customWidth="1"/>
    <col min="8495" max="8495" width="10" style="18" customWidth="1"/>
    <col min="8496" max="8496" width="8" style="18" customWidth="1"/>
    <col min="8497" max="8497" width="16" style="18" customWidth="1"/>
    <col min="8498" max="8498" width="16.42578125" style="18" customWidth="1"/>
    <col min="8499" max="8499" width="9" style="18"/>
    <col min="8500" max="8500" width="16.28515625" style="18" customWidth="1"/>
    <col min="8501" max="8510" width="9" style="18"/>
    <col min="8511" max="8511" width="12.5703125" style="18" customWidth="1"/>
    <col min="8512" max="8512" width="22.85546875" style="18" customWidth="1"/>
    <col min="8513" max="8513" width="8.7109375" style="18" customWidth="1"/>
    <col min="8514" max="8514" width="19.7109375" style="18" customWidth="1"/>
    <col min="8515" max="8515" width="9.42578125" style="18" customWidth="1"/>
    <col min="8516" max="8516" width="9" style="18"/>
    <col min="8517" max="8517" width="10.85546875" style="18" customWidth="1"/>
    <col min="8518" max="8518" width="9.85546875" style="18" customWidth="1"/>
    <col min="8519" max="8713" width="9" style="18"/>
    <col min="8714" max="8714" width="4" style="18" customWidth="1"/>
    <col min="8715" max="8715" width="5.85546875" style="18" customWidth="1"/>
    <col min="8716" max="8716" width="6.42578125" style="18" customWidth="1"/>
    <col min="8717" max="8717" width="20.28515625" style="18" customWidth="1"/>
    <col min="8718" max="8718" width="7.42578125" style="18" customWidth="1"/>
    <col min="8719" max="8719" width="12.7109375" style="18" customWidth="1"/>
    <col min="8720" max="8720" width="5.85546875" style="18" customWidth="1"/>
    <col min="8721" max="8721" width="8.7109375" style="18" customWidth="1"/>
    <col min="8722" max="8722" width="25.5703125" style="18" customWidth="1"/>
    <col min="8723" max="8723" width="6" style="18" customWidth="1"/>
    <col min="8724" max="8724" width="7.42578125" style="18" customWidth="1"/>
    <col min="8725" max="8725" width="7.140625" style="18" customWidth="1"/>
    <col min="8726" max="8726" width="7" style="18" customWidth="1"/>
    <col min="8727" max="8727" width="6" style="18" customWidth="1"/>
    <col min="8728" max="8728" width="6.28515625" style="18" customWidth="1"/>
    <col min="8729" max="8729" width="6.42578125" style="18" customWidth="1"/>
    <col min="8730" max="8730" width="19.140625" style="18" customWidth="1"/>
    <col min="8731" max="8731" width="8.140625" style="18" customWidth="1"/>
    <col min="8732" max="8732" width="8.7109375" style="18" customWidth="1"/>
    <col min="8733" max="8733" width="11.28515625" style="18" customWidth="1"/>
    <col min="8734" max="8734" width="22.85546875" style="18" customWidth="1"/>
    <col min="8735" max="8735" width="9.42578125" style="18" customWidth="1"/>
    <col min="8736" max="8736" width="9.85546875" style="18" customWidth="1"/>
    <col min="8737" max="8738" width="15.85546875" style="18" customWidth="1"/>
    <col min="8739" max="8739" width="15" style="18" customWidth="1"/>
    <col min="8740" max="8740" width="23.28515625" style="18" customWidth="1"/>
    <col min="8741" max="8741" width="26.42578125" style="18" customWidth="1"/>
    <col min="8742" max="8742" width="11.28515625" style="18" customWidth="1"/>
    <col min="8743" max="8743" width="19.5703125" style="18" customWidth="1"/>
    <col min="8744" max="8744" width="14.42578125" style="18" customWidth="1"/>
    <col min="8745" max="8745" width="18.42578125" style="18" customWidth="1"/>
    <col min="8746" max="8746" width="10.28515625" style="18" customWidth="1"/>
    <col min="8747" max="8747" width="36.42578125" style="18" customWidth="1"/>
    <col min="8748" max="8748" width="20.5703125" style="18" customWidth="1"/>
    <col min="8749" max="8749" width="16.42578125" style="18" customWidth="1"/>
    <col min="8750" max="8750" width="14.5703125" style="18" customWidth="1"/>
    <col min="8751" max="8751" width="10" style="18" customWidth="1"/>
    <col min="8752" max="8752" width="8" style="18" customWidth="1"/>
    <col min="8753" max="8753" width="16" style="18" customWidth="1"/>
    <col min="8754" max="8754" width="16.42578125" style="18" customWidth="1"/>
    <col min="8755" max="8755" width="9" style="18"/>
    <col min="8756" max="8756" width="16.28515625" style="18" customWidth="1"/>
    <col min="8757" max="8766" width="9" style="18"/>
    <col min="8767" max="8767" width="12.5703125" style="18" customWidth="1"/>
    <col min="8768" max="8768" width="22.85546875" style="18" customWidth="1"/>
    <col min="8769" max="8769" width="8.7109375" style="18" customWidth="1"/>
    <col min="8770" max="8770" width="19.7109375" style="18" customWidth="1"/>
    <col min="8771" max="8771" width="9.42578125" style="18" customWidth="1"/>
    <col min="8772" max="8772" width="9" style="18"/>
    <col min="8773" max="8773" width="10.85546875" style="18" customWidth="1"/>
    <col min="8774" max="8774" width="9.85546875" style="18" customWidth="1"/>
    <col min="8775" max="8969" width="9" style="18"/>
    <col min="8970" max="8970" width="4" style="18" customWidth="1"/>
    <col min="8971" max="8971" width="5.85546875" style="18" customWidth="1"/>
    <col min="8972" max="8972" width="6.42578125" style="18" customWidth="1"/>
    <col min="8973" max="8973" width="20.28515625" style="18" customWidth="1"/>
    <col min="8974" max="8974" width="7.42578125" style="18" customWidth="1"/>
    <col min="8975" max="8975" width="12.7109375" style="18" customWidth="1"/>
    <col min="8976" max="8976" width="5.85546875" style="18" customWidth="1"/>
    <col min="8977" max="8977" width="8.7109375" style="18" customWidth="1"/>
    <col min="8978" max="8978" width="25.5703125" style="18" customWidth="1"/>
    <col min="8979" max="8979" width="6" style="18" customWidth="1"/>
    <col min="8980" max="8980" width="7.42578125" style="18" customWidth="1"/>
    <col min="8981" max="8981" width="7.140625" style="18" customWidth="1"/>
    <col min="8982" max="8982" width="7" style="18" customWidth="1"/>
    <col min="8983" max="8983" width="6" style="18" customWidth="1"/>
    <col min="8984" max="8984" width="6.28515625" style="18" customWidth="1"/>
    <col min="8985" max="8985" width="6.42578125" style="18" customWidth="1"/>
    <col min="8986" max="8986" width="19.140625" style="18" customWidth="1"/>
    <col min="8987" max="8987" width="8.140625" style="18" customWidth="1"/>
    <col min="8988" max="8988" width="8.7109375" style="18" customWidth="1"/>
    <col min="8989" max="8989" width="11.28515625" style="18" customWidth="1"/>
    <col min="8990" max="8990" width="22.85546875" style="18" customWidth="1"/>
    <col min="8991" max="8991" width="9.42578125" style="18" customWidth="1"/>
    <col min="8992" max="8992" width="9.85546875" style="18" customWidth="1"/>
    <col min="8993" max="8994" width="15.85546875" style="18" customWidth="1"/>
    <col min="8995" max="8995" width="15" style="18" customWidth="1"/>
    <col min="8996" max="8996" width="23.28515625" style="18" customWidth="1"/>
    <col min="8997" max="8997" width="26.42578125" style="18" customWidth="1"/>
    <col min="8998" max="8998" width="11.28515625" style="18" customWidth="1"/>
    <col min="8999" max="8999" width="19.5703125" style="18" customWidth="1"/>
    <col min="9000" max="9000" width="14.42578125" style="18" customWidth="1"/>
    <col min="9001" max="9001" width="18.42578125" style="18" customWidth="1"/>
    <col min="9002" max="9002" width="10.28515625" style="18" customWidth="1"/>
    <col min="9003" max="9003" width="36.42578125" style="18" customWidth="1"/>
    <col min="9004" max="9004" width="20.5703125" style="18" customWidth="1"/>
    <col min="9005" max="9005" width="16.42578125" style="18" customWidth="1"/>
    <col min="9006" max="9006" width="14.5703125" style="18" customWidth="1"/>
    <col min="9007" max="9007" width="10" style="18" customWidth="1"/>
    <col min="9008" max="9008" width="8" style="18" customWidth="1"/>
    <col min="9009" max="9009" width="16" style="18" customWidth="1"/>
    <col min="9010" max="9010" width="16.42578125" style="18" customWidth="1"/>
    <col min="9011" max="9011" width="9" style="18"/>
    <col min="9012" max="9012" width="16.28515625" style="18" customWidth="1"/>
    <col min="9013" max="9022" width="9" style="18"/>
    <col min="9023" max="9023" width="12.5703125" style="18" customWidth="1"/>
    <col min="9024" max="9024" width="22.85546875" style="18" customWidth="1"/>
    <col min="9025" max="9025" width="8.7109375" style="18" customWidth="1"/>
    <col min="9026" max="9026" width="19.7109375" style="18" customWidth="1"/>
    <col min="9027" max="9027" width="9.42578125" style="18" customWidth="1"/>
    <col min="9028" max="9028" width="9" style="18"/>
    <col min="9029" max="9029" width="10.85546875" style="18" customWidth="1"/>
    <col min="9030" max="9030" width="9.85546875" style="18" customWidth="1"/>
    <col min="9031" max="9225" width="9" style="18"/>
    <col min="9226" max="9226" width="4" style="18" customWidth="1"/>
    <col min="9227" max="9227" width="5.85546875" style="18" customWidth="1"/>
    <col min="9228" max="9228" width="6.42578125" style="18" customWidth="1"/>
    <col min="9229" max="9229" width="20.28515625" style="18" customWidth="1"/>
    <col min="9230" max="9230" width="7.42578125" style="18" customWidth="1"/>
    <col min="9231" max="9231" width="12.7109375" style="18" customWidth="1"/>
    <col min="9232" max="9232" width="5.85546875" style="18" customWidth="1"/>
    <col min="9233" max="9233" width="8.7109375" style="18" customWidth="1"/>
    <col min="9234" max="9234" width="25.5703125" style="18" customWidth="1"/>
    <col min="9235" max="9235" width="6" style="18" customWidth="1"/>
    <col min="9236" max="9236" width="7.42578125" style="18" customWidth="1"/>
    <col min="9237" max="9237" width="7.140625" style="18" customWidth="1"/>
    <col min="9238" max="9238" width="7" style="18" customWidth="1"/>
    <col min="9239" max="9239" width="6" style="18" customWidth="1"/>
    <col min="9240" max="9240" width="6.28515625" style="18" customWidth="1"/>
    <col min="9241" max="9241" width="6.42578125" style="18" customWidth="1"/>
    <col min="9242" max="9242" width="19.140625" style="18" customWidth="1"/>
    <col min="9243" max="9243" width="8.140625" style="18" customWidth="1"/>
    <col min="9244" max="9244" width="8.7109375" style="18" customWidth="1"/>
    <col min="9245" max="9245" width="11.28515625" style="18" customWidth="1"/>
    <col min="9246" max="9246" width="22.85546875" style="18" customWidth="1"/>
    <col min="9247" max="9247" width="9.42578125" style="18" customWidth="1"/>
    <col min="9248" max="9248" width="9.85546875" style="18" customWidth="1"/>
    <col min="9249" max="9250" width="15.85546875" style="18" customWidth="1"/>
    <col min="9251" max="9251" width="15" style="18" customWidth="1"/>
    <col min="9252" max="9252" width="23.28515625" style="18" customWidth="1"/>
    <col min="9253" max="9253" width="26.42578125" style="18" customWidth="1"/>
    <col min="9254" max="9254" width="11.28515625" style="18" customWidth="1"/>
    <col min="9255" max="9255" width="19.5703125" style="18" customWidth="1"/>
    <col min="9256" max="9256" width="14.42578125" style="18" customWidth="1"/>
    <col min="9257" max="9257" width="18.42578125" style="18" customWidth="1"/>
    <col min="9258" max="9258" width="10.28515625" style="18" customWidth="1"/>
    <col min="9259" max="9259" width="36.42578125" style="18" customWidth="1"/>
    <col min="9260" max="9260" width="20.5703125" style="18" customWidth="1"/>
    <col min="9261" max="9261" width="16.42578125" style="18" customWidth="1"/>
    <col min="9262" max="9262" width="14.5703125" style="18" customWidth="1"/>
    <col min="9263" max="9263" width="10" style="18" customWidth="1"/>
    <col min="9264" max="9264" width="8" style="18" customWidth="1"/>
    <col min="9265" max="9265" width="16" style="18" customWidth="1"/>
    <col min="9266" max="9266" width="16.42578125" style="18" customWidth="1"/>
    <col min="9267" max="9267" width="9" style="18"/>
    <col min="9268" max="9268" width="16.28515625" style="18" customWidth="1"/>
    <col min="9269" max="9278" width="9" style="18"/>
    <col min="9279" max="9279" width="12.5703125" style="18" customWidth="1"/>
    <col min="9280" max="9280" width="22.85546875" style="18" customWidth="1"/>
    <col min="9281" max="9281" width="8.7109375" style="18" customWidth="1"/>
    <col min="9282" max="9282" width="19.7109375" style="18" customWidth="1"/>
    <col min="9283" max="9283" width="9.42578125" style="18" customWidth="1"/>
    <col min="9284" max="9284" width="9" style="18"/>
    <col min="9285" max="9285" width="10.85546875" style="18" customWidth="1"/>
    <col min="9286" max="9286" width="9.85546875" style="18" customWidth="1"/>
    <col min="9287" max="9481" width="9" style="18"/>
    <col min="9482" max="9482" width="4" style="18" customWidth="1"/>
    <col min="9483" max="9483" width="5.85546875" style="18" customWidth="1"/>
    <col min="9484" max="9484" width="6.42578125" style="18" customWidth="1"/>
    <col min="9485" max="9485" width="20.28515625" style="18" customWidth="1"/>
    <col min="9486" max="9486" width="7.42578125" style="18" customWidth="1"/>
    <col min="9487" max="9487" width="12.7109375" style="18" customWidth="1"/>
    <col min="9488" max="9488" width="5.85546875" style="18" customWidth="1"/>
    <col min="9489" max="9489" width="8.7109375" style="18" customWidth="1"/>
    <col min="9490" max="9490" width="25.5703125" style="18" customWidth="1"/>
    <col min="9491" max="9491" width="6" style="18" customWidth="1"/>
    <col min="9492" max="9492" width="7.42578125" style="18" customWidth="1"/>
    <col min="9493" max="9493" width="7.140625" style="18" customWidth="1"/>
    <col min="9494" max="9494" width="7" style="18" customWidth="1"/>
    <col min="9495" max="9495" width="6" style="18" customWidth="1"/>
    <col min="9496" max="9496" width="6.28515625" style="18" customWidth="1"/>
    <col min="9497" max="9497" width="6.42578125" style="18" customWidth="1"/>
    <col min="9498" max="9498" width="19.140625" style="18" customWidth="1"/>
    <col min="9499" max="9499" width="8.140625" style="18" customWidth="1"/>
    <col min="9500" max="9500" width="8.7109375" style="18" customWidth="1"/>
    <col min="9501" max="9501" width="11.28515625" style="18" customWidth="1"/>
    <col min="9502" max="9502" width="22.85546875" style="18" customWidth="1"/>
    <col min="9503" max="9503" width="9.42578125" style="18" customWidth="1"/>
    <col min="9504" max="9504" width="9.85546875" style="18" customWidth="1"/>
    <col min="9505" max="9506" width="15.85546875" style="18" customWidth="1"/>
    <col min="9507" max="9507" width="15" style="18" customWidth="1"/>
    <col min="9508" max="9508" width="23.28515625" style="18" customWidth="1"/>
    <col min="9509" max="9509" width="26.42578125" style="18" customWidth="1"/>
    <col min="9510" max="9510" width="11.28515625" style="18" customWidth="1"/>
    <col min="9511" max="9511" width="19.5703125" style="18" customWidth="1"/>
    <col min="9512" max="9512" width="14.42578125" style="18" customWidth="1"/>
    <col min="9513" max="9513" width="18.42578125" style="18" customWidth="1"/>
    <col min="9514" max="9514" width="10.28515625" style="18" customWidth="1"/>
    <col min="9515" max="9515" width="36.42578125" style="18" customWidth="1"/>
    <col min="9516" max="9516" width="20.5703125" style="18" customWidth="1"/>
    <col min="9517" max="9517" width="16.42578125" style="18" customWidth="1"/>
    <col min="9518" max="9518" width="14.5703125" style="18" customWidth="1"/>
    <col min="9519" max="9519" width="10" style="18" customWidth="1"/>
    <col min="9520" max="9520" width="8" style="18" customWidth="1"/>
    <col min="9521" max="9521" width="16" style="18" customWidth="1"/>
    <col min="9522" max="9522" width="16.42578125" style="18" customWidth="1"/>
    <col min="9523" max="9523" width="9" style="18"/>
    <col min="9524" max="9524" width="16.28515625" style="18" customWidth="1"/>
    <col min="9525" max="9534" width="9" style="18"/>
    <col min="9535" max="9535" width="12.5703125" style="18" customWidth="1"/>
    <col min="9536" max="9536" width="22.85546875" style="18" customWidth="1"/>
    <col min="9537" max="9537" width="8.7109375" style="18" customWidth="1"/>
    <col min="9538" max="9538" width="19.7109375" style="18" customWidth="1"/>
    <col min="9539" max="9539" width="9.42578125" style="18" customWidth="1"/>
    <col min="9540" max="9540" width="9" style="18"/>
    <col min="9541" max="9541" width="10.85546875" style="18" customWidth="1"/>
    <col min="9542" max="9542" width="9.85546875" style="18" customWidth="1"/>
    <col min="9543" max="9737" width="9" style="18"/>
    <col min="9738" max="9738" width="4" style="18" customWidth="1"/>
    <col min="9739" max="9739" width="5.85546875" style="18" customWidth="1"/>
    <col min="9740" max="9740" width="6.42578125" style="18" customWidth="1"/>
    <col min="9741" max="9741" width="20.28515625" style="18" customWidth="1"/>
    <col min="9742" max="9742" width="7.42578125" style="18" customWidth="1"/>
    <col min="9743" max="9743" width="12.7109375" style="18" customWidth="1"/>
    <col min="9744" max="9744" width="5.85546875" style="18" customWidth="1"/>
    <col min="9745" max="9745" width="8.7109375" style="18" customWidth="1"/>
    <col min="9746" max="9746" width="25.5703125" style="18" customWidth="1"/>
    <col min="9747" max="9747" width="6" style="18" customWidth="1"/>
    <col min="9748" max="9748" width="7.42578125" style="18" customWidth="1"/>
    <col min="9749" max="9749" width="7.140625" style="18" customWidth="1"/>
    <col min="9750" max="9750" width="7" style="18" customWidth="1"/>
    <col min="9751" max="9751" width="6" style="18" customWidth="1"/>
    <col min="9752" max="9752" width="6.28515625" style="18" customWidth="1"/>
    <col min="9753" max="9753" width="6.42578125" style="18" customWidth="1"/>
    <col min="9754" max="9754" width="19.140625" style="18" customWidth="1"/>
    <col min="9755" max="9755" width="8.140625" style="18" customWidth="1"/>
    <col min="9756" max="9756" width="8.7109375" style="18" customWidth="1"/>
    <col min="9757" max="9757" width="11.28515625" style="18" customWidth="1"/>
    <col min="9758" max="9758" width="22.85546875" style="18" customWidth="1"/>
    <col min="9759" max="9759" width="9.42578125" style="18" customWidth="1"/>
    <col min="9760" max="9760" width="9.85546875" style="18" customWidth="1"/>
    <col min="9761" max="9762" width="15.85546875" style="18" customWidth="1"/>
    <col min="9763" max="9763" width="15" style="18" customWidth="1"/>
    <col min="9764" max="9764" width="23.28515625" style="18" customWidth="1"/>
    <col min="9765" max="9765" width="26.42578125" style="18" customWidth="1"/>
    <col min="9766" max="9766" width="11.28515625" style="18" customWidth="1"/>
    <col min="9767" max="9767" width="19.5703125" style="18" customWidth="1"/>
    <col min="9768" max="9768" width="14.42578125" style="18" customWidth="1"/>
    <col min="9769" max="9769" width="18.42578125" style="18" customWidth="1"/>
    <col min="9770" max="9770" width="10.28515625" style="18" customWidth="1"/>
    <col min="9771" max="9771" width="36.42578125" style="18" customWidth="1"/>
    <col min="9772" max="9772" width="20.5703125" style="18" customWidth="1"/>
    <col min="9773" max="9773" width="16.42578125" style="18" customWidth="1"/>
    <col min="9774" max="9774" width="14.5703125" style="18" customWidth="1"/>
    <col min="9775" max="9775" width="10" style="18" customWidth="1"/>
    <col min="9776" max="9776" width="8" style="18" customWidth="1"/>
    <col min="9777" max="9777" width="16" style="18" customWidth="1"/>
    <col min="9778" max="9778" width="16.42578125" style="18" customWidth="1"/>
    <col min="9779" max="9779" width="9" style="18"/>
    <col min="9780" max="9780" width="16.28515625" style="18" customWidth="1"/>
    <col min="9781" max="9790" width="9" style="18"/>
    <col min="9791" max="9791" width="12.5703125" style="18" customWidth="1"/>
    <col min="9792" max="9792" width="22.85546875" style="18" customWidth="1"/>
    <col min="9793" max="9793" width="8.7109375" style="18" customWidth="1"/>
    <col min="9794" max="9794" width="19.7109375" style="18" customWidth="1"/>
    <col min="9795" max="9795" width="9.42578125" style="18" customWidth="1"/>
    <col min="9796" max="9796" width="9" style="18"/>
    <col min="9797" max="9797" width="10.85546875" style="18" customWidth="1"/>
    <col min="9798" max="9798" width="9.85546875" style="18" customWidth="1"/>
    <col min="9799" max="9993" width="9" style="18"/>
    <col min="9994" max="9994" width="4" style="18" customWidth="1"/>
    <col min="9995" max="9995" width="5.85546875" style="18" customWidth="1"/>
    <col min="9996" max="9996" width="6.42578125" style="18" customWidth="1"/>
    <col min="9997" max="9997" width="20.28515625" style="18" customWidth="1"/>
    <col min="9998" max="9998" width="7.42578125" style="18" customWidth="1"/>
    <col min="9999" max="9999" width="12.7109375" style="18" customWidth="1"/>
    <col min="10000" max="10000" width="5.85546875" style="18" customWidth="1"/>
    <col min="10001" max="10001" width="8.7109375" style="18" customWidth="1"/>
    <col min="10002" max="10002" width="25.5703125" style="18" customWidth="1"/>
    <col min="10003" max="10003" width="6" style="18" customWidth="1"/>
    <col min="10004" max="10004" width="7.42578125" style="18" customWidth="1"/>
    <col min="10005" max="10005" width="7.140625" style="18" customWidth="1"/>
    <col min="10006" max="10006" width="7" style="18" customWidth="1"/>
    <col min="10007" max="10007" width="6" style="18" customWidth="1"/>
    <col min="10008" max="10008" width="6.28515625" style="18" customWidth="1"/>
    <col min="10009" max="10009" width="6.42578125" style="18" customWidth="1"/>
    <col min="10010" max="10010" width="19.140625" style="18" customWidth="1"/>
    <col min="10011" max="10011" width="8.140625" style="18" customWidth="1"/>
    <col min="10012" max="10012" width="8.7109375" style="18" customWidth="1"/>
    <col min="10013" max="10013" width="11.28515625" style="18" customWidth="1"/>
    <col min="10014" max="10014" width="22.85546875" style="18" customWidth="1"/>
    <col min="10015" max="10015" width="9.42578125" style="18" customWidth="1"/>
    <col min="10016" max="10016" width="9.85546875" style="18" customWidth="1"/>
    <col min="10017" max="10018" width="15.85546875" style="18" customWidth="1"/>
    <col min="10019" max="10019" width="15" style="18" customWidth="1"/>
    <col min="10020" max="10020" width="23.28515625" style="18" customWidth="1"/>
    <col min="10021" max="10021" width="26.42578125" style="18" customWidth="1"/>
    <col min="10022" max="10022" width="11.28515625" style="18" customWidth="1"/>
    <col min="10023" max="10023" width="19.5703125" style="18" customWidth="1"/>
    <col min="10024" max="10024" width="14.42578125" style="18" customWidth="1"/>
    <col min="10025" max="10025" width="18.42578125" style="18" customWidth="1"/>
    <col min="10026" max="10026" width="10.28515625" style="18" customWidth="1"/>
    <col min="10027" max="10027" width="36.42578125" style="18" customWidth="1"/>
    <col min="10028" max="10028" width="20.5703125" style="18" customWidth="1"/>
    <col min="10029" max="10029" width="16.42578125" style="18" customWidth="1"/>
    <col min="10030" max="10030" width="14.5703125" style="18" customWidth="1"/>
    <col min="10031" max="10031" width="10" style="18" customWidth="1"/>
    <col min="10032" max="10032" width="8" style="18" customWidth="1"/>
    <col min="10033" max="10033" width="16" style="18" customWidth="1"/>
    <col min="10034" max="10034" width="16.42578125" style="18" customWidth="1"/>
    <col min="10035" max="10035" width="9" style="18"/>
    <col min="10036" max="10036" width="16.28515625" style="18" customWidth="1"/>
    <col min="10037" max="10046" width="9" style="18"/>
    <col min="10047" max="10047" width="12.5703125" style="18" customWidth="1"/>
    <col min="10048" max="10048" width="22.85546875" style="18" customWidth="1"/>
    <col min="10049" max="10049" width="8.7109375" style="18" customWidth="1"/>
    <col min="10050" max="10050" width="19.7109375" style="18" customWidth="1"/>
    <col min="10051" max="10051" width="9.42578125" style="18" customWidth="1"/>
    <col min="10052" max="10052" width="9" style="18"/>
    <col min="10053" max="10053" width="10.85546875" style="18" customWidth="1"/>
    <col min="10054" max="10054" width="9.85546875" style="18" customWidth="1"/>
    <col min="10055" max="10249" width="9" style="18"/>
    <col min="10250" max="10250" width="4" style="18" customWidth="1"/>
    <col min="10251" max="10251" width="5.85546875" style="18" customWidth="1"/>
    <col min="10252" max="10252" width="6.42578125" style="18" customWidth="1"/>
    <col min="10253" max="10253" width="20.28515625" style="18" customWidth="1"/>
    <col min="10254" max="10254" width="7.42578125" style="18" customWidth="1"/>
    <col min="10255" max="10255" width="12.7109375" style="18" customWidth="1"/>
    <col min="10256" max="10256" width="5.85546875" style="18" customWidth="1"/>
    <col min="10257" max="10257" width="8.7109375" style="18" customWidth="1"/>
    <col min="10258" max="10258" width="25.5703125" style="18" customWidth="1"/>
    <col min="10259" max="10259" width="6" style="18" customWidth="1"/>
    <col min="10260" max="10260" width="7.42578125" style="18" customWidth="1"/>
    <col min="10261" max="10261" width="7.140625" style="18" customWidth="1"/>
    <col min="10262" max="10262" width="7" style="18" customWidth="1"/>
    <col min="10263" max="10263" width="6" style="18" customWidth="1"/>
    <col min="10264" max="10264" width="6.28515625" style="18" customWidth="1"/>
    <col min="10265" max="10265" width="6.42578125" style="18" customWidth="1"/>
    <col min="10266" max="10266" width="19.140625" style="18" customWidth="1"/>
    <col min="10267" max="10267" width="8.140625" style="18" customWidth="1"/>
    <col min="10268" max="10268" width="8.7109375" style="18" customWidth="1"/>
    <col min="10269" max="10269" width="11.28515625" style="18" customWidth="1"/>
    <col min="10270" max="10270" width="22.85546875" style="18" customWidth="1"/>
    <col min="10271" max="10271" width="9.42578125" style="18" customWidth="1"/>
    <col min="10272" max="10272" width="9.85546875" style="18" customWidth="1"/>
    <col min="10273" max="10274" width="15.85546875" style="18" customWidth="1"/>
    <col min="10275" max="10275" width="15" style="18" customWidth="1"/>
    <col min="10276" max="10276" width="23.28515625" style="18" customWidth="1"/>
    <col min="10277" max="10277" width="26.42578125" style="18" customWidth="1"/>
    <col min="10278" max="10278" width="11.28515625" style="18" customWidth="1"/>
    <col min="10279" max="10279" width="19.5703125" style="18" customWidth="1"/>
    <col min="10280" max="10280" width="14.42578125" style="18" customWidth="1"/>
    <col min="10281" max="10281" width="18.42578125" style="18" customWidth="1"/>
    <col min="10282" max="10282" width="10.28515625" style="18" customWidth="1"/>
    <col min="10283" max="10283" width="36.42578125" style="18" customWidth="1"/>
    <col min="10284" max="10284" width="20.5703125" style="18" customWidth="1"/>
    <col min="10285" max="10285" width="16.42578125" style="18" customWidth="1"/>
    <col min="10286" max="10286" width="14.5703125" style="18" customWidth="1"/>
    <col min="10287" max="10287" width="10" style="18" customWidth="1"/>
    <col min="10288" max="10288" width="8" style="18" customWidth="1"/>
    <col min="10289" max="10289" width="16" style="18" customWidth="1"/>
    <col min="10290" max="10290" width="16.42578125" style="18" customWidth="1"/>
    <col min="10291" max="10291" width="9" style="18"/>
    <col min="10292" max="10292" width="16.28515625" style="18" customWidth="1"/>
    <col min="10293" max="10302" width="9" style="18"/>
    <col min="10303" max="10303" width="12.5703125" style="18" customWidth="1"/>
    <col min="10304" max="10304" width="22.85546875" style="18" customWidth="1"/>
    <col min="10305" max="10305" width="8.7109375" style="18" customWidth="1"/>
    <col min="10306" max="10306" width="19.7109375" style="18" customWidth="1"/>
    <col min="10307" max="10307" width="9.42578125" style="18" customWidth="1"/>
    <col min="10308" max="10308" width="9" style="18"/>
    <col min="10309" max="10309" width="10.85546875" style="18" customWidth="1"/>
    <col min="10310" max="10310" width="9.85546875" style="18" customWidth="1"/>
    <col min="10311" max="10505" width="9" style="18"/>
    <col min="10506" max="10506" width="4" style="18" customWidth="1"/>
    <col min="10507" max="10507" width="5.85546875" style="18" customWidth="1"/>
    <col min="10508" max="10508" width="6.42578125" style="18" customWidth="1"/>
    <col min="10509" max="10509" width="20.28515625" style="18" customWidth="1"/>
    <col min="10510" max="10510" width="7.42578125" style="18" customWidth="1"/>
    <col min="10511" max="10511" width="12.7109375" style="18" customWidth="1"/>
    <col min="10512" max="10512" width="5.85546875" style="18" customWidth="1"/>
    <col min="10513" max="10513" width="8.7109375" style="18" customWidth="1"/>
    <col min="10514" max="10514" width="25.5703125" style="18" customWidth="1"/>
    <col min="10515" max="10515" width="6" style="18" customWidth="1"/>
    <col min="10516" max="10516" width="7.42578125" style="18" customWidth="1"/>
    <col min="10517" max="10517" width="7.140625" style="18" customWidth="1"/>
    <col min="10518" max="10518" width="7" style="18" customWidth="1"/>
    <col min="10519" max="10519" width="6" style="18" customWidth="1"/>
    <col min="10520" max="10520" width="6.28515625" style="18" customWidth="1"/>
    <col min="10521" max="10521" width="6.42578125" style="18" customWidth="1"/>
    <col min="10522" max="10522" width="19.140625" style="18" customWidth="1"/>
    <col min="10523" max="10523" width="8.140625" style="18" customWidth="1"/>
    <col min="10524" max="10524" width="8.7109375" style="18" customWidth="1"/>
    <col min="10525" max="10525" width="11.28515625" style="18" customWidth="1"/>
    <col min="10526" max="10526" width="22.85546875" style="18" customWidth="1"/>
    <col min="10527" max="10527" width="9.42578125" style="18" customWidth="1"/>
    <col min="10528" max="10528" width="9.85546875" style="18" customWidth="1"/>
    <col min="10529" max="10530" width="15.85546875" style="18" customWidth="1"/>
    <col min="10531" max="10531" width="15" style="18" customWidth="1"/>
    <col min="10532" max="10532" width="23.28515625" style="18" customWidth="1"/>
    <col min="10533" max="10533" width="26.42578125" style="18" customWidth="1"/>
    <col min="10534" max="10534" width="11.28515625" style="18" customWidth="1"/>
    <col min="10535" max="10535" width="19.5703125" style="18" customWidth="1"/>
    <col min="10536" max="10536" width="14.42578125" style="18" customWidth="1"/>
    <col min="10537" max="10537" width="18.42578125" style="18" customWidth="1"/>
    <col min="10538" max="10538" width="10.28515625" style="18" customWidth="1"/>
    <col min="10539" max="10539" width="36.42578125" style="18" customWidth="1"/>
    <col min="10540" max="10540" width="20.5703125" style="18" customWidth="1"/>
    <col min="10541" max="10541" width="16.42578125" style="18" customWidth="1"/>
    <col min="10542" max="10542" width="14.5703125" style="18" customWidth="1"/>
    <col min="10543" max="10543" width="10" style="18" customWidth="1"/>
    <col min="10544" max="10544" width="8" style="18" customWidth="1"/>
    <col min="10545" max="10545" width="16" style="18" customWidth="1"/>
    <col min="10546" max="10546" width="16.42578125" style="18" customWidth="1"/>
    <col min="10547" max="10547" width="9" style="18"/>
    <col min="10548" max="10548" width="16.28515625" style="18" customWidth="1"/>
    <col min="10549" max="10558" width="9" style="18"/>
    <col min="10559" max="10559" width="12.5703125" style="18" customWidth="1"/>
    <col min="10560" max="10560" width="22.85546875" style="18" customWidth="1"/>
    <col min="10561" max="10561" width="8.7109375" style="18" customWidth="1"/>
    <col min="10562" max="10562" width="19.7109375" style="18" customWidth="1"/>
    <col min="10563" max="10563" width="9.42578125" style="18" customWidth="1"/>
    <col min="10564" max="10564" width="9" style="18"/>
    <col min="10565" max="10565" width="10.85546875" style="18" customWidth="1"/>
    <col min="10566" max="10566" width="9.85546875" style="18" customWidth="1"/>
    <col min="10567" max="10761" width="9" style="18"/>
    <col min="10762" max="10762" width="4" style="18" customWidth="1"/>
    <col min="10763" max="10763" width="5.85546875" style="18" customWidth="1"/>
    <col min="10764" max="10764" width="6.42578125" style="18" customWidth="1"/>
    <col min="10765" max="10765" width="20.28515625" style="18" customWidth="1"/>
    <col min="10766" max="10766" width="7.42578125" style="18" customWidth="1"/>
    <col min="10767" max="10767" width="12.7109375" style="18" customWidth="1"/>
    <col min="10768" max="10768" width="5.85546875" style="18" customWidth="1"/>
    <col min="10769" max="10769" width="8.7109375" style="18" customWidth="1"/>
    <col min="10770" max="10770" width="25.5703125" style="18" customWidth="1"/>
    <col min="10771" max="10771" width="6" style="18" customWidth="1"/>
    <col min="10772" max="10772" width="7.42578125" style="18" customWidth="1"/>
    <col min="10773" max="10773" width="7.140625" style="18" customWidth="1"/>
    <col min="10774" max="10774" width="7" style="18" customWidth="1"/>
    <col min="10775" max="10775" width="6" style="18" customWidth="1"/>
    <col min="10776" max="10776" width="6.28515625" style="18" customWidth="1"/>
    <col min="10777" max="10777" width="6.42578125" style="18" customWidth="1"/>
    <col min="10778" max="10778" width="19.140625" style="18" customWidth="1"/>
    <col min="10779" max="10779" width="8.140625" style="18" customWidth="1"/>
    <col min="10780" max="10780" width="8.7109375" style="18" customWidth="1"/>
    <col min="10781" max="10781" width="11.28515625" style="18" customWidth="1"/>
    <col min="10782" max="10782" width="22.85546875" style="18" customWidth="1"/>
    <col min="10783" max="10783" width="9.42578125" style="18" customWidth="1"/>
    <col min="10784" max="10784" width="9.85546875" style="18" customWidth="1"/>
    <col min="10785" max="10786" width="15.85546875" style="18" customWidth="1"/>
    <col min="10787" max="10787" width="15" style="18" customWidth="1"/>
    <col min="10788" max="10788" width="23.28515625" style="18" customWidth="1"/>
    <col min="10789" max="10789" width="26.42578125" style="18" customWidth="1"/>
    <col min="10790" max="10790" width="11.28515625" style="18" customWidth="1"/>
    <col min="10791" max="10791" width="19.5703125" style="18" customWidth="1"/>
    <col min="10792" max="10792" width="14.42578125" style="18" customWidth="1"/>
    <col min="10793" max="10793" width="18.42578125" style="18" customWidth="1"/>
    <col min="10794" max="10794" width="10.28515625" style="18" customWidth="1"/>
    <col min="10795" max="10795" width="36.42578125" style="18" customWidth="1"/>
    <col min="10796" max="10796" width="20.5703125" style="18" customWidth="1"/>
    <col min="10797" max="10797" width="16.42578125" style="18" customWidth="1"/>
    <col min="10798" max="10798" width="14.5703125" style="18" customWidth="1"/>
    <col min="10799" max="10799" width="10" style="18" customWidth="1"/>
    <col min="10800" max="10800" width="8" style="18" customWidth="1"/>
    <col min="10801" max="10801" width="16" style="18" customWidth="1"/>
    <col min="10802" max="10802" width="16.42578125" style="18" customWidth="1"/>
    <col min="10803" max="10803" width="9" style="18"/>
    <col min="10804" max="10804" width="16.28515625" style="18" customWidth="1"/>
    <col min="10805" max="10814" width="9" style="18"/>
    <col min="10815" max="10815" width="12.5703125" style="18" customWidth="1"/>
    <col min="10816" max="10816" width="22.85546875" style="18" customWidth="1"/>
    <col min="10817" max="10817" width="8.7109375" style="18" customWidth="1"/>
    <col min="10818" max="10818" width="19.7109375" style="18" customWidth="1"/>
    <col min="10819" max="10819" width="9.42578125" style="18" customWidth="1"/>
    <col min="10820" max="10820" width="9" style="18"/>
    <col min="10821" max="10821" width="10.85546875" style="18" customWidth="1"/>
    <col min="10822" max="10822" width="9.85546875" style="18" customWidth="1"/>
    <col min="10823" max="11017" width="9" style="18"/>
    <col min="11018" max="11018" width="4" style="18" customWidth="1"/>
    <col min="11019" max="11019" width="5.85546875" style="18" customWidth="1"/>
    <col min="11020" max="11020" width="6.42578125" style="18" customWidth="1"/>
    <col min="11021" max="11021" width="20.28515625" style="18" customWidth="1"/>
    <col min="11022" max="11022" width="7.42578125" style="18" customWidth="1"/>
    <col min="11023" max="11023" width="12.7109375" style="18" customWidth="1"/>
    <col min="11024" max="11024" width="5.85546875" style="18" customWidth="1"/>
    <col min="11025" max="11025" width="8.7109375" style="18" customWidth="1"/>
    <col min="11026" max="11026" width="25.5703125" style="18" customWidth="1"/>
    <col min="11027" max="11027" width="6" style="18" customWidth="1"/>
    <col min="11028" max="11028" width="7.42578125" style="18" customWidth="1"/>
    <col min="11029" max="11029" width="7.140625" style="18" customWidth="1"/>
    <col min="11030" max="11030" width="7" style="18" customWidth="1"/>
    <col min="11031" max="11031" width="6" style="18" customWidth="1"/>
    <col min="11032" max="11032" width="6.28515625" style="18" customWidth="1"/>
    <col min="11033" max="11033" width="6.42578125" style="18" customWidth="1"/>
    <col min="11034" max="11034" width="19.140625" style="18" customWidth="1"/>
    <col min="11035" max="11035" width="8.140625" style="18" customWidth="1"/>
    <col min="11036" max="11036" width="8.7109375" style="18" customWidth="1"/>
    <col min="11037" max="11037" width="11.28515625" style="18" customWidth="1"/>
    <col min="11038" max="11038" width="22.85546875" style="18" customWidth="1"/>
    <col min="11039" max="11039" width="9.42578125" style="18" customWidth="1"/>
    <col min="11040" max="11040" width="9.85546875" style="18" customWidth="1"/>
    <col min="11041" max="11042" width="15.85546875" style="18" customWidth="1"/>
    <col min="11043" max="11043" width="15" style="18" customWidth="1"/>
    <col min="11044" max="11044" width="23.28515625" style="18" customWidth="1"/>
    <col min="11045" max="11045" width="26.42578125" style="18" customWidth="1"/>
    <col min="11046" max="11046" width="11.28515625" style="18" customWidth="1"/>
    <col min="11047" max="11047" width="19.5703125" style="18" customWidth="1"/>
    <col min="11048" max="11048" width="14.42578125" style="18" customWidth="1"/>
    <col min="11049" max="11049" width="18.42578125" style="18" customWidth="1"/>
    <col min="11050" max="11050" width="10.28515625" style="18" customWidth="1"/>
    <col min="11051" max="11051" width="36.42578125" style="18" customWidth="1"/>
    <col min="11052" max="11052" width="20.5703125" style="18" customWidth="1"/>
    <col min="11053" max="11053" width="16.42578125" style="18" customWidth="1"/>
    <col min="11054" max="11054" width="14.5703125" style="18" customWidth="1"/>
    <col min="11055" max="11055" width="10" style="18" customWidth="1"/>
    <col min="11056" max="11056" width="8" style="18" customWidth="1"/>
    <col min="11057" max="11057" width="16" style="18" customWidth="1"/>
    <col min="11058" max="11058" width="16.42578125" style="18" customWidth="1"/>
    <col min="11059" max="11059" width="9" style="18"/>
    <col min="11060" max="11060" width="16.28515625" style="18" customWidth="1"/>
    <col min="11061" max="11070" width="9" style="18"/>
    <col min="11071" max="11071" width="12.5703125" style="18" customWidth="1"/>
    <col min="11072" max="11072" width="22.85546875" style="18" customWidth="1"/>
    <col min="11073" max="11073" width="8.7109375" style="18" customWidth="1"/>
    <col min="11074" max="11074" width="19.7109375" style="18" customWidth="1"/>
    <col min="11075" max="11075" width="9.42578125" style="18" customWidth="1"/>
    <col min="11076" max="11076" width="9" style="18"/>
    <col min="11077" max="11077" width="10.85546875" style="18" customWidth="1"/>
    <col min="11078" max="11078" width="9.85546875" style="18" customWidth="1"/>
    <col min="11079" max="11273" width="9" style="18"/>
    <col min="11274" max="11274" width="4" style="18" customWidth="1"/>
    <col min="11275" max="11275" width="5.85546875" style="18" customWidth="1"/>
    <col min="11276" max="11276" width="6.42578125" style="18" customWidth="1"/>
    <col min="11277" max="11277" width="20.28515625" style="18" customWidth="1"/>
    <col min="11278" max="11278" width="7.42578125" style="18" customWidth="1"/>
    <col min="11279" max="11279" width="12.7109375" style="18" customWidth="1"/>
    <col min="11280" max="11280" width="5.85546875" style="18" customWidth="1"/>
    <col min="11281" max="11281" width="8.7109375" style="18" customWidth="1"/>
    <col min="11282" max="11282" width="25.5703125" style="18" customWidth="1"/>
    <col min="11283" max="11283" width="6" style="18" customWidth="1"/>
    <col min="11284" max="11284" width="7.42578125" style="18" customWidth="1"/>
    <col min="11285" max="11285" width="7.140625" style="18" customWidth="1"/>
    <col min="11286" max="11286" width="7" style="18" customWidth="1"/>
    <col min="11287" max="11287" width="6" style="18" customWidth="1"/>
    <col min="11288" max="11288" width="6.28515625" style="18" customWidth="1"/>
    <col min="11289" max="11289" width="6.42578125" style="18" customWidth="1"/>
    <col min="11290" max="11290" width="19.140625" style="18" customWidth="1"/>
    <col min="11291" max="11291" width="8.140625" style="18" customWidth="1"/>
    <col min="11292" max="11292" width="8.7109375" style="18" customWidth="1"/>
    <col min="11293" max="11293" width="11.28515625" style="18" customWidth="1"/>
    <col min="11294" max="11294" width="22.85546875" style="18" customWidth="1"/>
    <col min="11295" max="11295" width="9.42578125" style="18" customWidth="1"/>
    <col min="11296" max="11296" width="9.85546875" style="18" customWidth="1"/>
    <col min="11297" max="11298" width="15.85546875" style="18" customWidth="1"/>
    <col min="11299" max="11299" width="15" style="18" customWidth="1"/>
    <col min="11300" max="11300" width="23.28515625" style="18" customWidth="1"/>
    <col min="11301" max="11301" width="26.42578125" style="18" customWidth="1"/>
    <col min="11302" max="11302" width="11.28515625" style="18" customWidth="1"/>
    <col min="11303" max="11303" width="19.5703125" style="18" customWidth="1"/>
    <col min="11304" max="11304" width="14.42578125" style="18" customWidth="1"/>
    <col min="11305" max="11305" width="18.42578125" style="18" customWidth="1"/>
    <col min="11306" max="11306" width="10.28515625" style="18" customWidth="1"/>
    <col min="11307" max="11307" width="36.42578125" style="18" customWidth="1"/>
    <col min="11308" max="11308" width="20.5703125" style="18" customWidth="1"/>
    <col min="11309" max="11309" width="16.42578125" style="18" customWidth="1"/>
    <col min="11310" max="11310" width="14.5703125" style="18" customWidth="1"/>
    <col min="11311" max="11311" width="10" style="18" customWidth="1"/>
    <col min="11312" max="11312" width="8" style="18" customWidth="1"/>
    <col min="11313" max="11313" width="16" style="18" customWidth="1"/>
    <col min="11314" max="11314" width="16.42578125" style="18" customWidth="1"/>
    <col min="11315" max="11315" width="9" style="18"/>
    <col min="11316" max="11316" width="16.28515625" style="18" customWidth="1"/>
    <col min="11317" max="11326" width="9" style="18"/>
    <col min="11327" max="11327" width="12.5703125" style="18" customWidth="1"/>
    <col min="11328" max="11328" width="22.85546875" style="18" customWidth="1"/>
    <col min="11329" max="11329" width="8.7109375" style="18" customWidth="1"/>
    <col min="11330" max="11330" width="19.7109375" style="18" customWidth="1"/>
    <col min="11331" max="11331" width="9.42578125" style="18" customWidth="1"/>
    <col min="11332" max="11332" width="9" style="18"/>
    <col min="11333" max="11333" width="10.85546875" style="18" customWidth="1"/>
    <col min="11334" max="11334" width="9.85546875" style="18" customWidth="1"/>
    <col min="11335" max="11529" width="9" style="18"/>
    <col min="11530" max="11530" width="4" style="18" customWidth="1"/>
    <col min="11531" max="11531" width="5.85546875" style="18" customWidth="1"/>
    <col min="11532" max="11532" width="6.42578125" style="18" customWidth="1"/>
    <col min="11533" max="11533" width="20.28515625" style="18" customWidth="1"/>
    <col min="11534" max="11534" width="7.42578125" style="18" customWidth="1"/>
    <col min="11535" max="11535" width="12.7109375" style="18" customWidth="1"/>
    <col min="11536" max="11536" width="5.85546875" style="18" customWidth="1"/>
    <col min="11537" max="11537" width="8.7109375" style="18" customWidth="1"/>
    <col min="11538" max="11538" width="25.5703125" style="18" customWidth="1"/>
    <col min="11539" max="11539" width="6" style="18" customWidth="1"/>
    <col min="11540" max="11540" width="7.42578125" style="18" customWidth="1"/>
    <col min="11541" max="11541" width="7.140625" style="18" customWidth="1"/>
    <col min="11542" max="11542" width="7" style="18" customWidth="1"/>
    <col min="11543" max="11543" width="6" style="18" customWidth="1"/>
    <col min="11544" max="11544" width="6.28515625" style="18" customWidth="1"/>
    <col min="11545" max="11545" width="6.42578125" style="18" customWidth="1"/>
    <col min="11546" max="11546" width="19.140625" style="18" customWidth="1"/>
    <col min="11547" max="11547" width="8.140625" style="18" customWidth="1"/>
    <col min="11548" max="11548" width="8.7109375" style="18" customWidth="1"/>
    <col min="11549" max="11549" width="11.28515625" style="18" customWidth="1"/>
    <col min="11550" max="11550" width="22.85546875" style="18" customWidth="1"/>
    <col min="11551" max="11551" width="9.42578125" style="18" customWidth="1"/>
    <col min="11552" max="11552" width="9.85546875" style="18" customWidth="1"/>
    <col min="11553" max="11554" width="15.85546875" style="18" customWidth="1"/>
    <col min="11555" max="11555" width="15" style="18" customWidth="1"/>
    <col min="11556" max="11556" width="23.28515625" style="18" customWidth="1"/>
    <col min="11557" max="11557" width="26.42578125" style="18" customWidth="1"/>
    <col min="11558" max="11558" width="11.28515625" style="18" customWidth="1"/>
    <col min="11559" max="11559" width="19.5703125" style="18" customWidth="1"/>
    <col min="11560" max="11560" width="14.42578125" style="18" customWidth="1"/>
    <col min="11561" max="11561" width="18.42578125" style="18" customWidth="1"/>
    <col min="11562" max="11562" width="10.28515625" style="18" customWidth="1"/>
    <col min="11563" max="11563" width="36.42578125" style="18" customWidth="1"/>
    <col min="11564" max="11564" width="20.5703125" style="18" customWidth="1"/>
    <col min="11565" max="11565" width="16.42578125" style="18" customWidth="1"/>
    <col min="11566" max="11566" width="14.5703125" style="18" customWidth="1"/>
    <col min="11567" max="11567" width="10" style="18" customWidth="1"/>
    <col min="11568" max="11568" width="8" style="18" customWidth="1"/>
    <col min="11569" max="11569" width="16" style="18" customWidth="1"/>
    <col min="11570" max="11570" width="16.42578125" style="18" customWidth="1"/>
    <col min="11571" max="11571" width="9" style="18"/>
    <col min="11572" max="11572" width="16.28515625" style="18" customWidth="1"/>
    <col min="11573" max="11582" width="9" style="18"/>
    <col min="11583" max="11583" width="12.5703125" style="18" customWidth="1"/>
    <col min="11584" max="11584" width="22.85546875" style="18" customWidth="1"/>
    <col min="11585" max="11585" width="8.7109375" style="18" customWidth="1"/>
    <col min="11586" max="11586" width="19.7109375" style="18" customWidth="1"/>
    <col min="11587" max="11587" width="9.42578125" style="18" customWidth="1"/>
    <col min="11588" max="11588" width="9" style="18"/>
    <col min="11589" max="11589" width="10.85546875" style="18" customWidth="1"/>
    <col min="11590" max="11590" width="9.85546875" style="18" customWidth="1"/>
    <col min="11591" max="11785" width="9" style="18"/>
    <col min="11786" max="11786" width="4" style="18" customWidth="1"/>
    <col min="11787" max="11787" width="5.85546875" style="18" customWidth="1"/>
    <col min="11788" max="11788" width="6.42578125" style="18" customWidth="1"/>
    <col min="11789" max="11789" width="20.28515625" style="18" customWidth="1"/>
    <col min="11790" max="11790" width="7.42578125" style="18" customWidth="1"/>
    <col min="11791" max="11791" width="12.7109375" style="18" customWidth="1"/>
    <col min="11792" max="11792" width="5.85546875" style="18" customWidth="1"/>
    <col min="11793" max="11793" width="8.7109375" style="18" customWidth="1"/>
    <col min="11794" max="11794" width="25.5703125" style="18" customWidth="1"/>
    <col min="11795" max="11795" width="6" style="18" customWidth="1"/>
    <col min="11796" max="11796" width="7.42578125" style="18" customWidth="1"/>
    <col min="11797" max="11797" width="7.140625" style="18" customWidth="1"/>
    <col min="11798" max="11798" width="7" style="18" customWidth="1"/>
    <col min="11799" max="11799" width="6" style="18" customWidth="1"/>
    <col min="11800" max="11800" width="6.28515625" style="18" customWidth="1"/>
    <col min="11801" max="11801" width="6.42578125" style="18" customWidth="1"/>
    <col min="11802" max="11802" width="19.140625" style="18" customWidth="1"/>
    <col min="11803" max="11803" width="8.140625" style="18" customWidth="1"/>
    <col min="11804" max="11804" width="8.7109375" style="18" customWidth="1"/>
    <col min="11805" max="11805" width="11.28515625" style="18" customWidth="1"/>
    <col min="11806" max="11806" width="22.85546875" style="18" customWidth="1"/>
    <col min="11807" max="11807" width="9.42578125" style="18" customWidth="1"/>
    <col min="11808" max="11808" width="9.85546875" style="18" customWidth="1"/>
    <col min="11809" max="11810" width="15.85546875" style="18" customWidth="1"/>
    <col min="11811" max="11811" width="15" style="18" customWidth="1"/>
    <col min="11812" max="11812" width="23.28515625" style="18" customWidth="1"/>
    <col min="11813" max="11813" width="26.42578125" style="18" customWidth="1"/>
    <col min="11814" max="11814" width="11.28515625" style="18" customWidth="1"/>
    <col min="11815" max="11815" width="19.5703125" style="18" customWidth="1"/>
    <col min="11816" max="11816" width="14.42578125" style="18" customWidth="1"/>
    <col min="11817" max="11817" width="18.42578125" style="18" customWidth="1"/>
    <col min="11818" max="11818" width="10.28515625" style="18" customWidth="1"/>
    <col min="11819" max="11819" width="36.42578125" style="18" customWidth="1"/>
    <col min="11820" max="11820" width="20.5703125" style="18" customWidth="1"/>
    <col min="11821" max="11821" width="16.42578125" style="18" customWidth="1"/>
    <col min="11822" max="11822" width="14.5703125" style="18" customWidth="1"/>
    <col min="11823" max="11823" width="10" style="18" customWidth="1"/>
    <col min="11824" max="11824" width="8" style="18" customWidth="1"/>
    <col min="11825" max="11825" width="16" style="18" customWidth="1"/>
    <col min="11826" max="11826" width="16.42578125" style="18" customWidth="1"/>
    <col min="11827" max="11827" width="9" style="18"/>
    <col min="11828" max="11828" width="16.28515625" style="18" customWidth="1"/>
    <col min="11829" max="11838" width="9" style="18"/>
    <col min="11839" max="11839" width="12.5703125" style="18" customWidth="1"/>
    <col min="11840" max="11840" width="22.85546875" style="18" customWidth="1"/>
    <col min="11841" max="11841" width="8.7109375" style="18" customWidth="1"/>
    <col min="11842" max="11842" width="19.7109375" style="18" customWidth="1"/>
    <col min="11843" max="11843" width="9.42578125" style="18" customWidth="1"/>
    <col min="11844" max="11844" width="9" style="18"/>
    <col min="11845" max="11845" width="10.85546875" style="18" customWidth="1"/>
    <col min="11846" max="11846" width="9.85546875" style="18" customWidth="1"/>
    <col min="11847" max="12041" width="9" style="18"/>
    <col min="12042" max="12042" width="4" style="18" customWidth="1"/>
    <col min="12043" max="12043" width="5.85546875" style="18" customWidth="1"/>
    <col min="12044" max="12044" width="6.42578125" style="18" customWidth="1"/>
    <col min="12045" max="12045" width="20.28515625" style="18" customWidth="1"/>
    <col min="12046" max="12046" width="7.42578125" style="18" customWidth="1"/>
    <col min="12047" max="12047" width="12.7109375" style="18" customWidth="1"/>
    <col min="12048" max="12048" width="5.85546875" style="18" customWidth="1"/>
    <col min="12049" max="12049" width="8.7109375" style="18" customWidth="1"/>
    <col min="12050" max="12050" width="25.5703125" style="18" customWidth="1"/>
    <col min="12051" max="12051" width="6" style="18" customWidth="1"/>
    <col min="12052" max="12052" width="7.42578125" style="18" customWidth="1"/>
    <col min="12053" max="12053" width="7.140625" style="18" customWidth="1"/>
    <col min="12054" max="12054" width="7" style="18" customWidth="1"/>
    <col min="12055" max="12055" width="6" style="18" customWidth="1"/>
    <col min="12056" max="12056" width="6.28515625" style="18" customWidth="1"/>
    <col min="12057" max="12057" width="6.42578125" style="18" customWidth="1"/>
    <col min="12058" max="12058" width="19.140625" style="18" customWidth="1"/>
    <col min="12059" max="12059" width="8.140625" style="18" customWidth="1"/>
    <col min="12060" max="12060" width="8.7109375" style="18" customWidth="1"/>
    <col min="12061" max="12061" width="11.28515625" style="18" customWidth="1"/>
    <col min="12062" max="12062" width="22.85546875" style="18" customWidth="1"/>
    <col min="12063" max="12063" width="9.42578125" style="18" customWidth="1"/>
    <col min="12064" max="12064" width="9.85546875" style="18" customWidth="1"/>
    <col min="12065" max="12066" width="15.85546875" style="18" customWidth="1"/>
    <col min="12067" max="12067" width="15" style="18" customWidth="1"/>
    <col min="12068" max="12068" width="23.28515625" style="18" customWidth="1"/>
    <col min="12069" max="12069" width="26.42578125" style="18" customWidth="1"/>
    <col min="12070" max="12070" width="11.28515625" style="18" customWidth="1"/>
    <col min="12071" max="12071" width="19.5703125" style="18" customWidth="1"/>
    <col min="12072" max="12072" width="14.42578125" style="18" customWidth="1"/>
    <col min="12073" max="12073" width="18.42578125" style="18" customWidth="1"/>
    <col min="12074" max="12074" width="10.28515625" style="18" customWidth="1"/>
    <col min="12075" max="12075" width="36.42578125" style="18" customWidth="1"/>
    <col min="12076" max="12076" width="20.5703125" style="18" customWidth="1"/>
    <col min="12077" max="12077" width="16.42578125" style="18" customWidth="1"/>
    <col min="12078" max="12078" width="14.5703125" style="18" customWidth="1"/>
    <col min="12079" max="12079" width="10" style="18" customWidth="1"/>
    <col min="12080" max="12080" width="8" style="18" customWidth="1"/>
    <col min="12081" max="12081" width="16" style="18" customWidth="1"/>
    <col min="12082" max="12082" width="16.42578125" style="18" customWidth="1"/>
    <col min="12083" max="12083" width="9" style="18"/>
    <col min="12084" max="12084" width="16.28515625" style="18" customWidth="1"/>
    <col min="12085" max="12094" width="9" style="18"/>
    <col min="12095" max="12095" width="12.5703125" style="18" customWidth="1"/>
    <col min="12096" max="12096" width="22.85546875" style="18" customWidth="1"/>
    <col min="12097" max="12097" width="8.7109375" style="18" customWidth="1"/>
    <col min="12098" max="12098" width="19.7109375" style="18" customWidth="1"/>
    <col min="12099" max="12099" width="9.42578125" style="18" customWidth="1"/>
    <col min="12100" max="12100" width="9" style="18"/>
    <col min="12101" max="12101" width="10.85546875" style="18" customWidth="1"/>
    <col min="12102" max="12102" width="9.85546875" style="18" customWidth="1"/>
    <col min="12103" max="12297" width="9" style="18"/>
    <col min="12298" max="12298" width="4" style="18" customWidth="1"/>
    <col min="12299" max="12299" width="5.85546875" style="18" customWidth="1"/>
    <col min="12300" max="12300" width="6.42578125" style="18" customWidth="1"/>
    <col min="12301" max="12301" width="20.28515625" style="18" customWidth="1"/>
    <col min="12302" max="12302" width="7.42578125" style="18" customWidth="1"/>
    <col min="12303" max="12303" width="12.7109375" style="18" customWidth="1"/>
    <col min="12304" max="12304" width="5.85546875" style="18" customWidth="1"/>
    <col min="12305" max="12305" width="8.7109375" style="18" customWidth="1"/>
    <col min="12306" max="12306" width="25.5703125" style="18" customWidth="1"/>
    <col min="12307" max="12307" width="6" style="18" customWidth="1"/>
    <col min="12308" max="12308" width="7.42578125" style="18" customWidth="1"/>
    <col min="12309" max="12309" width="7.140625" style="18" customWidth="1"/>
    <col min="12310" max="12310" width="7" style="18" customWidth="1"/>
    <col min="12311" max="12311" width="6" style="18" customWidth="1"/>
    <col min="12312" max="12312" width="6.28515625" style="18" customWidth="1"/>
    <col min="12313" max="12313" width="6.42578125" style="18" customWidth="1"/>
    <col min="12314" max="12314" width="19.140625" style="18" customWidth="1"/>
    <col min="12315" max="12315" width="8.140625" style="18" customWidth="1"/>
    <col min="12316" max="12316" width="8.7109375" style="18" customWidth="1"/>
    <col min="12317" max="12317" width="11.28515625" style="18" customWidth="1"/>
    <col min="12318" max="12318" width="22.85546875" style="18" customWidth="1"/>
    <col min="12319" max="12319" width="9.42578125" style="18" customWidth="1"/>
    <col min="12320" max="12320" width="9.85546875" style="18" customWidth="1"/>
    <col min="12321" max="12322" width="15.85546875" style="18" customWidth="1"/>
    <col min="12323" max="12323" width="15" style="18" customWidth="1"/>
    <col min="12324" max="12324" width="23.28515625" style="18" customWidth="1"/>
    <col min="12325" max="12325" width="26.42578125" style="18" customWidth="1"/>
    <col min="12326" max="12326" width="11.28515625" style="18" customWidth="1"/>
    <col min="12327" max="12327" width="19.5703125" style="18" customWidth="1"/>
    <col min="12328" max="12328" width="14.42578125" style="18" customWidth="1"/>
    <col min="12329" max="12329" width="18.42578125" style="18" customWidth="1"/>
    <col min="12330" max="12330" width="10.28515625" style="18" customWidth="1"/>
    <col min="12331" max="12331" width="36.42578125" style="18" customWidth="1"/>
    <col min="12332" max="12332" width="20.5703125" style="18" customWidth="1"/>
    <col min="12333" max="12333" width="16.42578125" style="18" customWidth="1"/>
    <col min="12334" max="12334" width="14.5703125" style="18" customWidth="1"/>
    <col min="12335" max="12335" width="10" style="18" customWidth="1"/>
    <col min="12336" max="12336" width="8" style="18" customWidth="1"/>
    <col min="12337" max="12337" width="16" style="18" customWidth="1"/>
    <col min="12338" max="12338" width="16.42578125" style="18" customWidth="1"/>
    <col min="12339" max="12339" width="9" style="18"/>
    <col min="12340" max="12340" width="16.28515625" style="18" customWidth="1"/>
    <col min="12341" max="12350" width="9" style="18"/>
    <col min="12351" max="12351" width="12.5703125" style="18" customWidth="1"/>
    <col min="12352" max="12352" width="22.85546875" style="18" customWidth="1"/>
    <col min="12353" max="12353" width="8.7109375" style="18" customWidth="1"/>
    <col min="12354" max="12354" width="19.7109375" style="18" customWidth="1"/>
    <col min="12355" max="12355" width="9.42578125" style="18" customWidth="1"/>
    <col min="12356" max="12356" width="9" style="18"/>
    <col min="12357" max="12357" width="10.85546875" style="18" customWidth="1"/>
    <col min="12358" max="12358" width="9.85546875" style="18" customWidth="1"/>
    <col min="12359" max="12553" width="9" style="18"/>
    <col min="12554" max="12554" width="4" style="18" customWidth="1"/>
    <col min="12555" max="12555" width="5.85546875" style="18" customWidth="1"/>
    <col min="12556" max="12556" width="6.42578125" style="18" customWidth="1"/>
    <col min="12557" max="12557" width="20.28515625" style="18" customWidth="1"/>
    <col min="12558" max="12558" width="7.42578125" style="18" customWidth="1"/>
    <col min="12559" max="12559" width="12.7109375" style="18" customWidth="1"/>
    <col min="12560" max="12560" width="5.85546875" style="18" customWidth="1"/>
    <col min="12561" max="12561" width="8.7109375" style="18" customWidth="1"/>
    <col min="12562" max="12562" width="25.5703125" style="18" customWidth="1"/>
    <col min="12563" max="12563" width="6" style="18" customWidth="1"/>
    <col min="12564" max="12564" width="7.42578125" style="18" customWidth="1"/>
    <col min="12565" max="12565" width="7.140625" style="18" customWidth="1"/>
    <col min="12566" max="12566" width="7" style="18" customWidth="1"/>
    <col min="12567" max="12567" width="6" style="18" customWidth="1"/>
    <col min="12568" max="12568" width="6.28515625" style="18" customWidth="1"/>
    <col min="12569" max="12569" width="6.42578125" style="18" customWidth="1"/>
    <col min="12570" max="12570" width="19.140625" style="18" customWidth="1"/>
    <col min="12571" max="12571" width="8.140625" style="18" customWidth="1"/>
    <col min="12572" max="12572" width="8.7109375" style="18" customWidth="1"/>
    <col min="12573" max="12573" width="11.28515625" style="18" customWidth="1"/>
    <col min="12574" max="12574" width="22.85546875" style="18" customWidth="1"/>
    <col min="12575" max="12575" width="9.42578125" style="18" customWidth="1"/>
    <col min="12576" max="12576" width="9.85546875" style="18" customWidth="1"/>
    <col min="12577" max="12578" width="15.85546875" style="18" customWidth="1"/>
    <col min="12579" max="12579" width="15" style="18" customWidth="1"/>
    <col min="12580" max="12580" width="23.28515625" style="18" customWidth="1"/>
    <col min="12581" max="12581" width="26.42578125" style="18" customWidth="1"/>
    <col min="12582" max="12582" width="11.28515625" style="18" customWidth="1"/>
    <col min="12583" max="12583" width="19.5703125" style="18" customWidth="1"/>
    <col min="12584" max="12584" width="14.42578125" style="18" customWidth="1"/>
    <col min="12585" max="12585" width="18.42578125" style="18" customWidth="1"/>
    <col min="12586" max="12586" width="10.28515625" style="18" customWidth="1"/>
    <col min="12587" max="12587" width="36.42578125" style="18" customWidth="1"/>
    <col min="12588" max="12588" width="20.5703125" style="18" customWidth="1"/>
    <col min="12589" max="12589" width="16.42578125" style="18" customWidth="1"/>
    <col min="12590" max="12590" width="14.5703125" style="18" customWidth="1"/>
    <col min="12591" max="12591" width="10" style="18" customWidth="1"/>
    <col min="12592" max="12592" width="8" style="18" customWidth="1"/>
    <col min="12593" max="12593" width="16" style="18" customWidth="1"/>
    <col min="12594" max="12594" width="16.42578125" style="18" customWidth="1"/>
    <col min="12595" max="12595" width="9" style="18"/>
    <col min="12596" max="12596" width="16.28515625" style="18" customWidth="1"/>
    <col min="12597" max="12606" width="9" style="18"/>
    <col min="12607" max="12607" width="12.5703125" style="18" customWidth="1"/>
    <col min="12608" max="12608" width="22.85546875" style="18" customWidth="1"/>
    <col min="12609" max="12609" width="8.7109375" style="18" customWidth="1"/>
    <col min="12610" max="12610" width="19.7109375" style="18" customWidth="1"/>
    <col min="12611" max="12611" width="9.42578125" style="18" customWidth="1"/>
    <col min="12612" max="12612" width="9" style="18"/>
    <col min="12613" max="12613" width="10.85546875" style="18" customWidth="1"/>
    <col min="12614" max="12614" width="9.85546875" style="18" customWidth="1"/>
    <col min="12615" max="12809" width="9" style="18"/>
    <col min="12810" max="12810" width="4" style="18" customWidth="1"/>
    <col min="12811" max="12811" width="5.85546875" style="18" customWidth="1"/>
    <col min="12812" max="12812" width="6.42578125" style="18" customWidth="1"/>
    <col min="12813" max="12813" width="20.28515625" style="18" customWidth="1"/>
    <col min="12814" max="12814" width="7.42578125" style="18" customWidth="1"/>
    <col min="12815" max="12815" width="12.7109375" style="18" customWidth="1"/>
    <col min="12816" max="12816" width="5.85546875" style="18" customWidth="1"/>
    <col min="12817" max="12817" width="8.7109375" style="18" customWidth="1"/>
    <col min="12818" max="12818" width="25.5703125" style="18" customWidth="1"/>
    <col min="12819" max="12819" width="6" style="18" customWidth="1"/>
    <col min="12820" max="12820" width="7.42578125" style="18" customWidth="1"/>
    <col min="12821" max="12821" width="7.140625" style="18" customWidth="1"/>
    <col min="12822" max="12822" width="7" style="18" customWidth="1"/>
    <col min="12823" max="12823" width="6" style="18" customWidth="1"/>
    <col min="12824" max="12824" width="6.28515625" style="18" customWidth="1"/>
    <col min="12825" max="12825" width="6.42578125" style="18" customWidth="1"/>
    <col min="12826" max="12826" width="19.140625" style="18" customWidth="1"/>
    <col min="12827" max="12827" width="8.140625" style="18" customWidth="1"/>
    <col min="12828" max="12828" width="8.7109375" style="18" customWidth="1"/>
    <col min="12829" max="12829" width="11.28515625" style="18" customWidth="1"/>
    <col min="12830" max="12830" width="22.85546875" style="18" customWidth="1"/>
    <col min="12831" max="12831" width="9.42578125" style="18" customWidth="1"/>
    <col min="12832" max="12832" width="9.85546875" style="18" customWidth="1"/>
    <col min="12833" max="12834" width="15.85546875" style="18" customWidth="1"/>
    <col min="12835" max="12835" width="15" style="18" customWidth="1"/>
    <col min="12836" max="12836" width="23.28515625" style="18" customWidth="1"/>
    <col min="12837" max="12837" width="26.42578125" style="18" customWidth="1"/>
    <col min="12838" max="12838" width="11.28515625" style="18" customWidth="1"/>
    <col min="12839" max="12839" width="19.5703125" style="18" customWidth="1"/>
    <col min="12840" max="12840" width="14.42578125" style="18" customWidth="1"/>
    <col min="12841" max="12841" width="18.42578125" style="18" customWidth="1"/>
    <col min="12842" max="12842" width="10.28515625" style="18" customWidth="1"/>
    <col min="12843" max="12843" width="36.42578125" style="18" customWidth="1"/>
    <col min="12844" max="12844" width="20.5703125" style="18" customWidth="1"/>
    <col min="12845" max="12845" width="16.42578125" style="18" customWidth="1"/>
    <col min="12846" max="12846" width="14.5703125" style="18" customWidth="1"/>
    <col min="12847" max="12847" width="10" style="18" customWidth="1"/>
    <col min="12848" max="12848" width="8" style="18" customWidth="1"/>
    <col min="12849" max="12849" width="16" style="18" customWidth="1"/>
    <col min="12850" max="12850" width="16.42578125" style="18" customWidth="1"/>
    <col min="12851" max="12851" width="9" style="18"/>
    <col min="12852" max="12852" width="16.28515625" style="18" customWidth="1"/>
    <col min="12853" max="12862" width="9" style="18"/>
    <col min="12863" max="12863" width="12.5703125" style="18" customWidth="1"/>
    <col min="12864" max="12864" width="22.85546875" style="18" customWidth="1"/>
    <col min="12865" max="12865" width="8.7109375" style="18" customWidth="1"/>
    <col min="12866" max="12866" width="19.7109375" style="18" customWidth="1"/>
    <col min="12867" max="12867" width="9.42578125" style="18" customWidth="1"/>
    <col min="12868" max="12868" width="9" style="18"/>
    <col min="12869" max="12869" width="10.85546875" style="18" customWidth="1"/>
    <col min="12870" max="12870" width="9.85546875" style="18" customWidth="1"/>
    <col min="12871" max="13065" width="9" style="18"/>
    <col min="13066" max="13066" width="4" style="18" customWidth="1"/>
    <col min="13067" max="13067" width="5.85546875" style="18" customWidth="1"/>
    <col min="13068" max="13068" width="6.42578125" style="18" customWidth="1"/>
    <col min="13069" max="13069" width="20.28515625" style="18" customWidth="1"/>
    <col min="13070" max="13070" width="7.42578125" style="18" customWidth="1"/>
    <col min="13071" max="13071" width="12.7109375" style="18" customWidth="1"/>
    <col min="13072" max="13072" width="5.85546875" style="18" customWidth="1"/>
    <col min="13073" max="13073" width="8.7109375" style="18" customWidth="1"/>
    <col min="13074" max="13074" width="25.5703125" style="18" customWidth="1"/>
    <col min="13075" max="13075" width="6" style="18" customWidth="1"/>
    <col min="13076" max="13076" width="7.42578125" style="18" customWidth="1"/>
    <col min="13077" max="13077" width="7.140625" style="18" customWidth="1"/>
    <col min="13078" max="13078" width="7" style="18" customWidth="1"/>
    <col min="13079" max="13079" width="6" style="18" customWidth="1"/>
    <col min="13080" max="13080" width="6.28515625" style="18" customWidth="1"/>
    <col min="13081" max="13081" width="6.42578125" style="18" customWidth="1"/>
    <col min="13082" max="13082" width="19.140625" style="18" customWidth="1"/>
    <col min="13083" max="13083" width="8.140625" style="18" customWidth="1"/>
    <col min="13084" max="13084" width="8.7109375" style="18" customWidth="1"/>
    <col min="13085" max="13085" width="11.28515625" style="18" customWidth="1"/>
    <col min="13086" max="13086" width="22.85546875" style="18" customWidth="1"/>
    <col min="13087" max="13087" width="9.42578125" style="18" customWidth="1"/>
    <col min="13088" max="13088" width="9.85546875" style="18" customWidth="1"/>
    <col min="13089" max="13090" width="15.85546875" style="18" customWidth="1"/>
    <col min="13091" max="13091" width="15" style="18" customWidth="1"/>
    <col min="13092" max="13092" width="23.28515625" style="18" customWidth="1"/>
    <col min="13093" max="13093" width="26.42578125" style="18" customWidth="1"/>
    <col min="13094" max="13094" width="11.28515625" style="18" customWidth="1"/>
    <col min="13095" max="13095" width="19.5703125" style="18" customWidth="1"/>
    <col min="13096" max="13096" width="14.42578125" style="18" customWidth="1"/>
    <col min="13097" max="13097" width="18.42578125" style="18" customWidth="1"/>
    <col min="13098" max="13098" width="10.28515625" style="18" customWidth="1"/>
    <col min="13099" max="13099" width="36.42578125" style="18" customWidth="1"/>
    <col min="13100" max="13100" width="20.5703125" style="18" customWidth="1"/>
    <col min="13101" max="13101" width="16.42578125" style="18" customWidth="1"/>
    <col min="13102" max="13102" width="14.5703125" style="18" customWidth="1"/>
    <col min="13103" max="13103" width="10" style="18" customWidth="1"/>
    <col min="13104" max="13104" width="8" style="18" customWidth="1"/>
    <col min="13105" max="13105" width="16" style="18" customWidth="1"/>
    <col min="13106" max="13106" width="16.42578125" style="18" customWidth="1"/>
    <col min="13107" max="13107" width="9" style="18"/>
    <col min="13108" max="13108" width="16.28515625" style="18" customWidth="1"/>
    <col min="13109" max="13118" width="9" style="18"/>
    <col min="13119" max="13119" width="12.5703125" style="18" customWidth="1"/>
    <col min="13120" max="13120" width="22.85546875" style="18" customWidth="1"/>
    <col min="13121" max="13121" width="8.7109375" style="18" customWidth="1"/>
    <col min="13122" max="13122" width="19.7109375" style="18" customWidth="1"/>
    <col min="13123" max="13123" width="9.42578125" style="18" customWidth="1"/>
    <col min="13124" max="13124" width="9" style="18"/>
    <col min="13125" max="13125" width="10.85546875" style="18" customWidth="1"/>
    <col min="13126" max="13126" width="9.85546875" style="18" customWidth="1"/>
    <col min="13127" max="13321" width="9" style="18"/>
    <col min="13322" max="13322" width="4" style="18" customWidth="1"/>
    <col min="13323" max="13323" width="5.85546875" style="18" customWidth="1"/>
    <col min="13324" max="13324" width="6.42578125" style="18" customWidth="1"/>
    <col min="13325" max="13325" width="20.28515625" style="18" customWidth="1"/>
    <col min="13326" max="13326" width="7.42578125" style="18" customWidth="1"/>
    <col min="13327" max="13327" width="12.7109375" style="18" customWidth="1"/>
    <col min="13328" max="13328" width="5.85546875" style="18" customWidth="1"/>
    <col min="13329" max="13329" width="8.7109375" style="18" customWidth="1"/>
    <col min="13330" max="13330" width="25.5703125" style="18" customWidth="1"/>
    <col min="13331" max="13331" width="6" style="18" customWidth="1"/>
    <col min="13332" max="13332" width="7.42578125" style="18" customWidth="1"/>
    <col min="13333" max="13333" width="7.140625" style="18" customWidth="1"/>
    <col min="13334" max="13334" width="7" style="18" customWidth="1"/>
    <col min="13335" max="13335" width="6" style="18" customWidth="1"/>
    <col min="13336" max="13336" width="6.28515625" style="18" customWidth="1"/>
    <col min="13337" max="13337" width="6.42578125" style="18" customWidth="1"/>
    <col min="13338" max="13338" width="19.140625" style="18" customWidth="1"/>
    <col min="13339" max="13339" width="8.140625" style="18" customWidth="1"/>
    <col min="13340" max="13340" width="8.7109375" style="18" customWidth="1"/>
    <col min="13341" max="13341" width="11.28515625" style="18" customWidth="1"/>
    <col min="13342" max="13342" width="22.85546875" style="18" customWidth="1"/>
    <col min="13343" max="13343" width="9.42578125" style="18" customWidth="1"/>
    <col min="13344" max="13344" width="9.85546875" style="18" customWidth="1"/>
    <col min="13345" max="13346" width="15.85546875" style="18" customWidth="1"/>
    <col min="13347" max="13347" width="15" style="18" customWidth="1"/>
    <col min="13348" max="13348" width="23.28515625" style="18" customWidth="1"/>
    <col min="13349" max="13349" width="26.42578125" style="18" customWidth="1"/>
    <col min="13350" max="13350" width="11.28515625" style="18" customWidth="1"/>
    <col min="13351" max="13351" width="19.5703125" style="18" customWidth="1"/>
    <col min="13352" max="13352" width="14.42578125" style="18" customWidth="1"/>
    <col min="13353" max="13353" width="18.42578125" style="18" customWidth="1"/>
    <col min="13354" max="13354" width="10.28515625" style="18" customWidth="1"/>
    <col min="13355" max="13355" width="36.42578125" style="18" customWidth="1"/>
    <col min="13356" max="13356" width="20.5703125" style="18" customWidth="1"/>
    <col min="13357" max="13357" width="16.42578125" style="18" customWidth="1"/>
    <col min="13358" max="13358" width="14.5703125" style="18" customWidth="1"/>
    <col min="13359" max="13359" width="10" style="18" customWidth="1"/>
    <col min="13360" max="13360" width="8" style="18" customWidth="1"/>
    <col min="13361" max="13361" width="16" style="18" customWidth="1"/>
    <col min="13362" max="13362" width="16.42578125" style="18" customWidth="1"/>
    <col min="13363" max="13363" width="9" style="18"/>
    <col min="13364" max="13364" width="16.28515625" style="18" customWidth="1"/>
    <col min="13365" max="13374" width="9" style="18"/>
    <col min="13375" max="13375" width="12.5703125" style="18" customWidth="1"/>
    <col min="13376" max="13376" width="22.85546875" style="18" customWidth="1"/>
    <col min="13377" max="13377" width="8.7109375" style="18" customWidth="1"/>
    <col min="13378" max="13378" width="19.7109375" style="18" customWidth="1"/>
    <col min="13379" max="13379" width="9.42578125" style="18" customWidth="1"/>
    <col min="13380" max="13380" width="9" style="18"/>
    <col min="13381" max="13381" width="10.85546875" style="18" customWidth="1"/>
    <col min="13382" max="13382" width="9.85546875" style="18" customWidth="1"/>
    <col min="13383" max="13577" width="9" style="18"/>
    <col min="13578" max="13578" width="4" style="18" customWidth="1"/>
    <col min="13579" max="13579" width="5.85546875" style="18" customWidth="1"/>
    <col min="13580" max="13580" width="6.42578125" style="18" customWidth="1"/>
    <col min="13581" max="13581" width="20.28515625" style="18" customWidth="1"/>
    <col min="13582" max="13582" width="7.42578125" style="18" customWidth="1"/>
    <col min="13583" max="13583" width="12.7109375" style="18" customWidth="1"/>
    <col min="13584" max="13584" width="5.85546875" style="18" customWidth="1"/>
    <col min="13585" max="13585" width="8.7109375" style="18" customWidth="1"/>
    <col min="13586" max="13586" width="25.5703125" style="18" customWidth="1"/>
    <col min="13587" max="13587" width="6" style="18" customWidth="1"/>
    <col min="13588" max="13588" width="7.42578125" style="18" customWidth="1"/>
    <col min="13589" max="13589" width="7.140625" style="18" customWidth="1"/>
    <col min="13590" max="13590" width="7" style="18" customWidth="1"/>
    <col min="13591" max="13591" width="6" style="18" customWidth="1"/>
    <col min="13592" max="13592" width="6.28515625" style="18" customWidth="1"/>
    <col min="13593" max="13593" width="6.42578125" style="18" customWidth="1"/>
    <col min="13594" max="13594" width="19.140625" style="18" customWidth="1"/>
    <col min="13595" max="13595" width="8.140625" style="18" customWidth="1"/>
    <col min="13596" max="13596" width="8.7109375" style="18" customWidth="1"/>
    <col min="13597" max="13597" width="11.28515625" style="18" customWidth="1"/>
    <col min="13598" max="13598" width="22.85546875" style="18" customWidth="1"/>
    <col min="13599" max="13599" width="9.42578125" style="18" customWidth="1"/>
    <col min="13600" max="13600" width="9.85546875" style="18" customWidth="1"/>
    <col min="13601" max="13602" width="15.85546875" style="18" customWidth="1"/>
    <col min="13603" max="13603" width="15" style="18" customWidth="1"/>
    <col min="13604" max="13604" width="23.28515625" style="18" customWidth="1"/>
    <col min="13605" max="13605" width="26.42578125" style="18" customWidth="1"/>
    <col min="13606" max="13606" width="11.28515625" style="18" customWidth="1"/>
    <col min="13607" max="13607" width="19.5703125" style="18" customWidth="1"/>
    <col min="13608" max="13608" width="14.42578125" style="18" customWidth="1"/>
    <col min="13609" max="13609" width="18.42578125" style="18" customWidth="1"/>
    <col min="13610" max="13610" width="10.28515625" style="18" customWidth="1"/>
    <col min="13611" max="13611" width="36.42578125" style="18" customWidth="1"/>
    <col min="13612" max="13612" width="20.5703125" style="18" customWidth="1"/>
    <col min="13613" max="13613" width="16.42578125" style="18" customWidth="1"/>
    <col min="13614" max="13614" width="14.5703125" style="18" customWidth="1"/>
    <col min="13615" max="13615" width="10" style="18" customWidth="1"/>
    <col min="13616" max="13616" width="8" style="18" customWidth="1"/>
    <col min="13617" max="13617" width="16" style="18" customWidth="1"/>
    <col min="13618" max="13618" width="16.42578125" style="18" customWidth="1"/>
    <col min="13619" max="13619" width="9" style="18"/>
    <col min="13620" max="13620" width="16.28515625" style="18" customWidth="1"/>
    <col min="13621" max="13630" width="9" style="18"/>
    <col min="13631" max="13631" width="12.5703125" style="18" customWidth="1"/>
    <col min="13632" max="13632" width="22.85546875" style="18" customWidth="1"/>
    <col min="13633" max="13633" width="8.7109375" style="18" customWidth="1"/>
    <col min="13634" max="13634" width="19.7109375" style="18" customWidth="1"/>
    <col min="13635" max="13635" width="9.42578125" style="18" customWidth="1"/>
    <col min="13636" max="13636" width="9" style="18"/>
    <col min="13637" max="13637" width="10.85546875" style="18" customWidth="1"/>
    <col min="13638" max="13638" width="9.85546875" style="18" customWidth="1"/>
    <col min="13639" max="13833" width="9" style="18"/>
    <col min="13834" max="13834" width="4" style="18" customWidth="1"/>
    <col min="13835" max="13835" width="5.85546875" style="18" customWidth="1"/>
    <col min="13836" max="13836" width="6.42578125" style="18" customWidth="1"/>
    <col min="13837" max="13837" width="20.28515625" style="18" customWidth="1"/>
    <col min="13838" max="13838" width="7.42578125" style="18" customWidth="1"/>
    <col min="13839" max="13839" width="12.7109375" style="18" customWidth="1"/>
    <col min="13840" max="13840" width="5.85546875" style="18" customWidth="1"/>
    <col min="13841" max="13841" width="8.7109375" style="18" customWidth="1"/>
    <col min="13842" max="13842" width="25.5703125" style="18" customWidth="1"/>
    <col min="13843" max="13843" width="6" style="18" customWidth="1"/>
    <col min="13844" max="13844" width="7.42578125" style="18" customWidth="1"/>
    <col min="13845" max="13845" width="7.140625" style="18" customWidth="1"/>
    <col min="13846" max="13846" width="7" style="18" customWidth="1"/>
    <col min="13847" max="13847" width="6" style="18" customWidth="1"/>
    <col min="13848" max="13848" width="6.28515625" style="18" customWidth="1"/>
    <col min="13849" max="13849" width="6.42578125" style="18" customWidth="1"/>
    <col min="13850" max="13850" width="19.140625" style="18" customWidth="1"/>
    <col min="13851" max="13851" width="8.140625" style="18" customWidth="1"/>
    <col min="13852" max="13852" width="8.7109375" style="18" customWidth="1"/>
    <col min="13853" max="13853" width="11.28515625" style="18" customWidth="1"/>
    <col min="13854" max="13854" width="22.85546875" style="18" customWidth="1"/>
    <col min="13855" max="13855" width="9.42578125" style="18" customWidth="1"/>
    <col min="13856" max="13856" width="9.85546875" style="18" customWidth="1"/>
    <col min="13857" max="13858" width="15.85546875" style="18" customWidth="1"/>
    <col min="13859" max="13859" width="15" style="18" customWidth="1"/>
    <col min="13860" max="13860" width="23.28515625" style="18" customWidth="1"/>
    <col min="13861" max="13861" width="26.42578125" style="18" customWidth="1"/>
    <col min="13862" max="13862" width="11.28515625" style="18" customWidth="1"/>
    <col min="13863" max="13863" width="19.5703125" style="18" customWidth="1"/>
    <col min="13864" max="13864" width="14.42578125" style="18" customWidth="1"/>
    <col min="13865" max="13865" width="18.42578125" style="18" customWidth="1"/>
    <col min="13866" max="13866" width="10.28515625" style="18" customWidth="1"/>
    <col min="13867" max="13867" width="36.42578125" style="18" customWidth="1"/>
    <col min="13868" max="13868" width="20.5703125" style="18" customWidth="1"/>
    <col min="13869" max="13869" width="16.42578125" style="18" customWidth="1"/>
    <col min="13870" max="13870" width="14.5703125" style="18" customWidth="1"/>
    <col min="13871" max="13871" width="10" style="18" customWidth="1"/>
    <col min="13872" max="13872" width="8" style="18" customWidth="1"/>
    <col min="13873" max="13873" width="16" style="18" customWidth="1"/>
    <col min="13874" max="13874" width="16.42578125" style="18" customWidth="1"/>
    <col min="13875" max="13875" width="9" style="18"/>
    <col min="13876" max="13876" width="16.28515625" style="18" customWidth="1"/>
    <col min="13877" max="13886" width="9" style="18"/>
    <col min="13887" max="13887" width="12.5703125" style="18" customWidth="1"/>
    <col min="13888" max="13888" width="22.85546875" style="18" customWidth="1"/>
    <col min="13889" max="13889" width="8.7109375" style="18" customWidth="1"/>
    <col min="13890" max="13890" width="19.7109375" style="18" customWidth="1"/>
    <col min="13891" max="13891" width="9.42578125" style="18" customWidth="1"/>
    <col min="13892" max="13892" width="9" style="18"/>
    <col min="13893" max="13893" width="10.85546875" style="18" customWidth="1"/>
    <col min="13894" max="13894" width="9.85546875" style="18" customWidth="1"/>
    <col min="13895" max="14089" width="9" style="18"/>
    <col min="14090" max="14090" width="4" style="18" customWidth="1"/>
    <col min="14091" max="14091" width="5.85546875" style="18" customWidth="1"/>
    <col min="14092" max="14092" width="6.42578125" style="18" customWidth="1"/>
    <col min="14093" max="14093" width="20.28515625" style="18" customWidth="1"/>
    <col min="14094" max="14094" width="7.42578125" style="18" customWidth="1"/>
    <col min="14095" max="14095" width="12.7109375" style="18" customWidth="1"/>
    <col min="14096" max="14096" width="5.85546875" style="18" customWidth="1"/>
    <col min="14097" max="14097" width="8.7109375" style="18" customWidth="1"/>
    <col min="14098" max="14098" width="25.5703125" style="18" customWidth="1"/>
    <col min="14099" max="14099" width="6" style="18" customWidth="1"/>
    <col min="14100" max="14100" width="7.42578125" style="18" customWidth="1"/>
    <col min="14101" max="14101" width="7.140625" style="18" customWidth="1"/>
    <col min="14102" max="14102" width="7" style="18" customWidth="1"/>
    <col min="14103" max="14103" width="6" style="18" customWidth="1"/>
    <col min="14104" max="14104" width="6.28515625" style="18" customWidth="1"/>
    <col min="14105" max="14105" width="6.42578125" style="18" customWidth="1"/>
    <col min="14106" max="14106" width="19.140625" style="18" customWidth="1"/>
    <col min="14107" max="14107" width="8.140625" style="18" customWidth="1"/>
    <col min="14108" max="14108" width="8.7109375" style="18" customWidth="1"/>
    <col min="14109" max="14109" width="11.28515625" style="18" customWidth="1"/>
    <col min="14110" max="14110" width="22.85546875" style="18" customWidth="1"/>
    <col min="14111" max="14111" width="9.42578125" style="18" customWidth="1"/>
    <col min="14112" max="14112" width="9.85546875" style="18" customWidth="1"/>
    <col min="14113" max="14114" width="15.85546875" style="18" customWidth="1"/>
    <col min="14115" max="14115" width="15" style="18" customWidth="1"/>
    <col min="14116" max="14116" width="23.28515625" style="18" customWidth="1"/>
    <col min="14117" max="14117" width="26.42578125" style="18" customWidth="1"/>
    <col min="14118" max="14118" width="11.28515625" style="18" customWidth="1"/>
    <col min="14119" max="14119" width="19.5703125" style="18" customWidth="1"/>
    <col min="14120" max="14120" width="14.42578125" style="18" customWidth="1"/>
    <col min="14121" max="14121" width="18.42578125" style="18" customWidth="1"/>
    <col min="14122" max="14122" width="10.28515625" style="18" customWidth="1"/>
    <col min="14123" max="14123" width="36.42578125" style="18" customWidth="1"/>
    <col min="14124" max="14124" width="20.5703125" style="18" customWidth="1"/>
    <col min="14125" max="14125" width="16.42578125" style="18" customWidth="1"/>
    <col min="14126" max="14126" width="14.5703125" style="18" customWidth="1"/>
    <col min="14127" max="14127" width="10" style="18" customWidth="1"/>
    <col min="14128" max="14128" width="8" style="18" customWidth="1"/>
    <col min="14129" max="14129" width="16" style="18" customWidth="1"/>
    <col min="14130" max="14130" width="16.42578125" style="18" customWidth="1"/>
    <col min="14131" max="14131" width="9" style="18"/>
    <col min="14132" max="14132" width="16.28515625" style="18" customWidth="1"/>
    <col min="14133" max="14142" width="9" style="18"/>
    <col min="14143" max="14143" width="12.5703125" style="18" customWidth="1"/>
    <col min="14144" max="14144" width="22.85546875" style="18" customWidth="1"/>
    <col min="14145" max="14145" width="8.7109375" style="18" customWidth="1"/>
    <col min="14146" max="14146" width="19.7109375" style="18" customWidth="1"/>
    <col min="14147" max="14147" width="9.42578125" style="18" customWidth="1"/>
    <col min="14148" max="14148" width="9" style="18"/>
    <col min="14149" max="14149" width="10.85546875" style="18" customWidth="1"/>
    <col min="14150" max="14150" width="9.85546875" style="18" customWidth="1"/>
    <col min="14151" max="14345" width="9" style="18"/>
    <col min="14346" max="14346" width="4" style="18" customWidth="1"/>
    <col min="14347" max="14347" width="5.85546875" style="18" customWidth="1"/>
    <col min="14348" max="14348" width="6.42578125" style="18" customWidth="1"/>
    <col min="14349" max="14349" width="20.28515625" style="18" customWidth="1"/>
    <col min="14350" max="14350" width="7.42578125" style="18" customWidth="1"/>
    <col min="14351" max="14351" width="12.7109375" style="18" customWidth="1"/>
    <col min="14352" max="14352" width="5.85546875" style="18" customWidth="1"/>
    <col min="14353" max="14353" width="8.7109375" style="18" customWidth="1"/>
    <col min="14354" max="14354" width="25.5703125" style="18" customWidth="1"/>
    <col min="14355" max="14355" width="6" style="18" customWidth="1"/>
    <col min="14356" max="14356" width="7.42578125" style="18" customWidth="1"/>
    <col min="14357" max="14357" width="7.140625" style="18" customWidth="1"/>
    <col min="14358" max="14358" width="7" style="18" customWidth="1"/>
    <col min="14359" max="14359" width="6" style="18" customWidth="1"/>
    <col min="14360" max="14360" width="6.28515625" style="18" customWidth="1"/>
    <col min="14361" max="14361" width="6.42578125" style="18" customWidth="1"/>
    <col min="14362" max="14362" width="19.140625" style="18" customWidth="1"/>
    <col min="14363" max="14363" width="8.140625" style="18" customWidth="1"/>
    <col min="14364" max="14364" width="8.7109375" style="18" customWidth="1"/>
    <col min="14365" max="14365" width="11.28515625" style="18" customWidth="1"/>
    <col min="14366" max="14366" width="22.85546875" style="18" customWidth="1"/>
    <col min="14367" max="14367" width="9.42578125" style="18" customWidth="1"/>
    <col min="14368" max="14368" width="9.85546875" style="18" customWidth="1"/>
    <col min="14369" max="14370" width="15.85546875" style="18" customWidth="1"/>
    <col min="14371" max="14371" width="15" style="18" customWidth="1"/>
    <col min="14372" max="14372" width="23.28515625" style="18" customWidth="1"/>
    <col min="14373" max="14373" width="26.42578125" style="18" customWidth="1"/>
    <col min="14374" max="14374" width="11.28515625" style="18" customWidth="1"/>
    <col min="14375" max="14375" width="19.5703125" style="18" customWidth="1"/>
    <col min="14376" max="14376" width="14.42578125" style="18" customWidth="1"/>
    <col min="14377" max="14377" width="18.42578125" style="18" customWidth="1"/>
    <col min="14378" max="14378" width="10.28515625" style="18" customWidth="1"/>
    <col min="14379" max="14379" width="36.42578125" style="18" customWidth="1"/>
    <col min="14380" max="14380" width="20.5703125" style="18" customWidth="1"/>
    <col min="14381" max="14381" width="16.42578125" style="18" customWidth="1"/>
    <col min="14382" max="14382" width="14.5703125" style="18" customWidth="1"/>
    <col min="14383" max="14383" width="10" style="18" customWidth="1"/>
    <col min="14384" max="14384" width="8" style="18" customWidth="1"/>
    <col min="14385" max="14385" width="16" style="18" customWidth="1"/>
    <col min="14386" max="14386" width="16.42578125" style="18" customWidth="1"/>
    <col min="14387" max="14387" width="9" style="18"/>
    <col min="14388" max="14388" width="16.28515625" style="18" customWidth="1"/>
    <col min="14389" max="14398" width="9" style="18"/>
    <col min="14399" max="14399" width="12.5703125" style="18" customWidth="1"/>
    <col min="14400" max="14400" width="22.85546875" style="18" customWidth="1"/>
    <col min="14401" max="14401" width="8.7109375" style="18" customWidth="1"/>
    <col min="14402" max="14402" width="19.7109375" style="18" customWidth="1"/>
    <col min="14403" max="14403" width="9.42578125" style="18" customWidth="1"/>
    <col min="14404" max="14404" width="9" style="18"/>
    <col min="14405" max="14405" width="10.85546875" style="18" customWidth="1"/>
    <col min="14406" max="14406" width="9.85546875" style="18" customWidth="1"/>
    <col min="14407" max="14601" width="9" style="18"/>
    <col min="14602" max="14602" width="4" style="18" customWidth="1"/>
    <col min="14603" max="14603" width="5.85546875" style="18" customWidth="1"/>
    <col min="14604" max="14604" width="6.42578125" style="18" customWidth="1"/>
    <col min="14605" max="14605" width="20.28515625" style="18" customWidth="1"/>
    <col min="14606" max="14606" width="7.42578125" style="18" customWidth="1"/>
    <col min="14607" max="14607" width="12.7109375" style="18" customWidth="1"/>
    <col min="14608" max="14608" width="5.85546875" style="18" customWidth="1"/>
    <col min="14609" max="14609" width="8.7109375" style="18" customWidth="1"/>
    <col min="14610" max="14610" width="25.5703125" style="18" customWidth="1"/>
    <col min="14611" max="14611" width="6" style="18" customWidth="1"/>
    <col min="14612" max="14612" width="7.42578125" style="18" customWidth="1"/>
    <col min="14613" max="14613" width="7.140625" style="18" customWidth="1"/>
    <col min="14614" max="14614" width="7" style="18" customWidth="1"/>
    <col min="14615" max="14615" width="6" style="18" customWidth="1"/>
    <col min="14616" max="14616" width="6.28515625" style="18" customWidth="1"/>
    <col min="14617" max="14617" width="6.42578125" style="18" customWidth="1"/>
    <col min="14618" max="14618" width="19.140625" style="18" customWidth="1"/>
    <col min="14619" max="14619" width="8.140625" style="18" customWidth="1"/>
    <col min="14620" max="14620" width="8.7109375" style="18" customWidth="1"/>
    <col min="14621" max="14621" width="11.28515625" style="18" customWidth="1"/>
    <col min="14622" max="14622" width="22.85546875" style="18" customWidth="1"/>
    <col min="14623" max="14623" width="9.42578125" style="18" customWidth="1"/>
    <col min="14624" max="14624" width="9.85546875" style="18" customWidth="1"/>
    <col min="14625" max="14626" width="15.85546875" style="18" customWidth="1"/>
    <col min="14627" max="14627" width="15" style="18" customWidth="1"/>
    <col min="14628" max="14628" width="23.28515625" style="18" customWidth="1"/>
    <col min="14629" max="14629" width="26.42578125" style="18" customWidth="1"/>
    <col min="14630" max="14630" width="11.28515625" style="18" customWidth="1"/>
    <col min="14631" max="14631" width="19.5703125" style="18" customWidth="1"/>
    <col min="14632" max="14632" width="14.42578125" style="18" customWidth="1"/>
    <col min="14633" max="14633" width="18.42578125" style="18" customWidth="1"/>
    <col min="14634" max="14634" width="10.28515625" style="18" customWidth="1"/>
    <col min="14635" max="14635" width="36.42578125" style="18" customWidth="1"/>
    <col min="14636" max="14636" width="20.5703125" style="18" customWidth="1"/>
    <col min="14637" max="14637" width="16.42578125" style="18" customWidth="1"/>
    <col min="14638" max="14638" width="14.5703125" style="18" customWidth="1"/>
    <col min="14639" max="14639" width="10" style="18" customWidth="1"/>
    <col min="14640" max="14640" width="8" style="18" customWidth="1"/>
    <col min="14641" max="14641" width="16" style="18" customWidth="1"/>
    <col min="14642" max="14642" width="16.42578125" style="18" customWidth="1"/>
    <col min="14643" max="14643" width="9" style="18"/>
    <col min="14644" max="14644" width="16.28515625" style="18" customWidth="1"/>
    <col min="14645" max="14654" width="9" style="18"/>
    <col min="14655" max="14655" width="12.5703125" style="18" customWidth="1"/>
    <col min="14656" max="14656" width="22.85546875" style="18" customWidth="1"/>
    <col min="14657" max="14657" width="8.7109375" style="18" customWidth="1"/>
    <col min="14658" max="14658" width="19.7109375" style="18" customWidth="1"/>
    <col min="14659" max="14659" width="9.42578125" style="18" customWidth="1"/>
    <col min="14660" max="14660" width="9" style="18"/>
    <col min="14661" max="14661" width="10.85546875" style="18" customWidth="1"/>
    <col min="14662" max="14662" width="9.85546875" style="18" customWidth="1"/>
    <col min="14663" max="14857" width="9" style="18"/>
    <col min="14858" max="14858" width="4" style="18" customWidth="1"/>
    <col min="14859" max="14859" width="5.85546875" style="18" customWidth="1"/>
    <col min="14860" max="14860" width="6.42578125" style="18" customWidth="1"/>
    <col min="14861" max="14861" width="20.28515625" style="18" customWidth="1"/>
    <col min="14862" max="14862" width="7.42578125" style="18" customWidth="1"/>
    <col min="14863" max="14863" width="12.7109375" style="18" customWidth="1"/>
    <col min="14864" max="14864" width="5.85546875" style="18" customWidth="1"/>
    <col min="14865" max="14865" width="8.7109375" style="18" customWidth="1"/>
    <col min="14866" max="14866" width="25.5703125" style="18" customWidth="1"/>
    <col min="14867" max="14867" width="6" style="18" customWidth="1"/>
    <col min="14868" max="14868" width="7.42578125" style="18" customWidth="1"/>
    <col min="14869" max="14869" width="7.140625" style="18" customWidth="1"/>
    <col min="14870" max="14870" width="7" style="18" customWidth="1"/>
    <col min="14871" max="14871" width="6" style="18" customWidth="1"/>
    <col min="14872" max="14872" width="6.28515625" style="18" customWidth="1"/>
    <col min="14873" max="14873" width="6.42578125" style="18" customWidth="1"/>
    <col min="14874" max="14874" width="19.140625" style="18" customWidth="1"/>
    <col min="14875" max="14875" width="8.140625" style="18" customWidth="1"/>
    <col min="14876" max="14876" width="8.7109375" style="18" customWidth="1"/>
    <col min="14877" max="14877" width="11.28515625" style="18" customWidth="1"/>
    <col min="14878" max="14878" width="22.85546875" style="18" customWidth="1"/>
    <col min="14879" max="14879" width="9.42578125" style="18" customWidth="1"/>
    <col min="14880" max="14880" width="9.85546875" style="18" customWidth="1"/>
    <col min="14881" max="14882" width="15.85546875" style="18" customWidth="1"/>
    <col min="14883" max="14883" width="15" style="18" customWidth="1"/>
    <col min="14884" max="14884" width="23.28515625" style="18" customWidth="1"/>
    <col min="14885" max="14885" width="26.42578125" style="18" customWidth="1"/>
    <col min="14886" max="14886" width="11.28515625" style="18" customWidth="1"/>
    <col min="14887" max="14887" width="19.5703125" style="18" customWidth="1"/>
    <col min="14888" max="14888" width="14.42578125" style="18" customWidth="1"/>
    <col min="14889" max="14889" width="18.42578125" style="18" customWidth="1"/>
    <col min="14890" max="14890" width="10.28515625" style="18" customWidth="1"/>
    <col min="14891" max="14891" width="36.42578125" style="18" customWidth="1"/>
    <col min="14892" max="14892" width="20.5703125" style="18" customWidth="1"/>
    <col min="14893" max="14893" width="16.42578125" style="18" customWidth="1"/>
    <col min="14894" max="14894" width="14.5703125" style="18" customWidth="1"/>
    <col min="14895" max="14895" width="10" style="18" customWidth="1"/>
    <col min="14896" max="14896" width="8" style="18" customWidth="1"/>
    <col min="14897" max="14897" width="16" style="18" customWidth="1"/>
    <col min="14898" max="14898" width="16.42578125" style="18" customWidth="1"/>
    <col min="14899" max="14899" width="9" style="18"/>
    <col min="14900" max="14900" width="16.28515625" style="18" customWidth="1"/>
    <col min="14901" max="14910" width="9" style="18"/>
    <col min="14911" max="14911" width="12.5703125" style="18" customWidth="1"/>
    <col min="14912" max="14912" width="22.85546875" style="18" customWidth="1"/>
    <col min="14913" max="14913" width="8.7109375" style="18" customWidth="1"/>
    <col min="14914" max="14914" width="19.7109375" style="18" customWidth="1"/>
    <col min="14915" max="14915" width="9.42578125" style="18" customWidth="1"/>
    <col min="14916" max="14916" width="9" style="18"/>
    <col min="14917" max="14917" width="10.85546875" style="18" customWidth="1"/>
    <col min="14918" max="14918" width="9.85546875" style="18" customWidth="1"/>
    <col min="14919" max="15113" width="9" style="18"/>
    <col min="15114" max="15114" width="4" style="18" customWidth="1"/>
    <col min="15115" max="15115" width="5.85546875" style="18" customWidth="1"/>
    <col min="15116" max="15116" width="6.42578125" style="18" customWidth="1"/>
    <col min="15117" max="15117" width="20.28515625" style="18" customWidth="1"/>
    <col min="15118" max="15118" width="7.42578125" style="18" customWidth="1"/>
    <col min="15119" max="15119" width="12.7109375" style="18" customWidth="1"/>
    <col min="15120" max="15120" width="5.85546875" style="18" customWidth="1"/>
    <col min="15121" max="15121" width="8.7109375" style="18" customWidth="1"/>
    <col min="15122" max="15122" width="25.5703125" style="18" customWidth="1"/>
    <col min="15123" max="15123" width="6" style="18" customWidth="1"/>
    <col min="15124" max="15124" width="7.42578125" style="18" customWidth="1"/>
    <col min="15125" max="15125" width="7.140625" style="18" customWidth="1"/>
    <col min="15126" max="15126" width="7" style="18" customWidth="1"/>
    <col min="15127" max="15127" width="6" style="18" customWidth="1"/>
    <col min="15128" max="15128" width="6.28515625" style="18" customWidth="1"/>
    <col min="15129" max="15129" width="6.42578125" style="18" customWidth="1"/>
    <col min="15130" max="15130" width="19.140625" style="18" customWidth="1"/>
    <col min="15131" max="15131" width="8.140625" style="18" customWidth="1"/>
    <col min="15132" max="15132" width="8.7109375" style="18" customWidth="1"/>
    <col min="15133" max="15133" width="11.28515625" style="18" customWidth="1"/>
    <col min="15134" max="15134" width="22.85546875" style="18" customWidth="1"/>
    <col min="15135" max="15135" width="9.42578125" style="18" customWidth="1"/>
    <col min="15136" max="15136" width="9.85546875" style="18" customWidth="1"/>
    <col min="15137" max="15138" width="15.85546875" style="18" customWidth="1"/>
    <col min="15139" max="15139" width="15" style="18" customWidth="1"/>
    <col min="15140" max="15140" width="23.28515625" style="18" customWidth="1"/>
    <col min="15141" max="15141" width="26.42578125" style="18" customWidth="1"/>
    <col min="15142" max="15142" width="11.28515625" style="18" customWidth="1"/>
    <col min="15143" max="15143" width="19.5703125" style="18" customWidth="1"/>
    <col min="15144" max="15144" width="14.42578125" style="18" customWidth="1"/>
    <col min="15145" max="15145" width="18.42578125" style="18" customWidth="1"/>
    <col min="15146" max="15146" width="10.28515625" style="18" customWidth="1"/>
    <col min="15147" max="15147" width="36.42578125" style="18" customWidth="1"/>
    <col min="15148" max="15148" width="20.5703125" style="18" customWidth="1"/>
    <col min="15149" max="15149" width="16.42578125" style="18" customWidth="1"/>
    <col min="15150" max="15150" width="14.5703125" style="18" customWidth="1"/>
    <col min="15151" max="15151" width="10" style="18" customWidth="1"/>
    <col min="15152" max="15152" width="8" style="18" customWidth="1"/>
    <col min="15153" max="15153" width="16" style="18" customWidth="1"/>
    <col min="15154" max="15154" width="16.42578125" style="18" customWidth="1"/>
    <col min="15155" max="15155" width="9" style="18"/>
    <col min="15156" max="15156" width="16.28515625" style="18" customWidth="1"/>
    <col min="15157" max="15166" width="9" style="18"/>
    <col min="15167" max="15167" width="12.5703125" style="18" customWidth="1"/>
    <col min="15168" max="15168" width="22.85546875" style="18" customWidth="1"/>
    <col min="15169" max="15169" width="8.7109375" style="18" customWidth="1"/>
    <col min="15170" max="15170" width="19.7109375" style="18" customWidth="1"/>
    <col min="15171" max="15171" width="9.42578125" style="18" customWidth="1"/>
    <col min="15172" max="15172" width="9" style="18"/>
    <col min="15173" max="15173" width="10.85546875" style="18" customWidth="1"/>
    <col min="15174" max="15174" width="9.85546875" style="18" customWidth="1"/>
    <col min="15175" max="15369" width="9" style="18"/>
    <col min="15370" max="15370" width="4" style="18" customWidth="1"/>
    <col min="15371" max="15371" width="5.85546875" style="18" customWidth="1"/>
    <col min="15372" max="15372" width="6.42578125" style="18" customWidth="1"/>
    <col min="15373" max="15373" width="20.28515625" style="18" customWidth="1"/>
    <col min="15374" max="15374" width="7.42578125" style="18" customWidth="1"/>
    <col min="15375" max="15375" width="12.7109375" style="18" customWidth="1"/>
    <col min="15376" max="15376" width="5.85546875" style="18" customWidth="1"/>
    <col min="15377" max="15377" width="8.7109375" style="18" customWidth="1"/>
    <col min="15378" max="15378" width="25.5703125" style="18" customWidth="1"/>
    <col min="15379" max="15379" width="6" style="18" customWidth="1"/>
    <col min="15380" max="15380" width="7.42578125" style="18" customWidth="1"/>
    <col min="15381" max="15381" width="7.140625" style="18" customWidth="1"/>
    <col min="15382" max="15382" width="7" style="18" customWidth="1"/>
    <col min="15383" max="15383" width="6" style="18" customWidth="1"/>
    <col min="15384" max="15384" width="6.28515625" style="18" customWidth="1"/>
    <col min="15385" max="15385" width="6.42578125" style="18" customWidth="1"/>
    <col min="15386" max="15386" width="19.140625" style="18" customWidth="1"/>
    <col min="15387" max="15387" width="8.140625" style="18" customWidth="1"/>
    <col min="15388" max="15388" width="8.7109375" style="18" customWidth="1"/>
    <col min="15389" max="15389" width="11.28515625" style="18" customWidth="1"/>
    <col min="15390" max="15390" width="22.85546875" style="18" customWidth="1"/>
    <col min="15391" max="15391" width="9.42578125" style="18" customWidth="1"/>
    <col min="15392" max="15392" width="9.85546875" style="18" customWidth="1"/>
    <col min="15393" max="15394" width="15.85546875" style="18" customWidth="1"/>
    <col min="15395" max="15395" width="15" style="18" customWidth="1"/>
    <col min="15396" max="15396" width="23.28515625" style="18" customWidth="1"/>
    <col min="15397" max="15397" width="26.42578125" style="18" customWidth="1"/>
    <col min="15398" max="15398" width="11.28515625" style="18" customWidth="1"/>
    <col min="15399" max="15399" width="19.5703125" style="18" customWidth="1"/>
    <col min="15400" max="15400" width="14.42578125" style="18" customWidth="1"/>
    <col min="15401" max="15401" width="18.42578125" style="18" customWidth="1"/>
    <col min="15402" max="15402" width="10.28515625" style="18" customWidth="1"/>
    <col min="15403" max="15403" width="36.42578125" style="18" customWidth="1"/>
    <col min="15404" max="15404" width="20.5703125" style="18" customWidth="1"/>
    <col min="15405" max="15405" width="16.42578125" style="18" customWidth="1"/>
    <col min="15406" max="15406" width="14.5703125" style="18" customWidth="1"/>
    <col min="15407" max="15407" width="10" style="18" customWidth="1"/>
    <col min="15408" max="15408" width="8" style="18" customWidth="1"/>
    <col min="15409" max="15409" width="16" style="18" customWidth="1"/>
    <col min="15410" max="15410" width="16.42578125" style="18" customWidth="1"/>
    <col min="15411" max="15411" width="9" style="18"/>
    <col min="15412" max="15412" width="16.28515625" style="18" customWidth="1"/>
    <col min="15413" max="15422" width="9" style="18"/>
    <col min="15423" max="15423" width="12.5703125" style="18" customWidth="1"/>
    <col min="15424" max="15424" width="22.85546875" style="18" customWidth="1"/>
    <col min="15425" max="15425" width="8.7109375" style="18" customWidth="1"/>
    <col min="15426" max="15426" width="19.7109375" style="18" customWidth="1"/>
    <col min="15427" max="15427" width="9.42578125" style="18" customWidth="1"/>
    <col min="15428" max="15428" width="9" style="18"/>
    <col min="15429" max="15429" width="10.85546875" style="18" customWidth="1"/>
    <col min="15430" max="15430" width="9.85546875" style="18" customWidth="1"/>
    <col min="15431" max="15625" width="9" style="18"/>
    <col min="15626" max="15626" width="4" style="18" customWidth="1"/>
    <col min="15627" max="15627" width="5.85546875" style="18" customWidth="1"/>
    <col min="15628" max="15628" width="6.42578125" style="18" customWidth="1"/>
    <col min="15629" max="15629" width="20.28515625" style="18" customWidth="1"/>
    <col min="15630" max="15630" width="7.42578125" style="18" customWidth="1"/>
    <col min="15631" max="15631" width="12.7109375" style="18" customWidth="1"/>
    <col min="15632" max="15632" width="5.85546875" style="18" customWidth="1"/>
    <col min="15633" max="15633" width="8.7109375" style="18" customWidth="1"/>
    <col min="15634" max="15634" width="25.5703125" style="18" customWidth="1"/>
    <col min="15635" max="15635" width="6" style="18" customWidth="1"/>
    <col min="15636" max="15636" width="7.42578125" style="18" customWidth="1"/>
    <col min="15637" max="15637" width="7.140625" style="18" customWidth="1"/>
    <col min="15638" max="15638" width="7" style="18" customWidth="1"/>
    <col min="15639" max="15639" width="6" style="18" customWidth="1"/>
    <col min="15640" max="15640" width="6.28515625" style="18" customWidth="1"/>
    <col min="15641" max="15641" width="6.42578125" style="18" customWidth="1"/>
    <col min="15642" max="15642" width="19.140625" style="18" customWidth="1"/>
    <col min="15643" max="15643" width="8.140625" style="18" customWidth="1"/>
    <col min="15644" max="15644" width="8.7109375" style="18" customWidth="1"/>
    <col min="15645" max="15645" width="11.28515625" style="18" customWidth="1"/>
    <col min="15646" max="15646" width="22.85546875" style="18" customWidth="1"/>
    <col min="15647" max="15647" width="9.42578125" style="18" customWidth="1"/>
    <col min="15648" max="15648" width="9.85546875" style="18" customWidth="1"/>
    <col min="15649" max="15650" width="15.85546875" style="18" customWidth="1"/>
    <col min="15651" max="15651" width="15" style="18" customWidth="1"/>
    <col min="15652" max="15652" width="23.28515625" style="18" customWidth="1"/>
    <col min="15653" max="15653" width="26.42578125" style="18" customWidth="1"/>
    <col min="15654" max="15654" width="11.28515625" style="18" customWidth="1"/>
    <col min="15655" max="15655" width="19.5703125" style="18" customWidth="1"/>
    <col min="15656" max="15656" width="14.42578125" style="18" customWidth="1"/>
    <col min="15657" max="15657" width="18.42578125" style="18" customWidth="1"/>
    <col min="15658" max="15658" width="10.28515625" style="18" customWidth="1"/>
    <col min="15659" max="15659" width="36.42578125" style="18" customWidth="1"/>
    <col min="15660" max="15660" width="20.5703125" style="18" customWidth="1"/>
    <col min="15661" max="15661" width="16.42578125" style="18" customWidth="1"/>
    <col min="15662" max="15662" width="14.5703125" style="18" customWidth="1"/>
    <col min="15663" max="15663" width="10" style="18" customWidth="1"/>
    <col min="15664" max="15664" width="8" style="18" customWidth="1"/>
    <col min="15665" max="15665" width="16" style="18" customWidth="1"/>
    <col min="15666" max="15666" width="16.42578125" style="18" customWidth="1"/>
    <col min="15667" max="15667" width="9" style="18"/>
    <col min="15668" max="15668" width="16.28515625" style="18" customWidth="1"/>
    <col min="15669" max="15678" width="9" style="18"/>
    <col min="15679" max="15679" width="12.5703125" style="18" customWidth="1"/>
    <col min="15680" max="15680" width="22.85546875" style="18" customWidth="1"/>
    <col min="15681" max="15681" width="8.7109375" style="18" customWidth="1"/>
    <col min="15682" max="15682" width="19.7109375" style="18" customWidth="1"/>
    <col min="15683" max="15683" width="9.42578125" style="18" customWidth="1"/>
    <col min="15684" max="15684" width="9" style="18"/>
    <col min="15685" max="15685" width="10.85546875" style="18" customWidth="1"/>
    <col min="15686" max="15686" width="9.85546875" style="18" customWidth="1"/>
    <col min="15687" max="15881" width="9" style="18"/>
    <col min="15882" max="15882" width="4" style="18" customWidth="1"/>
    <col min="15883" max="15883" width="5.85546875" style="18" customWidth="1"/>
    <col min="15884" max="15884" width="6.42578125" style="18" customWidth="1"/>
    <col min="15885" max="15885" width="20.28515625" style="18" customWidth="1"/>
    <col min="15886" max="15886" width="7.42578125" style="18" customWidth="1"/>
    <col min="15887" max="15887" width="12.7109375" style="18" customWidth="1"/>
    <col min="15888" max="15888" width="5.85546875" style="18" customWidth="1"/>
    <col min="15889" max="15889" width="8.7109375" style="18" customWidth="1"/>
    <col min="15890" max="15890" width="25.5703125" style="18" customWidth="1"/>
    <col min="15891" max="15891" width="6" style="18" customWidth="1"/>
    <col min="15892" max="15892" width="7.42578125" style="18" customWidth="1"/>
    <col min="15893" max="15893" width="7.140625" style="18" customWidth="1"/>
    <col min="15894" max="15894" width="7" style="18" customWidth="1"/>
    <col min="15895" max="15895" width="6" style="18" customWidth="1"/>
    <col min="15896" max="15896" width="6.28515625" style="18" customWidth="1"/>
    <col min="15897" max="15897" width="6.42578125" style="18" customWidth="1"/>
    <col min="15898" max="15898" width="19.140625" style="18" customWidth="1"/>
    <col min="15899" max="15899" width="8.140625" style="18" customWidth="1"/>
    <col min="15900" max="15900" width="8.7109375" style="18" customWidth="1"/>
    <col min="15901" max="15901" width="11.28515625" style="18" customWidth="1"/>
    <col min="15902" max="15902" width="22.85546875" style="18" customWidth="1"/>
    <col min="15903" max="15903" width="9.42578125" style="18" customWidth="1"/>
    <col min="15904" max="15904" width="9.85546875" style="18" customWidth="1"/>
    <col min="15905" max="15906" width="15.85546875" style="18" customWidth="1"/>
    <col min="15907" max="15907" width="15" style="18" customWidth="1"/>
    <col min="15908" max="15908" width="23.28515625" style="18" customWidth="1"/>
    <col min="15909" max="15909" width="26.42578125" style="18" customWidth="1"/>
    <col min="15910" max="15910" width="11.28515625" style="18" customWidth="1"/>
    <col min="15911" max="15911" width="19.5703125" style="18" customWidth="1"/>
    <col min="15912" max="15912" width="14.42578125" style="18" customWidth="1"/>
    <col min="15913" max="15913" width="18.42578125" style="18" customWidth="1"/>
    <col min="15914" max="15914" width="10.28515625" style="18" customWidth="1"/>
    <col min="15915" max="15915" width="36.42578125" style="18" customWidth="1"/>
    <col min="15916" max="15916" width="20.5703125" style="18" customWidth="1"/>
    <col min="15917" max="15917" width="16.42578125" style="18" customWidth="1"/>
    <col min="15918" max="15918" width="14.5703125" style="18" customWidth="1"/>
    <col min="15919" max="15919" width="10" style="18" customWidth="1"/>
    <col min="15920" max="15920" width="8" style="18" customWidth="1"/>
    <col min="15921" max="15921" width="16" style="18" customWidth="1"/>
    <col min="15922" max="15922" width="16.42578125" style="18" customWidth="1"/>
    <col min="15923" max="15923" width="9" style="18"/>
    <col min="15924" max="15924" width="16.28515625" style="18" customWidth="1"/>
    <col min="15925" max="15934" width="9" style="18"/>
    <col min="15935" max="15935" width="12.5703125" style="18" customWidth="1"/>
    <col min="15936" max="15936" width="22.85546875" style="18" customWidth="1"/>
    <col min="15937" max="15937" width="8.7109375" style="18" customWidth="1"/>
    <col min="15938" max="15938" width="19.7109375" style="18" customWidth="1"/>
    <col min="15939" max="15939" width="9.42578125" style="18" customWidth="1"/>
    <col min="15940" max="15940" width="9" style="18"/>
    <col min="15941" max="15941" width="10.85546875" style="18" customWidth="1"/>
    <col min="15942" max="15942" width="9.85546875" style="18" customWidth="1"/>
    <col min="15943" max="16137" width="9" style="18"/>
    <col min="16138" max="16138" width="4" style="18" customWidth="1"/>
    <col min="16139" max="16139" width="5.85546875" style="18" customWidth="1"/>
    <col min="16140" max="16140" width="6.42578125" style="18" customWidth="1"/>
    <col min="16141" max="16141" width="20.28515625" style="18" customWidth="1"/>
    <col min="16142" max="16142" width="7.42578125" style="18" customWidth="1"/>
    <col min="16143" max="16143" width="12.7109375" style="18" customWidth="1"/>
    <col min="16144" max="16144" width="5.85546875" style="18" customWidth="1"/>
    <col min="16145" max="16145" width="8.7109375" style="18" customWidth="1"/>
    <col min="16146" max="16146" width="25.5703125" style="18" customWidth="1"/>
    <col min="16147" max="16147" width="6" style="18" customWidth="1"/>
    <col min="16148" max="16148" width="7.42578125" style="18" customWidth="1"/>
    <col min="16149" max="16149" width="7.140625" style="18" customWidth="1"/>
    <col min="16150" max="16150" width="7" style="18" customWidth="1"/>
    <col min="16151" max="16151" width="6" style="18" customWidth="1"/>
    <col min="16152" max="16152" width="6.28515625" style="18" customWidth="1"/>
    <col min="16153" max="16153" width="6.42578125" style="18" customWidth="1"/>
    <col min="16154" max="16154" width="19.140625" style="18" customWidth="1"/>
    <col min="16155" max="16155" width="8.140625" style="18" customWidth="1"/>
    <col min="16156" max="16156" width="8.7109375" style="18" customWidth="1"/>
    <col min="16157" max="16157" width="11.28515625" style="18" customWidth="1"/>
    <col min="16158" max="16158" width="22.85546875" style="18" customWidth="1"/>
    <col min="16159" max="16159" width="9.42578125" style="18" customWidth="1"/>
    <col min="16160" max="16160" width="9.85546875" style="18" customWidth="1"/>
    <col min="16161" max="16162" width="15.85546875" style="18" customWidth="1"/>
    <col min="16163" max="16163" width="15" style="18" customWidth="1"/>
    <col min="16164" max="16164" width="23.28515625" style="18" customWidth="1"/>
    <col min="16165" max="16165" width="26.42578125" style="18" customWidth="1"/>
    <col min="16166" max="16166" width="11.28515625" style="18" customWidth="1"/>
    <col min="16167" max="16167" width="19.5703125" style="18" customWidth="1"/>
    <col min="16168" max="16168" width="14.42578125" style="18" customWidth="1"/>
    <col min="16169" max="16169" width="18.42578125" style="18" customWidth="1"/>
    <col min="16170" max="16170" width="10.28515625" style="18" customWidth="1"/>
    <col min="16171" max="16171" width="36.42578125" style="18" customWidth="1"/>
    <col min="16172" max="16172" width="20.5703125" style="18" customWidth="1"/>
    <col min="16173" max="16173" width="16.42578125" style="18" customWidth="1"/>
    <col min="16174" max="16174" width="14.5703125" style="18" customWidth="1"/>
    <col min="16175" max="16175" width="10" style="18" customWidth="1"/>
    <col min="16176" max="16176" width="8" style="18" customWidth="1"/>
    <col min="16177" max="16177" width="16" style="18" customWidth="1"/>
    <col min="16178" max="16178" width="16.42578125" style="18" customWidth="1"/>
    <col min="16179" max="16179" width="9" style="18"/>
    <col min="16180" max="16180" width="16.28515625" style="18" customWidth="1"/>
    <col min="16181" max="16190" width="9" style="18"/>
    <col min="16191" max="16191" width="12.5703125" style="18" customWidth="1"/>
    <col min="16192" max="16192" width="22.85546875" style="18" customWidth="1"/>
    <col min="16193" max="16193" width="8.7109375" style="18" customWidth="1"/>
    <col min="16194" max="16194" width="19.7109375" style="18" customWidth="1"/>
    <col min="16195" max="16195" width="9.42578125" style="18" customWidth="1"/>
    <col min="16196" max="16196" width="9" style="18"/>
    <col min="16197" max="16197" width="10.85546875" style="18" customWidth="1"/>
    <col min="16198" max="16198" width="9.85546875" style="18" customWidth="1"/>
    <col min="16199" max="16384" width="9" style="18"/>
  </cols>
  <sheetData>
    <row r="1" spans="2:67" ht="66" customHeight="1" x14ac:dyDescent="0.25">
      <c r="B1" s="26" t="s">
        <v>1</v>
      </c>
      <c r="C1" s="27" t="s">
        <v>35</v>
      </c>
      <c r="D1" s="27" t="s">
        <v>2057</v>
      </c>
      <c r="E1" s="27" t="s">
        <v>51</v>
      </c>
      <c r="F1" s="27" t="s">
        <v>42</v>
      </c>
      <c r="G1" s="27" t="s">
        <v>2674</v>
      </c>
      <c r="H1" s="27" t="s">
        <v>2676</v>
      </c>
      <c r="I1" s="27" t="s">
        <v>2340</v>
      </c>
      <c r="J1" s="27" t="s">
        <v>2339</v>
      </c>
      <c r="K1" s="27" t="s">
        <v>36</v>
      </c>
      <c r="L1" s="28" t="s">
        <v>37</v>
      </c>
      <c r="M1" s="27" t="s">
        <v>38</v>
      </c>
      <c r="N1" s="27" t="s">
        <v>39</v>
      </c>
      <c r="O1" s="27"/>
      <c r="P1" s="27" t="s">
        <v>2996</v>
      </c>
      <c r="Q1" s="27" t="s">
        <v>40</v>
      </c>
      <c r="R1" s="27" t="s">
        <v>2641</v>
      </c>
      <c r="S1" s="27" t="s">
        <v>2048</v>
      </c>
      <c r="T1" s="29" t="s">
        <v>41</v>
      </c>
      <c r="U1" s="27" t="s">
        <v>43</v>
      </c>
      <c r="V1" s="27" t="s">
        <v>44</v>
      </c>
      <c r="W1" s="30" t="s">
        <v>45</v>
      </c>
      <c r="X1" s="27" t="s">
        <v>46</v>
      </c>
      <c r="Y1" s="27" t="s">
        <v>47</v>
      </c>
      <c r="Z1" s="27" t="s">
        <v>48</v>
      </c>
      <c r="AA1" s="27" t="s">
        <v>49</v>
      </c>
      <c r="AB1" s="30" t="s">
        <v>50</v>
      </c>
      <c r="AC1" s="27" t="s">
        <v>2</v>
      </c>
      <c r="AD1" s="27" t="s">
        <v>52</v>
      </c>
      <c r="AE1" s="27" t="s">
        <v>53</v>
      </c>
      <c r="AF1" s="27" t="s">
        <v>54</v>
      </c>
      <c r="AG1" s="27" t="s">
        <v>55</v>
      </c>
      <c r="AH1" s="31" t="s">
        <v>56</v>
      </c>
      <c r="AI1" s="27" t="s">
        <v>57</v>
      </c>
      <c r="AJ1" s="27" t="s">
        <v>58</v>
      </c>
      <c r="AK1" s="27" t="s">
        <v>59</v>
      </c>
      <c r="AL1" s="27" t="s">
        <v>60</v>
      </c>
      <c r="AM1" s="27" t="s">
        <v>61</v>
      </c>
      <c r="AN1" s="27" t="s">
        <v>2976</v>
      </c>
      <c r="AO1" s="27"/>
      <c r="AP1" s="27" t="s">
        <v>62</v>
      </c>
      <c r="AQ1" s="27" t="s">
        <v>63</v>
      </c>
      <c r="AR1" s="27" t="s">
        <v>64</v>
      </c>
      <c r="AS1" s="27" t="s">
        <v>65</v>
      </c>
      <c r="AT1" s="32" t="s">
        <v>66</v>
      </c>
      <c r="AU1" s="25"/>
      <c r="AV1" s="33"/>
      <c r="AW1" s="33"/>
      <c r="AX1" s="34" t="s">
        <v>2041</v>
      </c>
      <c r="AY1" s="32" t="s">
        <v>2042</v>
      </c>
      <c r="AZ1" s="35" t="s">
        <v>2043</v>
      </c>
      <c r="BB1" s="17"/>
      <c r="BC1" s="27" t="s">
        <v>38</v>
      </c>
      <c r="BD1" s="17"/>
      <c r="BE1" s="18" t="s">
        <v>2045</v>
      </c>
      <c r="BM1" s="27" t="s">
        <v>51</v>
      </c>
      <c r="BN1" s="27" t="s">
        <v>2046</v>
      </c>
      <c r="BO1" s="30" t="s">
        <v>2047</v>
      </c>
    </row>
    <row r="2" spans="2:67" ht="24.95" customHeight="1" x14ac:dyDescent="0.25">
      <c r="B2" s="36">
        <f>SUBTOTAL(103,$M$2:M2)</f>
        <v>1</v>
      </c>
      <c r="C2" s="37" t="s">
        <v>67</v>
      </c>
      <c r="D2" s="33" t="s">
        <v>79</v>
      </c>
      <c r="E2" s="36" t="s">
        <v>3</v>
      </c>
      <c r="F2" s="33" t="s">
        <v>33</v>
      </c>
      <c r="G2" s="33" t="s">
        <v>2675</v>
      </c>
      <c r="H2" s="33" t="s">
        <v>2677</v>
      </c>
      <c r="I2" s="33" t="s">
        <v>2368</v>
      </c>
      <c r="J2" s="33" t="s">
        <v>2341</v>
      </c>
      <c r="K2" s="25" t="s">
        <v>338</v>
      </c>
      <c r="L2" s="25" t="s">
        <v>339</v>
      </c>
      <c r="M2" s="38" t="s">
        <v>2058</v>
      </c>
      <c r="N2" s="36" t="s">
        <v>91</v>
      </c>
      <c r="O2" s="36">
        <v>1</v>
      </c>
      <c r="P2" s="36">
        <v>1</v>
      </c>
      <c r="Q2" s="36" t="s">
        <v>71</v>
      </c>
      <c r="R2" s="36" t="s">
        <v>2640</v>
      </c>
      <c r="S2" s="36" t="s">
        <v>2049</v>
      </c>
      <c r="T2" s="25" t="s">
        <v>4</v>
      </c>
      <c r="U2" s="33">
        <v>2022</v>
      </c>
      <c r="V2" s="37" t="s">
        <v>74</v>
      </c>
      <c r="W2" s="33">
        <v>7.74</v>
      </c>
      <c r="X2" s="33" t="s">
        <v>340</v>
      </c>
      <c r="Y2" s="33" t="s">
        <v>341</v>
      </c>
      <c r="Z2" s="37" t="s">
        <v>169</v>
      </c>
      <c r="AA2" s="37"/>
      <c r="AB2" s="33"/>
      <c r="AC2" s="25"/>
      <c r="AD2" s="37" t="s">
        <v>77</v>
      </c>
      <c r="AE2" s="33" t="s">
        <v>78</v>
      </c>
      <c r="AF2" s="33" t="s">
        <v>78</v>
      </c>
      <c r="AG2" s="25">
        <v>6</v>
      </c>
      <c r="AH2" s="39"/>
      <c r="AI2" s="33" t="s">
        <v>342</v>
      </c>
      <c r="AJ2" s="33" t="s">
        <v>76</v>
      </c>
      <c r="AK2" s="25" t="s">
        <v>343</v>
      </c>
      <c r="AL2" s="78" t="s">
        <v>344</v>
      </c>
      <c r="AM2" s="40" t="s">
        <v>77</v>
      </c>
      <c r="AN2" s="41" t="s">
        <v>332</v>
      </c>
      <c r="AO2" s="41" t="s">
        <v>2669</v>
      </c>
      <c r="AP2" s="33" t="s">
        <v>345</v>
      </c>
      <c r="AQ2" s="43" t="s">
        <v>346</v>
      </c>
      <c r="AR2" s="44" t="s">
        <v>85</v>
      </c>
      <c r="AS2" s="20"/>
      <c r="AT2" s="18" t="s">
        <v>347</v>
      </c>
      <c r="AU2" s="45"/>
      <c r="AV2" s="18"/>
      <c r="AW2" s="17"/>
      <c r="AX2" s="17"/>
      <c r="AY2" s="34">
        <v>7140201</v>
      </c>
      <c r="AZ2" s="33">
        <v>41</v>
      </c>
      <c r="BB2" s="17"/>
      <c r="BC2" s="43" t="s">
        <v>2058</v>
      </c>
      <c r="BD2" s="17"/>
      <c r="BM2" s="46"/>
      <c r="BN2" s="46"/>
      <c r="BO2" s="47"/>
    </row>
    <row r="3" spans="2:67" ht="24.95" customHeight="1" x14ac:dyDescent="0.25">
      <c r="B3" s="36">
        <f>SUBTOTAL(103,$M$2:M3)</f>
        <v>2</v>
      </c>
      <c r="C3" s="37" t="s">
        <v>88</v>
      </c>
      <c r="D3" s="33" t="s">
        <v>79</v>
      </c>
      <c r="E3" s="36" t="s">
        <v>3</v>
      </c>
      <c r="F3" s="37" t="s">
        <v>33</v>
      </c>
      <c r="G3" s="33" t="s">
        <v>2675</v>
      </c>
      <c r="H3" s="33" t="s">
        <v>2677</v>
      </c>
      <c r="I3" s="33" t="s">
        <v>2368</v>
      </c>
      <c r="J3" s="33" t="s">
        <v>2342</v>
      </c>
      <c r="K3" s="48" t="s">
        <v>103</v>
      </c>
      <c r="L3" s="49" t="s">
        <v>348</v>
      </c>
      <c r="M3" s="50" t="s">
        <v>2059</v>
      </c>
      <c r="N3" s="37" t="s">
        <v>91</v>
      </c>
      <c r="O3" s="36">
        <v>1</v>
      </c>
      <c r="P3" s="36">
        <v>1</v>
      </c>
      <c r="Q3" s="37" t="s">
        <v>71</v>
      </c>
      <c r="R3" s="36" t="s">
        <v>2640</v>
      </c>
      <c r="S3" s="36" t="s">
        <v>2049</v>
      </c>
      <c r="T3" s="48" t="s">
        <v>4</v>
      </c>
      <c r="U3" s="37" t="s">
        <v>349</v>
      </c>
      <c r="V3" s="37" t="s">
        <v>74</v>
      </c>
      <c r="W3" s="37" t="s">
        <v>350</v>
      </c>
      <c r="X3" s="37" t="s">
        <v>351</v>
      </c>
      <c r="Y3" s="37" t="s">
        <v>352</v>
      </c>
      <c r="Z3" s="37" t="s">
        <v>74</v>
      </c>
      <c r="AA3" s="37"/>
      <c r="AB3" s="37"/>
      <c r="AC3" s="25"/>
      <c r="AD3" s="37" t="s">
        <v>77</v>
      </c>
      <c r="AE3" s="37" t="s">
        <v>78</v>
      </c>
      <c r="AF3" s="37" t="s">
        <v>78</v>
      </c>
      <c r="AG3" s="37" t="s">
        <v>115</v>
      </c>
      <c r="AH3" s="51"/>
      <c r="AI3" s="37" t="s">
        <v>149</v>
      </c>
      <c r="AJ3" s="37" t="s">
        <v>76</v>
      </c>
      <c r="AK3" s="37"/>
      <c r="AL3" s="146" t="s">
        <v>353</v>
      </c>
      <c r="AM3" s="36" t="s">
        <v>77</v>
      </c>
      <c r="AN3" s="41" t="s">
        <v>354</v>
      </c>
      <c r="AO3" s="41" t="s">
        <v>2670</v>
      </c>
      <c r="AP3" s="37" t="s">
        <v>355</v>
      </c>
      <c r="AQ3" s="50" t="s">
        <v>356</v>
      </c>
      <c r="AR3" s="37" t="s">
        <v>85</v>
      </c>
      <c r="AS3" s="42"/>
      <c r="AT3" s="25" t="s">
        <v>101</v>
      </c>
      <c r="AU3" s="45"/>
      <c r="AV3" s="18"/>
      <c r="AW3" s="17"/>
      <c r="AX3" s="17"/>
      <c r="AY3" s="34">
        <v>7140201</v>
      </c>
      <c r="AZ3" s="33">
        <v>42</v>
      </c>
      <c r="BB3" s="17"/>
      <c r="BC3" s="50" t="s">
        <v>2059</v>
      </c>
      <c r="BD3" s="17"/>
      <c r="BM3" s="46"/>
      <c r="BN3" s="46"/>
      <c r="BO3" s="47"/>
    </row>
    <row r="4" spans="2:67" ht="24.95" customHeight="1" x14ac:dyDescent="0.25">
      <c r="B4" s="36">
        <f>SUBTOTAL(103,$M$2:M4)</f>
        <v>3</v>
      </c>
      <c r="C4" s="37" t="s">
        <v>102</v>
      </c>
      <c r="D4" s="33" t="s">
        <v>79</v>
      </c>
      <c r="E4" s="33" t="s">
        <v>3</v>
      </c>
      <c r="F4" s="33" t="s">
        <v>33</v>
      </c>
      <c r="G4" s="33" t="s">
        <v>2675</v>
      </c>
      <c r="H4" s="33" t="s">
        <v>2677</v>
      </c>
      <c r="I4" s="33" t="s">
        <v>2368</v>
      </c>
      <c r="J4" s="33" t="s">
        <v>2343</v>
      </c>
      <c r="K4" s="25" t="s">
        <v>357</v>
      </c>
      <c r="L4" s="25" t="s">
        <v>358</v>
      </c>
      <c r="M4" s="38" t="s">
        <v>2060</v>
      </c>
      <c r="N4" s="33" t="s">
        <v>91</v>
      </c>
      <c r="O4" s="36">
        <v>1</v>
      </c>
      <c r="P4" s="36">
        <v>1</v>
      </c>
      <c r="Q4" s="33" t="s">
        <v>359</v>
      </c>
      <c r="R4" s="36" t="s">
        <v>2640</v>
      </c>
      <c r="S4" s="36" t="s">
        <v>2049</v>
      </c>
      <c r="T4" s="25" t="s">
        <v>4</v>
      </c>
      <c r="U4" s="33">
        <v>2025</v>
      </c>
      <c r="V4" s="36" t="s">
        <v>157</v>
      </c>
      <c r="W4" s="33" t="s">
        <v>360</v>
      </c>
      <c r="X4" s="33" t="s">
        <v>361</v>
      </c>
      <c r="Y4" s="33" t="s">
        <v>203</v>
      </c>
      <c r="Z4" s="33" t="s">
        <v>74</v>
      </c>
      <c r="AA4" s="37"/>
      <c r="AB4" s="33"/>
      <c r="AC4" s="25"/>
      <c r="AD4" s="37" t="s">
        <v>77</v>
      </c>
      <c r="AE4" s="25" t="s">
        <v>78</v>
      </c>
      <c r="AF4" s="33" t="s">
        <v>78</v>
      </c>
      <c r="AG4" s="33"/>
      <c r="AH4" s="39"/>
      <c r="AI4" s="37" t="s">
        <v>362</v>
      </c>
      <c r="AJ4" s="33" t="s">
        <v>76</v>
      </c>
      <c r="AK4" s="25"/>
      <c r="AL4" s="78" t="s">
        <v>363</v>
      </c>
      <c r="AM4" s="36" t="s">
        <v>77</v>
      </c>
      <c r="AN4" s="33" t="s">
        <v>364</v>
      </c>
      <c r="AO4" s="25" t="s">
        <v>2671</v>
      </c>
      <c r="AP4" s="33" t="s">
        <v>365</v>
      </c>
      <c r="AQ4" s="43" t="s">
        <v>366</v>
      </c>
      <c r="AR4" s="33" t="s">
        <v>85</v>
      </c>
      <c r="AS4" s="42"/>
      <c r="AT4" s="25" t="s">
        <v>367</v>
      </c>
      <c r="AU4" s="45"/>
      <c r="AV4" s="18"/>
      <c r="AW4" s="17"/>
      <c r="AX4" s="17"/>
      <c r="AY4" s="34">
        <v>7140201</v>
      </c>
      <c r="AZ4" s="33">
        <v>43</v>
      </c>
      <c r="BB4" s="17"/>
      <c r="BC4" s="43" t="s">
        <v>2060</v>
      </c>
      <c r="BD4" s="17"/>
      <c r="BM4" s="46"/>
      <c r="BN4" s="46"/>
      <c r="BO4" s="47"/>
    </row>
    <row r="5" spans="2:67" ht="24.95" customHeight="1" x14ac:dyDescent="0.25">
      <c r="B5" s="36">
        <f>SUBTOTAL(103,$M$2:M5)</f>
        <v>4</v>
      </c>
      <c r="C5" s="37" t="s">
        <v>115</v>
      </c>
      <c r="D5" s="33" t="s">
        <v>79</v>
      </c>
      <c r="E5" s="33" t="s">
        <v>3</v>
      </c>
      <c r="F5" s="33" t="s">
        <v>33</v>
      </c>
      <c r="G5" s="33" t="s">
        <v>2675</v>
      </c>
      <c r="H5" s="33" t="s">
        <v>2677</v>
      </c>
      <c r="I5" s="33" t="s">
        <v>2368</v>
      </c>
      <c r="J5" s="33" t="s">
        <v>2344</v>
      </c>
      <c r="K5" s="25" t="s">
        <v>234</v>
      </c>
      <c r="L5" s="49" t="s">
        <v>368</v>
      </c>
      <c r="M5" s="38" t="s">
        <v>2061</v>
      </c>
      <c r="N5" s="33" t="s">
        <v>91</v>
      </c>
      <c r="O5" s="36">
        <v>1</v>
      </c>
      <c r="P5" s="36"/>
      <c r="Q5" s="33" t="s">
        <v>71</v>
      </c>
      <c r="R5" s="36" t="s">
        <v>2640</v>
      </c>
      <c r="S5" s="36" t="s">
        <v>2049</v>
      </c>
      <c r="T5" s="25" t="s">
        <v>4</v>
      </c>
      <c r="U5" s="33">
        <v>2025</v>
      </c>
      <c r="V5" s="33" t="s">
        <v>157</v>
      </c>
      <c r="W5" s="33" t="s">
        <v>369</v>
      </c>
      <c r="X5" s="33" t="s">
        <v>370</v>
      </c>
      <c r="Y5" s="33" t="s">
        <v>371</v>
      </c>
      <c r="Z5" s="33" t="s">
        <v>74</v>
      </c>
      <c r="AA5" s="37"/>
      <c r="AB5" s="33"/>
      <c r="AC5" s="25"/>
      <c r="AD5" s="37" t="s">
        <v>77</v>
      </c>
      <c r="AE5" s="25" t="s">
        <v>78</v>
      </c>
      <c r="AF5" s="25" t="s">
        <v>78</v>
      </c>
      <c r="AG5" s="25"/>
      <c r="AH5" s="39"/>
      <c r="AI5" s="37" t="s">
        <v>149</v>
      </c>
      <c r="AJ5" s="33" t="s">
        <v>76</v>
      </c>
      <c r="AK5" s="25"/>
      <c r="AL5" s="78" t="s">
        <v>372</v>
      </c>
      <c r="AM5" s="36" t="s">
        <v>77</v>
      </c>
      <c r="AN5" s="40" t="s">
        <v>286</v>
      </c>
      <c r="AO5" s="52" t="s">
        <v>2672</v>
      </c>
      <c r="AP5" s="111" t="s">
        <v>373</v>
      </c>
      <c r="AQ5" s="43" t="s">
        <v>374</v>
      </c>
      <c r="AR5" s="33" t="s">
        <v>85</v>
      </c>
      <c r="AS5" s="20" t="s">
        <v>375</v>
      </c>
      <c r="AT5" s="53" t="s">
        <v>145</v>
      </c>
      <c r="AU5" s="45"/>
      <c r="AV5" s="18"/>
      <c r="AW5" s="17"/>
      <c r="AX5" s="17"/>
      <c r="AY5" s="34">
        <v>7140201</v>
      </c>
      <c r="AZ5" s="33">
        <v>44</v>
      </c>
      <c r="BB5" s="17"/>
      <c r="BC5" s="43" t="s">
        <v>2061</v>
      </c>
      <c r="BD5" s="17"/>
      <c r="BM5" s="46"/>
      <c r="BN5" s="46"/>
      <c r="BO5" s="47"/>
    </row>
    <row r="6" spans="2:67" ht="24.95" customHeight="1" x14ac:dyDescent="0.25">
      <c r="B6" s="36">
        <f>SUBTOTAL(103,$M$2:M6)</f>
        <v>5</v>
      </c>
      <c r="C6" s="37" t="s">
        <v>124</v>
      </c>
      <c r="D6" s="33" t="s">
        <v>79</v>
      </c>
      <c r="E6" s="36" t="s">
        <v>3</v>
      </c>
      <c r="F6" s="37" t="s">
        <v>33</v>
      </c>
      <c r="G6" s="33" t="s">
        <v>2675</v>
      </c>
      <c r="H6" s="33" t="s">
        <v>2677</v>
      </c>
      <c r="I6" s="33" t="s">
        <v>2368</v>
      </c>
      <c r="J6" s="33" t="s">
        <v>2345</v>
      </c>
      <c r="K6" s="25" t="s">
        <v>376</v>
      </c>
      <c r="L6" s="25" t="s">
        <v>377</v>
      </c>
      <c r="M6" s="54" t="s">
        <v>2062</v>
      </c>
      <c r="N6" s="33" t="s">
        <v>91</v>
      </c>
      <c r="O6" s="36">
        <v>1</v>
      </c>
      <c r="P6" s="36">
        <v>1</v>
      </c>
      <c r="Q6" s="37" t="s">
        <v>71</v>
      </c>
      <c r="R6" s="36" t="s">
        <v>2640</v>
      </c>
      <c r="S6" s="36" t="s">
        <v>2049</v>
      </c>
      <c r="T6" s="55" t="s">
        <v>4</v>
      </c>
      <c r="U6" s="33">
        <v>2022</v>
      </c>
      <c r="V6" s="37" t="s">
        <v>157</v>
      </c>
      <c r="W6" s="36" t="s">
        <v>378</v>
      </c>
      <c r="X6" s="36" t="s">
        <v>379</v>
      </c>
      <c r="Y6" s="33" t="s">
        <v>330</v>
      </c>
      <c r="Z6" s="37" t="s">
        <v>74</v>
      </c>
      <c r="AA6" s="37"/>
      <c r="AB6" s="33"/>
      <c r="AC6" s="25"/>
      <c r="AD6" s="37" t="s">
        <v>77</v>
      </c>
      <c r="AE6" s="33" t="s">
        <v>78</v>
      </c>
      <c r="AF6" s="33" t="s">
        <v>78</v>
      </c>
      <c r="AG6" s="25"/>
      <c r="AH6" s="39"/>
      <c r="AI6" s="37" t="s">
        <v>149</v>
      </c>
      <c r="AJ6" s="37" t="s">
        <v>76</v>
      </c>
      <c r="AK6" s="25"/>
      <c r="AL6" s="78" t="s">
        <v>380</v>
      </c>
      <c r="AM6" s="36" t="s">
        <v>77</v>
      </c>
      <c r="AN6" s="41" t="s">
        <v>354</v>
      </c>
      <c r="AO6" s="56" t="s">
        <v>2673</v>
      </c>
      <c r="AP6" s="56" t="s">
        <v>381</v>
      </c>
      <c r="AQ6" s="43" t="s">
        <v>382</v>
      </c>
      <c r="AR6" s="33" t="s">
        <v>85</v>
      </c>
      <c r="AS6" s="20"/>
      <c r="AT6" s="25" t="s">
        <v>101</v>
      </c>
      <c r="AU6" s="45"/>
      <c r="AV6" s="18"/>
      <c r="AW6" s="17"/>
      <c r="AX6" s="17"/>
      <c r="AY6" s="34">
        <v>7140201</v>
      </c>
      <c r="AZ6" s="33">
        <v>45</v>
      </c>
      <c r="BB6" s="17"/>
      <c r="BC6" s="57" t="s">
        <v>2062</v>
      </c>
      <c r="BD6" s="17"/>
      <c r="BM6" s="46"/>
      <c r="BN6" s="46"/>
      <c r="BO6" s="47"/>
    </row>
    <row r="7" spans="2:67" ht="24.95" customHeight="1" x14ac:dyDescent="0.25">
      <c r="B7" s="36">
        <f>SUBTOTAL(103,$M$2:M7)</f>
        <v>6</v>
      </c>
      <c r="C7" s="37" t="s">
        <v>133</v>
      </c>
      <c r="D7" s="33" t="s">
        <v>79</v>
      </c>
      <c r="E7" s="36" t="s">
        <v>3</v>
      </c>
      <c r="F7" s="33" t="s">
        <v>33</v>
      </c>
      <c r="G7" s="33" t="s">
        <v>2675</v>
      </c>
      <c r="H7" s="33" t="s">
        <v>2677</v>
      </c>
      <c r="I7" s="33" t="s">
        <v>2368</v>
      </c>
      <c r="J7" s="33" t="s">
        <v>2346</v>
      </c>
      <c r="K7" s="25" t="s">
        <v>383</v>
      </c>
      <c r="L7" s="25" t="s">
        <v>377</v>
      </c>
      <c r="M7" s="38" t="s">
        <v>2063</v>
      </c>
      <c r="N7" s="36" t="s">
        <v>91</v>
      </c>
      <c r="O7" s="36">
        <v>1</v>
      </c>
      <c r="P7" s="36">
        <v>1</v>
      </c>
      <c r="Q7" s="36" t="s">
        <v>359</v>
      </c>
      <c r="R7" s="36" t="s">
        <v>2640</v>
      </c>
      <c r="S7" s="36" t="s">
        <v>2049</v>
      </c>
      <c r="T7" s="25" t="s">
        <v>4</v>
      </c>
      <c r="U7" s="33">
        <v>2020</v>
      </c>
      <c r="V7" s="33" t="s">
        <v>74</v>
      </c>
      <c r="W7" s="33"/>
      <c r="X7" s="33" t="s">
        <v>384</v>
      </c>
      <c r="Y7" s="33" t="s">
        <v>330</v>
      </c>
      <c r="Z7" s="37" t="s">
        <v>74</v>
      </c>
      <c r="AA7" s="37"/>
      <c r="AB7" s="33"/>
      <c r="AC7" s="25"/>
      <c r="AD7" s="37" t="s">
        <v>77</v>
      </c>
      <c r="AE7" s="33" t="s">
        <v>78</v>
      </c>
      <c r="AF7" s="33" t="s">
        <v>78</v>
      </c>
      <c r="AG7" s="25">
        <v>4</v>
      </c>
      <c r="AH7" s="39"/>
      <c r="AI7" s="37" t="s">
        <v>385</v>
      </c>
      <c r="AJ7" s="33" t="s">
        <v>76</v>
      </c>
      <c r="AK7" s="25"/>
      <c r="AL7" s="78" t="s">
        <v>386</v>
      </c>
      <c r="AM7" s="36" t="s">
        <v>77</v>
      </c>
      <c r="AN7" s="41" t="s">
        <v>217</v>
      </c>
      <c r="AO7" s="41"/>
      <c r="AP7" s="37" t="s">
        <v>387</v>
      </c>
      <c r="AQ7" s="43" t="s">
        <v>388</v>
      </c>
      <c r="AR7" s="33" t="s">
        <v>85</v>
      </c>
      <c r="AS7" s="20"/>
      <c r="AT7" s="25" t="s">
        <v>389</v>
      </c>
      <c r="AU7" s="45"/>
      <c r="AV7" s="18"/>
      <c r="AW7" s="17"/>
      <c r="AX7" s="17"/>
      <c r="AY7" s="34">
        <v>7140201</v>
      </c>
      <c r="AZ7" s="33">
        <v>46</v>
      </c>
      <c r="BB7" s="17"/>
      <c r="BC7" s="43" t="s">
        <v>2063</v>
      </c>
      <c r="BD7" s="17"/>
      <c r="BM7" s="46"/>
      <c r="BN7" s="46"/>
      <c r="BO7" s="47"/>
    </row>
    <row r="8" spans="2:67" ht="24.95" customHeight="1" x14ac:dyDescent="0.25">
      <c r="B8" s="36">
        <f>SUBTOTAL(103,$M$2:M8)</f>
        <v>7</v>
      </c>
      <c r="C8" s="37" t="s">
        <v>146</v>
      </c>
      <c r="D8" s="33" t="s">
        <v>79</v>
      </c>
      <c r="E8" s="36" t="s">
        <v>3</v>
      </c>
      <c r="F8" s="37" t="s">
        <v>33</v>
      </c>
      <c r="G8" s="33" t="s">
        <v>2675</v>
      </c>
      <c r="H8" s="33" t="s">
        <v>2677</v>
      </c>
      <c r="I8" s="33" t="s">
        <v>2368</v>
      </c>
      <c r="J8" s="33" t="s">
        <v>2347</v>
      </c>
      <c r="K8" s="48" t="s">
        <v>390</v>
      </c>
      <c r="L8" s="49" t="s">
        <v>391</v>
      </c>
      <c r="M8" s="50" t="s">
        <v>2064</v>
      </c>
      <c r="N8" s="37" t="s">
        <v>91</v>
      </c>
      <c r="O8" s="36">
        <v>1</v>
      </c>
      <c r="P8" s="36">
        <v>1</v>
      </c>
      <c r="Q8" s="37" t="s">
        <v>71</v>
      </c>
      <c r="R8" s="36" t="s">
        <v>2640</v>
      </c>
      <c r="S8" s="36" t="s">
        <v>2049</v>
      </c>
      <c r="T8" s="48" t="s">
        <v>4</v>
      </c>
      <c r="U8" s="37" t="s">
        <v>291</v>
      </c>
      <c r="V8" s="37" t="s">
        <v>74</v>
      </c>
      <c r="W8" s="37" t="s">
        <v>392</v>
      </c>
      <c r="X8" s="37" t="s">
        <v>393</v>
      </c>
      <c r="Y8" s="37" t="s">
        <v>330</v>
      </c>
      <c r="Z8" s="37" t="s">
        <v>74</v>
      </c>
      <c r="AA8" s="37"/>
      <c r="AB8" s="37"/>
      <c r="AC8" s="25"/>
      <c r="AD8" s="37" t="s">
        <v>77</v>
      </c>
      <c r="AE8" s="37" t="s">
        <v>78</v>
      </c>
      <c r="AF8" s="37" t="s">
        <v>78</v>
      </c>
      <c r="AG8" s="37" t="s">
        <v>102</v>
      </c>
      <c r="AH8" s="51"/>
      <c r="AI8" s="37" t="s">
        <v>149</v>
      </c>
      <c r="AJ8" s="37" t="s">
        <v>76</v>
      </c>
      <c r="AK8" s="37"/>
      <c r="AL8" s="146" t="s">
        <v>394</v>
      </c>
      <c r="AM8" s="36" t="s">
        <v>77</v>
      </c>
      <c r="AN8" s="41" t="s">
        <v>332</v>
      </c>
      <c r="AO8" s="41"/>
      <c r="AP8" s="37" t="s">
        <v>395</v>
      </c>
      <c r="AQ8" s="50" t="s">
        <v>396</v>
      </c>
      <c r="AR8" s="37" t="s">
        <v>85</v>
      </c>
      <c r="AS8" s="20"/>
      <c r="AT8" s="25" t="s">
        <v>114</v>
      </c>
      <c r="AU8" s="45"/>
      <c r="AV8" s="18"/>
      <c r="AW8" s="17"/>
      <c r="AX8" s="17"/>
      <c r="AY8" s="34">
        <v>7140201</v>
      </c>
      <c r="AZ8" s="33">
        <v>47</v>
      </c>
      <c r="BB8" s="17"/>
      <c r="BC8" s="50" t="s">
        <v>2064</v>
      </c>
      <c r="BD8" s="17"/>
      <c r="BM8" s="46"/>
      <c r="BN8" s="46"/>
      <c r="BO8" s="47"/>
    </row>
    <row r="9" spans="2:67" ht="24.95" customHeight="1" x14ac:dyDescent="0.25">
      <c r="B9" s="36">
        <f>SUBTOTAL(103,$M$2:M9)</f>
        <v>8</v>
      </c>
      <c r="C9" s="37" t="s">
        <v>154</v>
      </c>
      <c r="D9" s="33" t="s">
        <v>79</v>
      </c>
      <c r="E9" s="36" t="s">
        <v>3</v>
      </c>
      <c r="F9" s="36" t="s">
        <v>33</v>
      </c>
      <c r="G9" s="33" t="s">
        <v>2675</v>
      </c>
      <c r="H9" s="33" t="s">
        <v>2677</v>
      </c>
      <c r="I9" s="33" t="s">
        <v>2368</v>
      </c>
      <c r="J9" s="33" t="s">
        <v>2348</v>
      </c>
      <c r="K9" s="25" t="s">
        <v>397</v>
      </c>
      <c r="L9" s="25" t="s">
        <v>262</v>
      </c>
      <c r="M9" s="54" t="s">
        <v>2065</v>
      </c>
      <c r="N9" s="36" t="s">
        <v>91</v>
      </c>
      <c r="O9" s="36">
        <v>1</v>
      </c>
      <c r="P9" s="36"/>
      <c r="Q9" s="37" t="s">
        <v>71</v>
      </c>
      <c r="R9" s="36" t="s">
        <v>2640</v>
      </c>
      <c r="S9" s="36" t="s">
        <v>2049</v>
      </c>
      <c r="T9" s="55" t="s">
        <v>4</v>
      </c>
      <c r="U9" s="33">
        <v>2021</v>
      </c>
      <c r="V9" s="37" t="s">
        <v>74</v>
      </c>
      <c r="W9" s="36" t="s">
        <v>398</v>
      </c>
      <c r="X9" s="36" t="s">
        <v>399</v>
      </c>
      <c r="Y9" s="33" t="s">
        <v>371</v>
      </c>
      <c r="Z9" s="37" t="s">
        <v>74</v>
      </c>
      <c r="AA9" s="37"/>
      <c r="AB9" s="33"/>
      <c r="AC9" s="25"/>
      <c r="AD9" s="37" t="s">
        <v>77</v>
      </c>
      <c r="AE9" s="37" t="s">
        <v>78</v>
      </c>
      <c r="AF9" s="37" t="s">
        <v>78</v>
      </c>
      <c r="AG9" s="25">
        <v>3</v>
      </c>
      <c r="AH9" s="39"/>
      <c r="AI9" s="33" t="s">
        <v>149</v>
      </c>
      <c r="AJ9" s="37" t="s">
        <v>76</v>
      </c>
      <c r="AK9" s="25"/>
      <c r="AL9" s="78" t="s">
        <v>400</v>
      </c>
      <c r="AM9" s="36" t="s">
        <v>77</v>
      </c>
      <c r="AN9" s="37" t="s">
        <v>401</v>
      </c>
      <c r="AO9" s="37"/>
      <c r="AP9" s="37" t="s">
        <v>402</v>
      </c>
      <c r="AQ9" s="43" t="s">
        <v>403</v>
      </c>
      <c r="AR9" s="44" t="s">
        <v>85</v>
      </c>
      <c r="AS9" s="20"/>
      <c r="AT9" s="18" t="s">
        <v>101</v>
      </c>
      <c r="AU9" s="45"/>
      <c r="AV9" s="18"/>
      <c r="AW9" s="17"/>
      <c r="AX9" s="17"/>
      <c r="AY9" s="34">
        <v>7140201</v>
      </c>
      <c r="AZ9" s="33">
        <v>48</v>
      </c>
      <c r="BB9" s="17"/>
      <c r="BC9" s="57" t="s">
        <v>2065</v>
      </c>
      <c r="BD9" s="17"/>
      <c r="BM9" s="46"/>
      <c r="BN9" s="46"/>
      <c r="BO9" s="47"/>
    </row>
    <row r="10" spans="2:67" ht="24.95" customHeight="1" x14ac:dyDescent="0.25">
      <c r="B10" s="36">
        <f>SUBTOTAL(103,$M$2:M10)</f>
        <v>9</v>
      </c>
      <c r="C10" s="37" t="s">
        <v>165</v>
      </c>
      <c r="D10" s="33" t="s">
        <v>79</v>
      </c>
      <c r="E10" s="33" t="s">
        <v>3</v>
      </c>
      <c r="F10" s="33" t="s">
        <v>33</v>
      </c>
      <c r="G10" s="33" t="s">
        <v>2675</v>
      </c>
      <c r="H10" s="33" t="s">
        <v>2677</v>
      </c>
      <c r="I10" s="33" t="s">
        <v>2368</v>
      </c>
      <c r="J10" s="33" t="s">
        <v>2349</v>
      </c>
      <c r="K10" s="25" t="s">
        <v>103</v>
      </c>
      <c r="L10" s="25" t="s">
        <v>404</v>
      </c>
      <c r="M10" s="38" t="s">
        <v>2066</v>
      </c>
      <c r="N10" s="33" t="s">
        <v>91</v>
      </c>
      <c r="O10" s="36">
        <v>1</v>
      </c>
      <c r="P10" s="36">
        <v>1</v>
      </c>
      <c r="Q10" s="33" t="s">
        <v>71</v>
      </c>
      <c r="R10" s="36" t="s">
        <v>2640</v>
      </c>
      <c r="S10" s="36" t="s">
        <v>2049</v>
      </c>
      <c r="T10" s="25" t="s">
        <v>4</v>
      </c>
      <c r="U10" s="33">
        <v>2017</v>
      </c>
      <c r="V10" s="36" t="s">
        <v>74</v>
      </c>
      <c r="W10" s="33" t="s">
        <v>405</v>
      </c>
      <c r="X10" s="33"/>
      <c r="Y10" s="33" t="s">
        <v>371</v>
      </c>
      <c r="Z10" s="33" t="s">
        <v>74</v>
      </c>
      <c r="AA10" s="37"/>
      <c r="AB10" s="33"/>
      <c r="AC10" s="25"/>
      <c r="AD10" s="37" t="s">
        <v>77</v>
      </c>
      <c r="AE10" s="25" t="s">
        <v>78</v>
      </c>
      <c r="AF10" s="25" t="s">
        <v>78</v>
      </c>
      <c r="AG10" s="25"/>
      <c r="AH10" s="39"/>
      <c r="AI10" s="33" t="s">
        <v>149</v>
      </c>
      <c r="AJ10" s="33" t="s">
        <v>76</v>
      </c>
      <c r="AK10" s="25"/>
      <c r="AL10" s="78" t="s">
        <v>406</v>
      </c>
      <c r="AM10" s="36" t="s">
        <v>77</v>
      </c>
      <c r="AN10" s="33" t="s">
        <v>150</v>
      </c>
      <c r="AO10" s="25"/>
      <c r="AP10" s="33" t="s">
        <v>407</v>
      </c>
      <c r="AQ10" s="43" t="s">
        <v>408</v>
      </c>
      <c r="AR10" s="33" t="s">
        <v>85</v>
      </c>
      <c r="AS10" s="20" t="s">
        <v>409</v>
      </c>
      <c r="AT10" s="58" t="s">
        <v>145</v>
      </c>
      <c r="AU10" s="45"/>
      <c r="AV10" s="18"/>
      <c r="AW10" s="17"/>
      <c r="AX10" s="17"/>
      <c r="AY10" s="34">
        <v>7140201</v>
      </c>
      <c r="AZ10" s="33">
        <v>49</v>
      </c>
      <c r="BB10" s="17"/>
      <c r="BC10" s="43" t="s">
        <v>2066</v>
      </c>
      <c r="BD10" s="17"/>
      <c r="BM10" s="46"/>
      <c r="BN10" s="46"/>
      <c r="BO10" s="47"/>
    </row>
    <row r="11" spans="2:67" ht="24.95" customHeight="1" x14ac:dyDescent="0.25">
      <c r="B11" s="36">
        <f>SUBTOTAL(103,$M$2:M11)</f>
        <v>10</v>
      </c>
      <c r="C11" s="37" t="s">
        <v>178</v>
      </c>
      <c r="D11" s="33" t="s">
        <v>79</v>
      </c>
      <c r="E11" s="36" t="s">
        <v>3</v>
      </c>
      <c r="F11" s="37" t="s">
        <v>33</v>
      </c>
      <c r="G11" s="33" t="s">
        <v>2675</v>
      </c>
      <c r="H11" s="33" t="s">
        <v>2677</v>
      </c>
      <c r="I11" s="33" t="s">
        <v>2368</v>
      </c>
      <c r="J11" s="33" t="s">
        <v>2350</v>
      </c>
      <c r="K11" s="25" t="s">
        <v>410</v>
      </c>
      <c r="L11" s="25" t="s">
        <v>224</v>
      </c>
      <c r="M11" s="38" t="s">
        <v>2067</v>
      </c>
      <c r="N11" s="36" t="s">
        <v>91</v>
      </c>
      <c r="O11" s="36">
        <v>1</v>
      </c>
      <c r="P11" s="36"/>
      <c r="Q11" s="36" t="s">
        <v>71</v>
      </c>
      <c r="R11" s="36" t="s">
        <v>2640</v>
      </c>
      <c r="S11" s="36" t="s">
        <v>2049</v>
      </c>
      <c r="T11" s="25" t="s">
        <v>4</v>
      </c>
      <c r="U11" s="33">
        <v>2022</v>
      </c>
      <c r="V11" s="33" t="s">
        <v>74</v>
      </c>
      <c r="W11" s="33"/>
      <c r="X11" s="33" t="s">
        <v>265</v>
      </c>
      <c r="Y11" s="33" t="s">
        <v>371</v>
      </c>
      <c r="Z11" s="33" t="s">
        <v>74</v>
      </c>
      <c r="AA11" s="37"/>
      <c r="AB11" s="33"/>
      <c r="AC11" s="25"/>
      <c r="AD11" s="37" t="s">
        <v>77</v>
      </c>
      <c r="AE11" s="33" t="s">
        <v>78</v>
      </c>
      <c r="AF11" s="33" t="s">
        <v>78</v>
      </c>
      <c r="AG11" s="25">
        <v>3</v>
      </c>
      <c r="AH11" s="39"/>
      <c r="AI11" s="33" t="s">
        <v>411</v>
      </c>
      <c r="AJ11" s="36" t="s">
        <v>76</v>
      </c>
      <c r="AK11" s="25"/>
      <c r="AL11" s="78" t="s">
        <v>412</v>
      </c>
      <c r="AM11" s="33" t="s">
        <v>77</v>
      </c>
      <c r="AN11" s="40" t="s">
        <v>413</v>
      </c>
      <c r="AO11" s="52"/>
      <c r="AP11" s="56" t="s">
        <v>414</v>
      </c>
      <c r="AQ11" s="43" t="s">
        <v>415</v>
      </c>
      <c r="AR11" s="44" t="s">
        <v>85</v>
      </c>
      <c r="AS11" s="20" t="s">
        <v>416</v>
      </c>
      <c r="AT11" s="18" t="s">
        <v>347</v>
      </c>
      <c r="AU11" s="45"/>
      <c r="AV11" s="18"/>
      <c r="AW11" s="17"/>
      <c r="AX11" s="17"/>
      <c r="AY11" s="34">
        <v>7140201</v>
      </c>
      <c r="AZ11" s="33">
        <v>50</v>
      </c>
      <c r="BB11" s="17"/>
      <c r="BC11" s="43" t="s">
        <v>2067</v>
      </c>
      <c r="BD11" s="17"/>
      <c r="BM11" s="46"/>
      <c r="BN11" s="46"/>
      <c r="BO11" s="47"/>
    </row>
    <row r="12" spans="2:67" ht="24.95" customHeight="1" x14ac:dyDescent="0.25">
      <c r="B12" s="36">
        <f>SUBTOTAL(103,$M$2:M12)</f>
        <v>11</v>
      </c>
      <c r="C12" s="37" t="s">
        <v>189</v>
      </c>
      <c r="D12" s="33" t="s">
        <v>79</v>
      </c>
      <c r="E12" s="36" t="s">
        <v>3</v>
      </c>
      <c r="F12" s="36" t="s">
        <v>33</v>
      </c>
      <c r="G12" s="33" t="s">
        <v>2675</v>
      </c>
      <c r="H12" s="33" t="s">
        <v>2677</v>
      </c>
      <c r="I12" s="33" t="s">
        <v>2368</v>
      </c>
      <c r="J12" s="33" t="s">
        <v>2351</v>
      </c>
      <c r="K12" s="25" t="s">
        <v>417</v>
      </c>
      <c r="L12" s="25" t="s">
        <v>418</v>
      </c>
      <c r="M12" s="54" t="s">
        <v>2068</v>
      </c>
      <c r="N12" s="37" t="s">
        <v>91</v>
      </c>
      <c r="O12" s="36">
        <v>1</v>
      </c>
      <c r="P12" s="36">
        <v>1</v>
      </c>
      <c r="Q12" s="37" t="s">
        <v>71</v>
      </c>
      <c r="R12" s="36" t="s">
        <v>2640</v>
      </c>
      <c r="S12" s="36" t="s">
        <v>2049</v>
      </c>
      <c r="T12" s="59" t="s">
        <v>4</v>
      </c>
      <c r="U12" s="36">
        <v>2018</v>
      </c>
      <c r="V12" s="37" t="s">
        <v>74</v>
      </c>
      <c r="W12" s="60" t="s">
        <v>419</v>
      </c>
      <c r="X12" s="60" t="s">
        <v>420</v>
      </c>
      <c r="Y12" s="36" t="s">
        <v>94</v>
      </c>
      <c r="Z12" s="37" t="s">
        <v>74</v>
      </c>
      <c r="AA12" s="37"/>
      <c r="AB12" s="36"/>
      <c r="AC12" s="25"/>
      <c r="AD12" s="37" t="s">
        <v>77</v>
      </c>
      <c r="AE12" s="37" t="s">
        <v>78</v>
      </c>
      <c r="AF12" s="37" t="s">
        <v>78</v>
      </c>
      <c r="AG12" s="33"/>
      <c r="AH12" s="39"/>
      <c r="AI12" s="33" t="s">
        <v>149</v>
      </c>
      <c r="AJ12" s="37" t="s">
        <v>76</v>
      </c>
      <c r="AK12" s="25"/>
      <c r="AL12" s="147" t="s">
        <v>421</v>
      </c>
      <c r="AM12" s="36" t="s">
        <v>77</v>
      </c>
      <c r="AN12" s="33" t="s">
        <v>82</v>
      </c>
      <c r="AO12" s="52"/>
      <c r="AP12" s="56" t="s">
        <v>422</v>
      </c>
      <c r="AQ12" s="43" t="s">
        <v>423</v>
      </c>
      <c r="AR12" s="44" t="s">
        <v>85</v>
      </c>
      <c r="AS12" s="20" t="s">
        <v>424</v>
      </c>
      <c r="AT12" s="18" t="s">
        <v>101</v>
      </c>
      <c r="AU12" s="45"/>
      <c r="AV12" s="18"/>
      <c r="AW12" s="17"/>
      <c r="AX12" s="17"/>
      <c r="AY12" s="34">
        <v>7140201</v>
      </c>
      <c r="AZ12" s="33">
        <v>51</v>
      </c>
      <c r="BB12" s="17"/>
      <c r="BC12" s="57" t="s">
        <v>2068</v>
      </c>
      <c r="BD12" s="17"/>
      <c r="BM12" s="46"/>
      <c r="BN12" s="46"/>
      <c r="BO12" s="47"/>
    </row>
    <row r="13" spans="2:67" ht="24.95" customHeight="1" x14ac:dyDescent="0.25">
      <c r="B13" s="36">
        <f>SUBTOTAL(103,$M$2:M13)</f>
        <v>12</v>
      </c>
      <c r="C13" s="37" t="s">
        <v>199</v>
      </c>
      <c r="D13" s="33" t="s">
        <v>79</v>
      </c>
      <c r="E13" s="36" t="s">
        <v>3</v>
      </c>
      <c r="F13" s="33" t="s">
        <v>33</v>
      </c>
      <c r="G13" s="33" t="s">
        <v>2675</v>
      </c>
      <c r="H13" s="33" t="s">
        <v>2677</v>
      </c>
      <c r="I13" s="33" t="s">
        <v>2368</v>
      </c>
      <c r="J13" s="33" t="s">
        <v>2352</v>
      </c>
      <c r="K13" s="25" t="s">
        <v>425</v>
      </c>
      <c r="L13" s="25" t="s">
        <v>426</v>
      </c>
      <c r="M13" s="38" t="s">
        <v>2069</v>
      </c>
      <c r="N13" s="33" t="s">
        <v>91</v>
      </c>
      <c r="O13" s="36">
        <v>1</v>
      </c>
      <c r="P13" s="36">
        <v>1</v>
      </c>
      <c r="Q13" s="33" t="s">
        <v>427</v>
      </c>
      <c r="R13" s="36" t="s">
        <v>2640</v>
      </c>
      <c r="S13" s="36" t="s">
        <v>2049</v>
      </c>
      <c r="T13" s="25" t="s">
        <v>4</v>
      </c>
      <c r="U13" s="33">
        <v>2022</v>
      </c>
      <c r="V13" s="33" t="s">
        <v>74</v>
      </c>
      <c r="W13" s="33" t="s">
        <v>428</v>
      </c>
      <c r="X13" s="33"/>
      <c r="Y13" s="33" t="s">
        <v>171</v>
      </c>
      <c r="Z13" s="33" t="s">
        <v>169</v>
      </c>
      <c r="AA13" s="33"/>
      <c r="AB13" s="33"/>
      <c r="AC13" s="25"/>
      <c r="AD13" s="37" t="s">
        <v>77</v>
      </c>
      <c r="AE13" s="25" t="s">
        <v>78</v>
      </c>
      <c r="AF13" s="25" t="s">
        <v>78</v>
      </c>
      <c r="AG13" s="25">
        <v>4</v>
      </c>
      <c r="AH13" s="61"/>
      <c r="AI13" s="33" t="s">
        <v>342</v>
      </c>
      <c r="AJ13" s="33" t="s">
        <v>76</v>
      </c>
      <c r="AK13" s="25" t="s">
        <v>429</v>
      </c>
      <c r="AL13" s="78" t="s">
        <v>430</v>
      </c>
      <c r="AM13" s="36" t="s">
        <v>77</v>
      </c>
      <c r="AN13" s="37" t="s">
        <v>260</v>
      </c>
      <c r="AO13" s="56"/>
      <c r="AP13" s="56" t="s">
        <v>431</v>
      </c>
      <c r="AQ13" s="43" t="s">
        <v>432</v>
      </c>
      <c r="AR13" s="33" t="s">
        <v>85</v>
      </c>
      <c r="AS13" s="20"/>
      <c r="AT13" s="18" t="s">
        <v>433</v>
      </c>
      <c r="AU13" s="45"/>
      <c r="AV13" s="18"/>
      <c r="AW13" s="17"/>
      <c r="AX13" s="17"/>
      <c r="AY13" s="34">
        <v>7140201</v>
      </c>
      <c r="AZ13" s="33">
        <v>52</v>
      </c>
      <c r="BB13" s="17"/>
      <c r="BC13" s="43" t="s">
        <v>2069</v>
      </c>
      <c r="BD13" s="17"/>
      <c r="BM13" s="46"/>
      <c r="BN13" s="46"/>
      <c r="BO13" s="47"/>
    </row>
    <row r="14" spans="2:67" ht="24.95" customHeight="1" x14ac:dyDescent="0.25">
      <c r="B14" s="36">
        <f>SUBTOTAL(103,$M$2:M14)</f>
        <v>13</v>
      </c>
      <c r="C14" s="37" t="s">
        <v>310</v>
      </c>
      <c r="D14" s="33" t="s">
        <v>79</v>
      </c>
      <c r="E14" s="36" t="s">
        <v>3</v>
      </c>
      <c r="F14" s="37" t="s">
        <v>33</v>
      </c>
      <c r="G14" s="33" t="s">
        <v>2675</v>
      </c>
      <c r="H14" s="33" t="s">
        <v>2677</v>
      </c>
      <c r="I14" s="33" t="s">
        <v>2368</v>
      </c>
      <c r="J14" s="33" t="s">
        <v>2353</v>
      </c>
      <c r="K14" s="48" t="s">
        <v>103</v>
      </c>
      <c r="L14" s="49" t="s">
        <v>190</v>
      </c>
      <c r="M14" s="50" t="s">
        <v>2070</v>
      </c>
      <c r="N14" s="37" t="s">
        <v>91</v>
      </c>
      <c r="O14" s="36">
        <v>1</v>
      </c>
      <c r="P14" s="36">
        <v>1</v>
      </c>
      <c r="Q14" s="37" t="s">
        <v>71</v>
      </c>
      <c r="R14" s="36" t="s">
        <v>2640</v>
      </c>
      <c r="S14" s="36" t="s">
        <v>2049</v>
      </c>
      <c r="T14" s="48" t="s">
        <v>4</v>
      </c>
      <c r="U14" s="37" t="s">
        <v>329</v>
      </c>
      <c r="V14" s="37" t="s">
        <v>74</v>
      </c>
      <c r="W14" s="37" t="s">
        <v>434</v>
      </c>
      <c r="X14" s="37" t="s">
        <v>435</v>
      </c>
      <c r="Y14" s="37" t="s">
        <v>436</v>
      </c>
      <c r="Z14" s="37" t="s">
        <v>74</v>
      </c>
      <c r="AA14" s="37"/>
      <c r="AB14" s="37"/>
      <c r="AC14" s="25"/>
      <c r="AD14" s="37" t="s">
        <v>77</v>
      </c>
      <c r="AE14" s="37" t="s">
        <v>78</v>
      </c>
      <c r="AF14" s="37" t="s">
        <v>78</v>
      </c>
      <c r="AG14" s="37" t="s">
        <v>115</v>
      </c>
      <c r="AH14" s="51"/>
      <c r="AI14" s="37" t="s">
        <v>437</v>
      </c>
      <c r="AJ14" s="37" t="s">
        <v>76</v>
      </c>
      <c r="AK14" s="37"/>
      <c r="AL14" s="146" t="s">
        <v>438</v>
      </c>
      <c r="AM14" s="36" t="s">
        <v>77</v>
      </c>
      <c r="AN14" s="37" t="s">
        <v>439</v>
      </c>
      <c r="AO14" s="56"/>
      <c r="AP14" s="111" t="s">
        <v>440</v>
      </c>
      <c r="AQ14" s="50" t="s">
        <v>441</v>
      </c>
      <c r="AR14" s="37" t="s">
        <v>85</v>
      </c>
      <c r="AS14" s="20"/>
      <c r="AT14" s="18" t="s">
        <v>114</v>
      </c>
      <c r="AU14" s="45"/>
      <c r="AV14" s="18"/>
      <c r="AW14" s="17"/>
      <c r="AX14" s="17"/>
      <c r="AY14" s="34">
        <v>7140201</v>
      </c>
      <c r="AZ14" s="33">
        <v>53</v>
      </c>
      <c r="BB14" s="17"/>
      <c r="BC14" s="50" t="s">
        <v>2070</v>
      </c>
      <c r="BD14" s="17"/>
      <c r="BM14" s="46"/>
      <c r="BN14" s="46"/>
      <c r="BO14" s="47"/>
    </row>
    <row r="15" spans="2:67" ht="24.95" customHeight="1" x14ac:dyDescent="0.25">
      <c r="B15" s="36">
        <f>SUBTOTAL(103,$M$2:M15)</f>
        <v>14</v>
      </c>
      <c r="C15" s="37" t="s">
        <v>317</v>
      </c>
      <c r="D15" s="33" t="s">
        <v>79</v>
      </c>
      <c r="E15" s="36" t="s">
        <v>3</v>
      </c>
      <c r="F15" s="37" t="s">
        <v>33</v>
      </c>
      <c r="G15" s="33" t="s">
        <v>2675</v>
      </c>
      <c r="H15" s="33" t="s">
        <v>2677</v>
      </c>
      <c r="I15" s="33" t="s">
        <v>2368</v>
      </c>
      <c r="J15" s="33" t="s">
        <v>2354</v>
      </c>
      <c r="K15" s="25" t="s">
        <v>442</v>
      </c>
      <c r="L15" s="25" t="s">
        <v>443</v>
      </c>
      <c r="M15" s="38" t="s">
        <v>2071</v>
      </c>
      <c r="N15" s="33" t="s">
        <v>91</v>
      </c>
      <c r="O15" s="36">
        <v>1</v>
      </c>
      <c r="P15" s="36">
        <v>1</v>
      </c>
      <c r="Q15" s="36" t="s">
        <v>359</v>
      </c>
      <c r="R15" s="36" t="s">
        <v>2640</v>
      </c>
      <c r="S15" s="36" t="s">
        <v>2049</v>
      </c>
      <c r="T15" s="25" t="s">
        <v>4</v>
      </c>
      <c r="U15" s="33">
        <v>2022</v>
      </c>
      <c r="V15" s="36" t="s">
        <v>74</v>
      </c>
      <c r="W15" s="33" t="s">
        <v>444</v>
      </c>
      <c r="X15" s="33" t="s">
        <v>445</v>
      </c>
      <c r="Y15" s="33" t="s">
        <v>160</v>
      </c>
      <c r="Z15" s="33" t="s">
        <v>74</v>
      </c>
      <c r="AA15" s="37"/>
      <c r="AB15" s="33"/>
      <c r="AC15" s="25"/>
      <c r="AD15" s="37" t="s">
        <v>77</v>
      </c>
      <c r="AE15" s="33" t="s">
        <v>78</v>
      </c>
      <c r="AF15" s="33" t="s">
        <v>78</v>
      </c>
      <c r="AG15" s="25">
        <v>3</v>
      </c>
      <c r="AH15" s="39"/>
      <c r="AI15" s="33" t="s">
        <v>149</v>
      </c>
      <c r="AJ15" s="33" t="s">
        <v>76</v>
      </c>
      <c r="AK15" s="25"/>
      <c r="AL15" s="78" t="s">
        <v>446</v>
      </c>
      <c r="AM15" s="33" t="s">
        <v>77</v>
      </c>
      <c r="AN15" s="37" t="s">
        <v>364</v>
      </c>
      <c r="AO15" s="56"/>
      <c r="AP15" s="111" t="s">
        <v>447</v>
      </c>
      <c r="AQ15" s="43" t="s">
        <v>448</v>
      </c>
      <c r="AR15" s="44" t="s">
        <v>85</v>
      </c>
      <c r="AS15" s="20"/>
      <c r="AT15" s="18" t="s">
        <v>347</v>
      </c>
      <c r="AU15" s="45"/>
      <c r="AV15" s="18"/>
      <c r="AW15" s="17"/>
      <c r="AX15" s="17"/>
      <c r="AY15" s="34">
        <v>7140201</v>
      </c>
      <c r="AZ15" s="33">
        <v>54</v>
      </c>
      <c r="BB15" s="17"/>
      <c r="BC15" s="43" t="s">
        <v>2071</v>
      </c>
      <c r="BD15" s="17"/>
      <c r="BM15" s="46"/>
      <c r="BN15" s="46"/>
      <c r="BO15" s="47"/>
    </row>
    <row r="16" spans="2:67" ht="24.95" customHeight="1" x14ac:dyDescent="0.25">
      <c r="B16" s="36">
        <f>SUBTOTAL(103,$M$2:M16)</f>
        <v>15</v>
      </c>
      <c r="C16" s="37" t="s">
        <v>326</v>
      </c>
      <c r="D16" s="33" t="s">
        <v>79</v>
      </c>
      <c r="E16" s="33" t="s">
        <v>3</v>
      </c>
      <c r="F16" s="33" t="s">
        <v>33</v>
      </c>
      <c r="G16" s="33" t="s">
        <v>2675</v>
      </c>
      <c r="H16" s="33" t="s">
        <v>2677</v>
      </c>
      <c r="I16" s="33" t="s">
        <v>2368</v>
      </c>
      <c r="J16" s="33" t="s">
        <v>2355</v>
      </c>
      <c r="K16" s="25" t="s">
        <v>449</v>
      </c>
      <c r="L16" s="25" t="s">
        <v>450</v>
      </c>
      <c r="M16" s="38" t="s">
        <v>2072</v>
      </c>
      <c r="N16" s="33" t="s">
        <v>91</v>
      </c>
      <c r="O16" s="36">
        <v>1</v>
      </c>
      <c r="P16" s="36">
        <v>1</v>
      </c>
      <c r="Q16" s="33" t="s">
        <v>427</v>
      </c>
      <c r="R16" s="36" t="s">
        <v>2640</v>
      </c>
      <c r="S16" s="36" t="s">
        <v>2049</v>
      </c>
      <c r="T16" s="25" t="s">
        <v>4</v>
      </c>
      <c r="U16" s="33">
        <v>2023</v>
      </c>
      <c r="V16" s="33" t="s">
        <v>157</v>
      </c>
      <c r="W16" s="33" t="s">
        <v>451</v>
      </c>
      <c r="X16" s="33"/>
      <c r="Y16" s="33" t="s">
        <v>304</v>
      </c>
      <c r="Z16" s="33" t="s">
        <v>74</v>
      </c>
      <c r="AA16" s="33"/>
      <c r="AB16" s="33"/>
      <c r="AC16" s="25"/>
      <c r="AD16" s="37" t="s">
        <v>77</v>
      </c>
      <c r="AE16" s="25" t="s">
        <v>78</v>
      </c>
      <c r="AF16" s="25" t="s">
        <v>78</v>
      </c>
      <c r="AG16" s="25"/>
      <c r="AH16" s="61"/>
      <c r="AI16" s="33" t="s">
        <v>149</v>
      </c>
      <c r="AJ16" s="33" t="s">
        <v>76</v>
      </c>
      <c r="AK16" s="25"/>
      <c r="AL16" s="78" t="s">
        <v>452</v>
      </c>
      <c r="AM16" s="36" t="s">
        <v>77</v>
      </c>
      <c r="AN16" s="40" t="s">
        <v>453</v>
      </c>
      <c r="AO16" s="62"/>
      <c r="AP16" s="33" t="s">
        <v>454</v>
      </c>
      <c r="AQ16" s="43" t="s">
        <v>455</v>
      </c>
      <c r="AR16" s="33" t="s">
        <v>85</v>
      </c>
      <c r="AS16" s="20"/>
      <c r="AT16" s="63"/>
      <c r="AU16" s="18"/>
      <c r="AV16" s="18"/>
      <c r="AX16" s="17"/>
      <c r="AY16" s="34">
        <v>7140201</v>
      </c>
      <c r="AZ16" s="33">
        <v>55</v>
      </c>
      <c r="BC16" s="43" t="s">
        <v>2072</v>
      </c>
    </row>
    <row r="17" spans="1:67" ht="24.95" customHeight="1" x14ac:dyDescent="0.25">
      <c r="B17" s="36">
        <f>SUBTOTAL(103,$M$2:M17)</f>
        <v>16</v>
      </c>
      <c r="C17" s="37" t="s">
        <v>334</v>
      </c>
      <c r="D17" s="33" t="s">
        <v>79</v>
      </c>
      <c r="E17" s="36" t="s">
        <v>3</v>
      </c>
      <c r="F17" s="36" t="s">
        <v>33</v>
      </c>
      <c r="G17" s="33" t="s">
        <v>2675</v>
      </c>
      <c r="H17" s="33" t="s">
        <v>2677</v>
      </c>
      <c r="I17" s="33" t="s">
        <v>2368</v>
      </c>
      <c r="J17" s="33" t="s">
        <v>2356</v>
      </c>
      <c r="K17" s="25" t="s">
        <v>456</v>
      </c>
      <c r="L17" s="25" t="s">
        <v>290</v>
      </c>
      <c r="M17" s="54" t="s">
        <v>2073</v>
      </c>
      <c r="N17" s="36" t="s">
        <v>91</v>
      </c>
      <c r="O17" s="36">
        <v>1</v>
      </c>
      <c r="P17" s="36"/>
      <c r="Q17" s="37" t="s">
        <v>71</v>
      </c>
      <c r="R17" s="36" t="s">
        <v>2640</v>
      </c>
      <c r="S17" s="36" t="s">
        <v>2049</v>
      </c>
      <c r="T17" s="55" t="s">
        <v>4</v>
      </c>
      <c r="U17" s="33">
        <v>2021</v>
      </c>
      <c r="V17" s="36" t="s">
        <v>74</v>
      </c>
      <c r="W17" s="36"/>
      <c r="X17" s="36"/>
      <c r="Y17" s="33" t="s">
        <v>203</v>
      </c>
      <c r="Z17" s="37" t="s">
        <v>74</v>
      </c>
      <c r="AA17" s="37"/>
      <c r="AB17" s="33"/>
      <c r="AC17" s="25"/>
      <c r="AD17" s="37" t="s">
        <v>77</v>
      </c>
      <c r="AE17" s="37" t="s">
        <v>78</v>
      </c>
      <c r="AF17" s="37" t="s">
        <v>78</v>
      </c>
      <c r="AG17" s="25">
        <v>3</v>
      </c>
      <c r="AH17" s="39"/>
      <c r="AI17" s="33" t="s">
        <v>149</v>
      </c>
      <c r="AJ17" s="37"/>
      <c r="AK17" s="25"/>
      <c r="AL17" s="78" t="s">
        <v>457</v>
      </c>
      <c r="AM17" s="36" t="s">
        <v>77</v>
      </c>
      <c r="AN17" s="41" t="s">
        <v>401</v>
      </c>
      <c r="AO17" s="41"/>
      <c r="AP17" s="37" t="s">
        <v>458</v>
      </c>
      <c r="AQ17" s="43" t="s">
        <v>459</v>
      </c>
      <c r="AR17" s="44" t="s">
        <v>85</v>
      </c>
      <c r="AS17" s="20" t="s">
        <v>460</v>
      </c>
      <c r="AT17" s="18" t="s">
        <v>101</v>
      </c>
      <c r="AU17" s="45"/>
      <c r="AV17" s="18"/>
      <c r="AW17" s="17"/>
      <c r="AX17" s="17"/>
      <c r="AY17" s="34">
        <v>7140201</v>
      </c>
      <c r="AZ17" s="33">
        <v>56</v>
      </c>
      <c r="BB17" s="17"/>
      <c r="BC17" s="57" t="s">
        <v>2073</v>
      </c>
      <c r="BD17" s="17"/>
      <c r="BM17" s="46"/>
      <c r="BN17" s="46"/>
      <c r="BO17" s="47"/>
    </row>
    <row r="18" spans="1:67" ht="24.95" customHeight="1" x14ac:dyDescent="0.25">
      <c r="B18" s="36">
        <f>SUBTOTAL(103,$M$2:M18)</f>
        <v>17</v>
      </c>
      <c r="C18" s="37" t="s">
        <v>461</v>
      </c>
      <c r="D18" s="33" t="s">
        <v>79</v>
      </c>
      <c r="E18" s="33" t="s">
        <v>3</v>
      </c>
      <c r="F18" s="37" t="s">
        <v>33</v>
      </c>
      <c r="G18" s="33" t="s">
        <v>2675</v>
      </c>
      <c r="H18" s="33" t="s">
        <v>2677</v>
      </c>
      <c r="I18" s="33" t="s">
        <v>2368</v>
      </c>
      <c r="J18" s="33" t="s">
        <v>2357</v>
      </c>
      <c r="K18" s="25" t="s">
        <v>462</v>
      </c>
      <c r="L18" s="25" t="s">
        <v>290</v>
      </c>
      <c r="M18" s="54" t="s">
        <v>2074</v>
      </c>
      <c r="N18" s="36" t="s">
        <v>91</v>
      </c>
      <c r="O18" s="36">
        <v>1</v>
      </c>
      <c r="P18" s="36">
        <v>1</v>
      </c>
      <c r="Q18" s="36" t="s">
        <v>71</v>
      </c>
      <c r="R18" s="36" t="s">
        <v>2640</v>
      </c>
      <c r="S18" s="36" t="s">
        <v>2049</v>
      </c>
      <c r="T18" s="48" t="s">
        <v>463</v>
      </c>
      <c r="U18" s="37" t="s">
        <v>464</v>
      </c>
      <c r="V18" s="33" t="s">
        <v>74</v>
      </c>
      <c r="W18" s="60" t="s">
        <v>465</v>
      </c>
      <c r="X18" s="60"/>
      <c r="Y18" s="36" t="s">
        <v>466</v>
      </c>
      <c r="Z18" s="33" t="s">
        <v>74</v>
      </c>
      <c r="AA18" s="36"/>
      <c r="AB18" s="36"/>
      <c r="AC18" s="25"/>
      <c r="AD18" s="37" t="s">
        <v>77</v>
      </c>
      <c r="AE18" s="25" t="s">
        <v>78</v>
      </c>
      <c r="AF18" s="37" t="s">
        <v>78</v>
      </c>
      <c r="AG18" s="36">
        <v>3</v>
      </c>
      <c r="AH18" s="39"/>
      <c r="AI18" s="37" t="s">
        <v>149</v>
      </c>
      <c r="AJ18" s="36" t="s">
        <v>76</v>
      </c>
      <c r="AK18" s="33"/>
      <c r="AL18" s="147" t="s">
        <v>467</v>
      </c>
      <c r="AM18" s="36" t="s">
        <v>77</v>
      </c>
      <c r="AN18" s="33" t="s">
        <v>468</v>
      </c>
      <c r="AO18" s="25"/>
      <c r="AP18" s="36" t="s">
        <v>469</v>
      </c>
      <c r="AQ18" s="57" t="s">
        <v>470</v>
      </c>
      <c r="AR18" s="37" t="s">
        <v>85</v>
      </c>
      <c r="AS18" s="20" t="s">
        <v>471</v>
      </c>
      <c r="AT18" s="18" t="s">
        <v>472</v>
      </c>
      <c r="AU18" s="45"/>
      <c r="AV18" s="18"/>
      <c r="AW18" s="17"/>
      <c r="AX18" s="17"/>
      <c r="AY18" s="34">
        <v>7140201</v>
      </c>
      <c r="AZ18" s="33">
        <v>57</v>
      </c>
      <c r="BB18" s="17"/>
      <c r="BC18" s="57" t="s">
        <v>2074</v>
      </c>
      <c r="BD18" s="17"/>
      <c r="BM18" s="46"/>
      <c r="BN18" s="46"/>
      <c r="BO18" s="47"/>
    </row>
    <row r="19" spans="1:67" ht="24.95" customHeight="1" x14ac:dyDescent="0.25">
      <c r="B19" s="36">
        <f>SUBTOTAL(103,$M$2:M19)</f>
        <v>18</v>
      </c>
      <c r="C19" s="37" t="s">
        <v>473</v>
      </c>
      <c r="D19" s="33" t="s">
        <v>79</v>
      </c>
      <c r="E19" s="33" t="s">
        <v>3</v>
      </c>
      <c r="F19" s="33" t="s">
        <v>33</v>
      </c>
      <c r="G19" s="33" t="s">
        <v>2675</v>
      </c>
      <c r="H19" s="33" t="s">
        <v>2677</v>
      </c>
      <c r="I19" s="33" t="s">
        <v>2368</v>
      </c>
      <c r="J19" s="33" t="s">
        <v>2358</v>
      </c>
      <c r="K19" s="25" t="s">
        <v>390</v>
      </c>
      <c r="L19" s="25" t="s">
        <v>474</v>
      </c>
      <c r="M19" s="38" t="s">
        <v>2075</v>
      </c>
      <c r="N19" s="33" t="s">
        <v>91</v>
      </c>
      <c r="O19" s="36">
        <v>1</v>
      </c>
      <c r="P19" s="36">
        <v>1</v>
      </c>
      <c r="Q19" s="33" t="s">
        <v>71</v>
      </c>
      <c r="R19" s="36" t="s">
        <v>2640</v>
      </c>
      <c r="S19" s="36" t="s">
        <v>2049</v>
      </c>
      <c r="T19" s="25" t="s">
        <v>4</v>
      </c>
      <c r="U19" s="33">
        <v>2025</v>
      </c>
      <c r="V19" s="36" t="s">
        <v>157</v>
      </c>
      <c r="W19" s="33" t="s">
        <v>475</v>
      </c>
      <c r="X19" s="33" t="s">
        <v>476</v>
      </c>
      <c r="Y19" s="33" t="s">
        <v>371</v>
      </c>
      <c r="Z19" s="33" t="s">
        <v>74</v>
      </c>
      <c r="AA19" s="37"/>
      <c r="AB19" s="33"/>
      <c r="AC19" s="25"/>
      <c r="AD19" s="37" t="s">
        <v>77</v>
      </c>
      <c r="AE19" s="25" t="s">
        <v>78</v>
      </c>
      <c r="AF19" s="33" t="s">
        <v>78</v>
      </c>
      <c r="AG19" s="33"/>
      <c r="AH19" s="39"/>
      <c r="AI19" s="37" t="s">
        <v>362</v>
      </c>
      <c r="AJ19" s="33" t="s">
        <v>76</v>
      </c>
      <c r="AK19" s="25" t="s">
        <v>477</v>
      </c>
      <c r="AL19" s="78" t="s">
        <v>478</v>
      </c>
      <c r="AM19" s="36" t="s">
        <v>77</v>
      </c>
      <c r="AN19" s="40" t="s">
        <v>332</v>
      </c>
      <c r="AO19" s="62"/>
      <c r="AP19" s="33" t="s">
        <v>479</v>
      </c>
      <c r="AQ19" s="43" t="s">
        <v>480</v>
      </c>
      <c r="AR19" s="33" t="s">
        <v>85</v>
      </c>
      <c r="AS19" s="20"/>
      <c r="AT19" s="18" t="s">
        <v>367</v>
      </c>
      <c r="AU19" s="45"/>
      <c r="AV19" s="18"/>
      <c r="AW19" s="17"/>
      <c r="AX19" s="17"/>
      <c r="AY19" s="34">
        <v>7140201</v>
      </c>
      <c r="AZ19" s="33">
        <v>58</v>
      </c>
      <c r="BB19" s="17"/>
      <c r="BC19" s="43" t="s">
        <v>2075</v>
      </c>
      <c r="BD19" s="17"/>
      <c r="BM19" s="46"/>
      <c r="BN19" s="46"/>
      <c r="BO19" s="47"/>
    </row>
    <row r="20" spans="1:67" ht="24.95" customHeight="1" x14ac:dyDescent="0.25">
      <c r="A20" s="18" t="s">
        <v>2899</v>
      </c>
      <c r="B20" s="36">
        <f>SUBTOTAL(103,$M$2:M20)</f>
        <v>19</v>
      </c>
      <c r="C20" s="37" t="s">
        <v>536</v>
      </c>
      <c r="D20" s="33" t="s">
        <v>79</v>
      </c>
      <c r="E20" s="33" t="s">
        <v>3</v>
      </c>
      <c r="F20" s="33" t="s">
        <v>33</v>
      </c>
      <c r="G20" s="33" t="s">
        <v>2675</v>
      </c>
      <c r="H20" s="33" t="s">
        <v>2677</v>
      </c>
      <c r="I20" s="33" t="s">
        <v>2368</v>
      </c>
      <c r="J20" s="37" t="s">
        <v>2865</v>
      </c>
      <c r="K20" s="25" t="s">
        <v>89</v>
      </c>
      <c r="L20" s="25" t="s">
        <v>537</v>
      </c>
      <c r="M20" s="38" t="s">
        <v>2084</v>
      </c>
      <c r="N20" s="33" t="s">
        <v>91</v>
      </c>
      <c r="O20" s="36">
        <v>1</v>
      </c>
      <c r="P20" s="36"/>
      <c r="Q20" s="36" t="s">
        <v>71</v>
      </c>
      <c r="R20" s="36" t="s">
        <v>2640</v>
      </c>
      <c r="S20" s="36" t="s">
        <v>2049</v>
      </c>
      <c r="T20" s="25" t="s">
        <v>493</v>
      </c>
      <c r="U20" s="33">
        <v>2015</v>
      </c>
      <c r="V20" s="33" t="s">
        <v>74</v>
      </c>
      <c r="W20" s="33" t="s">
        <v>160</v>
      </c>
      <c r="X20" s="33"/>
      <c r="Y20" s="33" t="s">
        <v>538</v>
      </c>
      <c r="Z20" s="33" t="s">
        <v>169</v>
      </c>
      <c r="AA20" s="37"/>
      <c r="AB20" s="33"/>
      <c r="AC20" s="25"/>
      <c r="AD20" s="37" t="s">
        <v>77</v>
      </c>
      <c r="AE20" s="25" t="s">
        <v>78</v>
      </c>
      <c r="AF20" s="33" t="s">
        <v>78</v>
      </c>
      <c r="AG20" s="33"/>
      <c r="AH20" s="39"/>
      <c r="AI20" s="33" t="s">
        <v>539</v>
      </c>
      <c r="AJ20" s="33" t="s">
        <v>76</v>
      </c>
      <c r="AK20" s="25"/>
      <c r="AL20" s="78" t="s">
        <v>540</v>
      </c>
      <c r="AM20" s="36" t="s">
        <v>77</v>
      </c>
      <c r="AN20" s="41" t="s">
        <v>413</v>
      </c>
      <c r="AO20" s="56"/>
      <c r="AP20" s="56" t="s">
        <v>541</v>
      </c>
      <c r="AQ20" s="43" t="s">
        <v>542</v>
      </c>
      <c r="AR20" s="33" t="s">
        <v>85</v>
      </c>
      <c r="AS20" s="20"/>
      <c r="AT20" s="18" t="s">
        <v>254</v>
      </c>
      <c r="AU20" s="45"/>
      <c r="AV20" s="18"/>
      <c r="AW20" s="17"/>
      <c r="AX20" s="17"/>
      <c r="AY20" s="34">
        <v>7140201</v>
      </c>
      <c r="AZ20" s="33">
        <v>67</v>
      </c>
      <c r="BB20" s="17"/>
      <c r="BC20" s="43" t="s">
        <v>2084</v>
      </c>
      <c r="BD20" s="17"/>
      <c r="BM20" s="46"/>
      <c r="BN20" s="46"/>
      <c r="BO20" s="47"/>
    </row>
    <row r="21" spans="1:67" ht="24.95" customHeight="1" x14ac:dyDescent="0.25">
      <c r="A21" s="18" t="s">
        <v>2899</v>
      </c>
      <c r="B21" s="36">
        <f>SUBTOTAL(103,$M$2:M21)</f>
        <v>20</v>
      </c>
      <c r="C21" s="37" t="s">
        <v>551</v>
      </c>
      <c r="D21" s="33" t="s">
        <v>79</v>
      </c>
      <c r="E21" s="36" t="s">
        <v>3</v>
      </c>
      <c r="F21" s="33" t="s">
        <v>33</v>
      </c>
      <c r="G21" s="33" t="s">
        <v>2675</v>
      </c>
      <c r="H21" s="33" t="s">
        <v>2900</v>
      </c>
      <c r="I21" s="33" t="s">
        <v>2368</v>
      </c>
      <c r="J21" s="37" t="s">
        <v>2901</v>
      </c>
      <c r="K21" s="25" t="s">
        <v>552</v>
      </c>
      <c r="L21" s="25" t="s">
        <v>290</v>
      </c>
      <c r="M21" s="38" t="s">
        <v>2086</v>
      </c>
      <c r="N21" s="33" t="s">
        <v>91</v>
      </c>
      <c r="O21" s="36">
        <v>1</v>
      </c>
      <c r="P21" s="36"/>
      <c r="Q21" s="36" t="s">
        <v>427</v>
      </c>
      <c r="R21" s="36" t="s">
        <v>2640</v>
      </c>
      <c r="S21" s="36" t="s">
        <v>2049</v>
      </c>
      <c r="T21" s="25" t="s">
        <v>493</v>
      </c>
      <c r="U21" s="33">
        <v>2015</v>
      </c>
      <c r="V21" s="36" t="s">
        <v>74</v>
      </c>
      <c r="W21" s="33" t="s">
        <v>107</v>
      </c>
      <c r="X21" s="33"/>
      <c r="Y21" s="33" t="s">
        <v>436</v>
      </c>
      <c r="Z21" s="33" t="s">
        <v>74</v>
      </c>
      <c r="AA21" s="37"/>
      <c r="AB21" s="33"/>
      <c r="AC21" s="25"/>
      <c r="AD21" s="37" t="s">
        <v>77</v>
      </c>
      <c r="AE21" s="25" t="s">
        <v>78</v>
      </c>
      <c r="AF21" s="25" t="s">
        <v>78</v>
      </c>
      <c r="AG21" s="25"/>
      <c r="AH21" s="39"/>
      <c r="AI21" s="33" t="s">
        <v>494</v>
      </c>
      <c r="AJ21" s="33" t="s">
        <v>76</v>
      </c>
      <c r="AK21" s="25"/>
      <c r="AL21" s="78" t="s">
        <v>553</v>
      </c>
      <c r="AM21" s="36" t="s">
        <v>77</v>
      </c>
      <c r="AN21" s="41" t="s">
        <v>401</v>
      </c>
      <c r="AO21" s="56"/>
      <c r="AP21" s="56" t="s">
        <v>554</v>
      </c>
      <c r="AQ21" s="43" t="s">
        <v>555</v>
      </c>
      <c r="AR21" s="37" t="s">
        <v>85</v>
      </c>
      <c r="AS21" s="70"/>
      <c r="AT21" s="18" t="s">
        <v>433</v>
      </c>
      <c r="AU21" s="45"/>
      <c r="AV21" s="18"/>
      <c r="AW21" s="17"/>
      <c r="AX21" s="17"/>
      <c r="AY21" s="34">
        <v>7140201</v>
      </c>
      <c r="AZ21" s="33">
        <v>69</v>
      </c>
      <c r="BB21" s="17"/>
      <c r="BC21" s="43" t="s">
        <v>2086</v>
      </c>
      <c r="BD21" s="17"/>
      <c r="BM21" s="46"/>
      <c r="BN21" s="46"/>
      <c r="BO21" s="47"/>
    </row>
    <row r="22" spans="1:67" ht="24.95" customHeight="1" x14ac:dyDescent="0.25">
      <c r="A22" s="18" t="s">
        <v>2862</v>
      </c>
      <c r="B22" s="36">
        <f>SUBTOTAL(103,$M$2:M22)</f>
        <v>21</v>
      </c>
      <c r="C22" s="33">
        <v>1</v>
      </c>
      <c r="D22" s="33" t="s">
        <v>79</v>
      </c>
      <c r="E22" s="33" t="s">
        <v>3</v>
      </c>
      <c r="F22" s="34" t="s">
        <v>33</v>
      </c>
      <c r="G22" s="33" t="s">
        <v>2675</v>
      </c>
      <c r="H22" s="33" t="s">
        <v>2677</v>
      </c>
      <c r="I22" s="33" t="s">
        <v>2368</v>
      </c>
      <c r="J22" s="33" t="s">
        <v>2864</v>
      </c>
      <c r="K22" s="25" t="s">
        <v>449</v>
      </c>
      <c r="L22" s="25" t="s">
        <v>450</v>
      </c>
      <c r="M22" s="38" t="s">
        <v>2072</v>
      </c>
      <c r="N22" s="33" t="s">
        <v>91</v>
      </c>
      <c r="O22" s="135">
        <v>1</v>
      </c>
      <c r="P22" s="135"/>
      <c r="Q22" s="33" t="s">
        <v>427</v>
      </c>
      <c r="R22" s="36" t="s">
        <v>2640</v>
      </c>
      <c r="S22" s="36" t="s">
        <v>2049</v>
      </c>
      <c r="T22" s="125" t="s">
        <v>4</v>
      </c>
      <c r="U22" s="33">
        <v>2023</v>
      </c>
      <c r="V22" s="33" t="s">
        <v>157</v>
      </c>
      <c r="W22" s="33" t="s">
        <v>451</v>
      </c>
      <c r="X22" s="33"/>
      <c r="Y22" s="33" t="s">
        <v>304</v>
      </c>
      <c r="Z22" s="33" t="s">
        <v>74</v>
      </c>
      <c r="AA22" s="25"/>
      <c r="AB22" s="33"/>
      <c r="AC22" s="33" t="s">
        <v>3</v>
      </c>
      <c r="AD22" s="37" t="s">
        <v>77</v>
      </c>
      <c r="AE22" s="25" t="s">
        <v>78</v>
      </c>
      <c r="AF22" s="25" t="s">
        <v>78</v>
      </c>
      <c r="AG22" s="103"/>
      <c r="AH22" s="25"/>
      <c r="AI22" s="33" t="s">
        <v>149</v>
      </c>
      <c r="AJ22" s="33" t="s">
        <v>76</v>
      </c>
      <c r="AK22" s="25"/>
      <c r="AL22" s="43" t="s">
        <v>452</v>
      </c>
      <c r="AM22" s="36" t="s">
        <v>77</v>
      </c>
      <c r="AN22" s="33" t="s">
        <v>453</v>
      </c>
      <c r="AP22" s="33" t="s">
        <v>454</v>
      </c>
      <c r="AQ22" s="43" t="s">
        <v>455</v>
      </c>
      <c r="AR22" s="25"/>
      <c r="AS22" s="25"/>
      <c r="AT22" s="25"/>
      <c r="AU22" s="18"/>
      <c r="AV22" s="84" t="s">
        <v>4</v>
      </c>
      <c r="AW22" s="17"/>
      <c r="BC22" s="18"/>
      <c r="BN22" s="18"/>
      <c r="BO22" s="18"/>
    </row>
    <row r="23" spans="1:67" ht="24.95" customHeight="1" x14ac:dyDescent="0.25">
      <c r="B23" s="36">
        <f>SUBTOTAL(103,$M$2:M23)</f>
        <v>22</v>
      </c>
      <c r="C23" s="37" t="s">
        <v>481</v>
      </c>
      <c r="D23" s="33" t="s">
        <v>79</v>
      </c>
      <c r="E23" s="33" t="s">
        <v>3</v>
      </c>
      <c r="F23" s="33" t="s">
        <v>34</v>
      </c>
      <c r="G23" s="33" t="s">
        <v>2675</v>
      </c>
      <c r="H23" s="33" t="s">
        <v>2677</v>
      </c>
      <c r="I23" s="33" t="s">
        <v>2368</v>
      </c>
      <c r="J23" s="33" t="s">
        <v>2359</v>
      </c>
      <c r="K23" s="25" t="s">
        <v>482</v>
      </c>
      <c r="L23" s="25" t="s">
        <v>483</v>
      </c>
      <c r="M23" s="38" t="s">
        <v>2076</v>
      </c>
      <c r="N23" s="33" t="s">
        <v>91</v>
      </c>
      <c r="O23" s="36">
        <v>1</v>
      </c>
      <c r="P23" s="36"/>
      <c r="Q23" s="33" t="s">
        <v>71</v>
      </c>
      <c r="R23" s="36" t="s">
        <v>2640</v>
      </c>
      <c r="S23" s="36" t="s">
        <v>2049</v>
      </c>
      <c r="T23" s="25" t="s">
        <v>484</v>
      </c>
      <c r="U23" s="33">
        <v>2011</v>
      </c>
      <c r="V23" s="33" t="s">
        <v>74</v>
      </c>
      <c r="W23" s="33" t="s">
        <v>485</v>
      </c>
      <c r="X23" s="33"/>
      <c r="Y23" s="33" t="s">
        <v>352</v>
      </c>
      <c r="Z23" s="33" t="s">
        <v>74</v>
      </c>
      <c r="AA23" s="33"/>
      <c r="AB23" s="33"/>
      <c r="AC23" s="25"/>
      <c r="AD23" s="37" t="s">
        <v>77</v>
      </c>
      <c r="AE23" s="25" t="s">
        <v>78</v>
      </c>
      <c r="AF23" s="25" t="s">
        <v>78</v>
      </c>
      <c r="AG23" s="25">
        <v>3</v>
      </c>
      <c r="AH23" s="61"/>
      <c r="AI23" s="33" t="s">
        <v>486</v>
      </c>
      <c r="AJ23" s="33" t="s">
        <v>76</v>
      </c>
      <c r="AK23" s="25"/>
      <c r="AL23" s="113" t="s">
        <v>487</v>
      </c>
      <c r="AM23" s="65" t="s">
        <v>77</v>
      </c>
      <c r="AN23" s="66" t="s">
        <v>488</v>
      </c>
      <c r="AO23" s="67"/>
      <c r="AP23" s="66" t="s">
        <v>489</v>
      </c>
      <c r="AQ23" s="69" t="s">
        <v>187</v>
      </c>
      <c r="AR23" s="66" t="s">
        <v>85</v>
      </c>
      <c r="AS23" s="20"/>
      <c r="AT23" s="18" t="s">
        <v>188</v>
      </c>
      <c r="AU23" s="45"/>
      <c r="AV23" s="18"/>
      <c r="AW23" s="17"/>
      <c r="AX23" s="17"/>
      <c r="AY23" s="34">
        <v>7140201</v>
      </c>
      <c r="AZ23" s="33">
        <v>59</v>
      </c>
      <c r="BB23" s="17"/>
      <c r="BC23" s="43" t="s">
        <v>2076</v>
      </c>
      <c r="BD23" s="17"/>
      <c r="BM23" s="46"/>
      <c r="BN23" s="46"/>
      <c r="BO23" s="47"/>
    </row>
    <row r="24" spans="1:67" ht="24.95" customHeight="1" x14ac:dyDescent="0.25">
      <c r="B24" s="36">
        <f>SUBTOTAL(103,$M$2:M24)</f>
        <v>23</v>
      </c>
      <c r="C24" s="37" t="s">
        <v>490</v>
      </c>
      <c r="D24" s="33" t="s">
        <v>79</v>
      </c>
      <c r="E24" s="33" t="s">
        <v>3</v>
      </c>
      <c r="F24" s="37" t="s">
        <v>32</v>
      </c>
      <c r="G24" s="33" t="s">
        <v>2675</v>
      </c>
      <c r="H24" s="33" t="s">
        <v>2677</v>
      </c>
      <c r="I24" s="33" t="s">
        <v>2368</v>
      </c>
      <c r="J24" s="37" t="s">
        <v>2360</v>
      </c>
      <c r="K24" s="25" t="s">
        <v>390</v>
      </c>
      <c r="L24" s="25" t="s">
        <v>491</v>
      </c>
      <c r="M24" s="38" t="s">
        <v>2077</v>
      </c>
      <c r="N24" s="36" t="s">
        <v>91</v>
      </c>
      <c r="O24" s="36">
        <v>1</v>
      </c>
      <c r="P24" s="36">
        <v>1</v>
      </c>
      <c r="Q24" s="36" t="s">
        <v>492</v>
      </c>
      <c r="R24" s="36" t="s">
        <v>2640</v>
      </c>
      <c r="S24" s="36" t="s">
        <v>2049</v>
      </c>
      <c r="T24" s="48" t="s">
        <v>493</v>
      </c>
      <c r="U24" s="33">
        <v>2017</v>
      </c>
      <c r="V24" s="33" t="s">
        <v>74</v>
      </c>
      <c r="W24" s="33"/>
      <c r="X24" s="33"/>
      <c r="Y24" s="33"/>
      <c r="Z24" s="33"/>
      <c r="AA24" s="37"/>
      <c r="AB24" s="33"/>
      <c r="AC24" s="25"/>
      <c r="AD24" s="37" t="s">
        <v>77</v>
      </c>
      <c r="AE24" s="25" t="s">
        <v>78</v>
      </c>
      <c r="AF24" s="36"/>
      <c r="AG24" s="36"/>
      <c r="AH24" s="61"/>
      <c r="AI24" s="33" t="s">
        <v>494</v>
      </c>
      <c r="AJ24" s="36"/>
      <c r="AK24" s="25"/>
      <c r="AL24" s="78" t="s">
        <v>495</v>
      </c>
      <c r="AM24" s="36" t="s">
        <v>77</v>
      </c>
      <c r="AN24" s="40" t="s">
        <v>110</v>
      </c>
      <c r="AO24" s="62"/>
      <c r="AP24" s="33" t="s">
        <v>496</v>
      </c>
      <c r="AQ24" s="43" t="s">
        <v>497</v>
      </c>
      <c r="AR24" s="44" t="s">
        <v>85</v>
      </c>
      <c r="AS24" s="20" t="s">
        <v>498</v>
      </c>
      <c r="AT24" s="18" t="s">
        <v>472</v>
      </c>
      <c r="AU24" s="45"/>
      <c r="AV24" s="18"/>
      <c r="AW24" s="17"/>
      <c r="AX24" s="17"/>
      <c r="AY24" s="34">
        <v>7140201</v>
      </c>
      <c r="AZ24" s="33">
        <v>60</v>
      </c>
      <c r="BB24" s="17"/>
      <c r="BC24" s="43" t="s">
        <v>2077</v>
      </c>
      <c r="BD24" s="17"/>
      <c r="BM24" s="46"/>
      <c r="BN24" s="46"/>
      <c r="BO24" s="47"/>
    </row>
    <row r="25" spans="1:67" ht="24.95" customHeight="1" x14ac:dyDescent="0.25">
      <c r="B25" s="36">
        <f>SUBTOTAL(103,$M$2:M25)</f>
        <v>24</v>
      </c>
      <c r="C25" s="37" t="s">
        <v>499</v>
      </c>
      <c r="D25" s="33" t="s">
        <v>79</v>
      </c>
      <c r="E25" s="33" t="s">
        <v>3</v>
      </c>
      <c r="F25" s="33" t="s">
        <v>32</v>
      </c>
      <c r="G25" s="33" t="s">
        <v>2675</v>
      </c>
      <c r="H25" s="33" t="s">
        <v>2677</v>
      </c>
      <c r="I25" s="33" t="s">
        <v>2368</v>
      </c>
      <c r="J25" s="37" t="s">
        <v>2361</v>
      </c>
      <c r="K25" s="25" t="s">
        <v>390</v>
      </c>
      <c r="L25" s="25" t="s">
        <v>500</v>
      </c>
      <c r="M25" s="38" t="s">
        <v>2078</v>
      </c>
      <c r="N25" s="33" t="s">
        <v>91</v>
      </c>
      <c r="O25" s="36">
        <v>1</v>
      </c>
      <c r="P25" s="36"/>
      <c r="Q25" s="33" t="s">
        <v>71</v>
      </c>
      <c r="R25" s="36" t="s">
        <v>2640</v>
      </c>
      <c r="S25" s="36" t="s">
        <v>2049</v>
      </c>
      <c r="T25" s="25" t="s">
        <v>493</v>
      </c>
      <c r="U25" s="33">
        <v>2017</v>
      </c>
      <c r="V25" s="33" t="s">
        <v>257</v>
      </c>
      <c r="W25" s="33" t="s">
        <v>501</v>
      </c>
      <c r="X25" s="33"/>
      <c r="Y25" s="33" t="s">
        <v>330</v>
      </c>
      <c r="Z25" s="33" t="s">
        <v>74</v>
      </c>
      <c r="AA25" s="33"/>
      <c r="AB25" s="33"/>
      <c r="AC25" s="25"/>
      <c r="AD25" s="37" t="s">
        <v>77</v>
      </c>
      <c r="AE25" s="25" t="s">
        <v>78</v>
      </c>
      <c r="AF25" s="25" t="s">
        <v>78</v>
      </c>
      <c r="AG25" s="25"/>
      <c r="AH25" s="61"/>
      <c r="AI25" s="33" t="s">
        <v>385</v>
      </c>
      <c r="AJ25" s="33" t="s">
        <v>76</v>
      </c>
      <c r="AK25" s="25"/>
      <c r="AL25" s="78" t="s">
        <v>502</v>
      </c>
      <c r="AM25" s="36" t="s">
        <v>77</v>
      </c>
      <c r="AN25" s="40" t="s">
        <v>354</v>
      </c>
      <c r="AO25" s="52"/>
      <c r="AP25" s="111" t="s">
        <v>503</v>
      </c>
      <c r="AQ25" s="43" t="s">
        <v>504</v>
      </c>
      <c r="AR25" s="33" t="s">
        <v>85</v>
      </c>
      <c r="AS25" s="20" t="s">
        <v>375</v>
      </c>
      <c r="AT25" s="63" t="s">
        <v>505</v>
      </c>
      <c r="AU25" s="18"/>
      <c r="AV25" s="18"/>
      <c r="AX25" s="17"/>
      <c r="AY25" s="34">
        <v>7140201</v>
      </c>
      <c r="AZ25" s="33">
        <v>61</v>
      </c>
      <c r="BC25" s="43" t="s">
        <v>2078</v>
      </c>
    </row>
    <row r="26" spans="1:67" ht="24.95" customHeight="1" x14ac:dyDescent="0.25">
      <c r="B26" s="36">
        <f>SUBTOTAL(103,$M$2:M26)</f>
        <v>25</v>
      </c>
      <c r="C26" s="37" t="s">
        <v>506</v>
      </c>
      <c r="D26" s="33" t="s">
        <v>79</v>
      </c>
      <c r="E26" s="36" t="s">
        <v>3</v>
      </c>
      <c r="F26" s="33" t="s">
        <v>32</v>
      </c>
      <c r="G26" s="33" t="s">
        <v>2675</v>
      </c>
      <c r="H26" s="33" t="s">
        <v>2677</v>
      </c>
      <c r="I26" s="33" t="s">
        <v>2368</v>
      </c>
      <c r="J26" s="37" t="s">
        <v>2362</v>
      </c>
      <c r="K26" s="25" t="s">
        <v>390</v>
      </c>
      <c r="L26" s="25" t="s">
        <v>507</v>
      </c>
      <c r="M26" s="38" t="s">
        <v>2079</v>
      </c>
      <c r="N26" s="33" t="s">
        <v>91</v>
      </c>
      <c r="O26" s="36">
        <v>1</v>
      </c>
      <c r="P26" s="36"/>
      <c r="Q26" s="36" t="s">
        <v>71</v>
      </c>
      <c r="R26" s="36" t="s">
        <v>2640</v>
      </c>
      <c r="S26" s="36" t="s">
        <v>2049</v>
      </c>
      <c r="T26" s="25" t="s">
        <v>493</v>
      </c>
      <c r="U26" s="33">
        <v>2016</v>
      </c>
      <c r="V26" s="36" t="s">
        <v>74</v>
      </c>
      <c r="W26" s="33" t="s">
        <v>501</v>
      </c>
      <c r="X26" s="33"/>
      <c r="Y26" s="33" t="s">
        <v>107</v>
      </c>
      <c r="Z26" s="33" t="s">
        <v>74</v>
      </c>
      <c r="AA26" s="37"/>
      <c r="AB26" s="33"/>
      <c r="AC26" s="25"/>
      <c r="AD26" s="37" t="s">
        <v>77</v>
      </c>
      <c r="AE26" s="25" t="s">
        <v>78</v>
      </c>
      <c r="AF26" s="25" t="s">
        <v>78</v>
      </c>
      <c r="AG26" s="25">
        <v>6</v>
      </c>
      <c r="AH26" s="39"/>
      <c r="AI26" s="33" t="s">
        <v>508</v>
      </c>
      <c r="AJ26" s="33" t="s">
        <v>3</v>
      </c>
      <c r="AK26" s="25"/>
      <c r="AL26" s="78" t="s">
        <v>509</v>
      </c>
      <c r="AM26" s="36" t="s">
        <v>77</v>
      </c>
      <c r="AN26" s="41" t="s">
        <v>401</v>
      </c>
      <c r="AO26" s="41"/>
      <c r="AP26" s="37" t="s">
        <v>510</v>
      </c>
      <c r="AQ26" s="43" t="s">
        <v>511</v>
      </c>
      <c r="AR26" s="37" t="s">
        <v>85</v>
      </c>
      <c r="AS26" s="20"/>
      <c r="AT26" s="18" t="s">
        <v>433</v>
      </c>
      <c r="AU26" s="45"/>
      <c r="AV26" s="18"/>
      <c r="AW26" s="17"/>
      <c r="AX26" s="17"/>
      <c r="AY26" s="34">
        <v>7140201</v>
      </c>
      <c r="AZ26" s="33">
        <v>62</v>
      </c>
      <c r="BB26" s="17"/>
      <c r="BC26" s="43" t="s">
        <v>2079</v>
      </c>
      <c r="BD26" s="17"/>
      <c r="BM26" s="46"/>
      <c r="BN26" s="46"/>
      <c r="BO26" s="47"/>
    </row>
    <row r="27" spans="1:67" ht="24.95" customHeight="1" x14ac:dyDescent="0.25">
      <c r="B27" s="36">
        <f>SUBTOTAL(103,$M$2:M27)</f>
        <v>26</v>
      </c>
      <c r="C27" s="37" t="s">
        <v>512</v>
      </c>
      <c r="D27" s="33" t="s">
        <v>79</v>
      </c>
      <c r="E27" s="33" t="s">
        <v>3</v>
      </c>
      <c r="F27" s="33" t="s">
        <v>32</v>
      </c>
      <c r="G27" s="33" t="s">
        <v>2675</v>
      </c>
      <c r="H27" s="33" t="s">
        <v>2677</v>
      </c>
      <c r="I27" s="33" t="s">
        <v>2368</v>
      </c>
      <c r="J27" s="37" t="s">
        <v>2363</v>
      </c>
      <c r="K27" s="25" t="s">
        <v>513</v>
      </c>
      <c r="L27" s="25" t="s">
        <v>391</v>
      </c>
      <c r="M27" s="38" t="s">
        <v>2080</v>
      </c>
      <c r="N27" s="33" t="s">
        <v>91</v>
      </c>
      <c r="O27" s="36">
        <v>1</v>
      </c>
      <c r="P27" s="36">
        <v>1</v>
      </c>
      <c r="Q27" s="33" t="s">
        <v>71</v>
      </c>
      <c r="R27" s="36" t="s">
        <v>2640</v>
      </c>
      <c r="S27" s="36" t="s">
        <v>2049</v>
      </c>
      <c r="T27" s="25" t="s">
        <v>493</v>
      </c>
      <c r="U27" s="33">
        <v>2018</v>
      </c>
      <c r="V27" s="36" t="s">
        <v>74</v>
      </c>
      <c r="W27" s="33" t="s">
        <v>466</v>
      </c>
      <c r="X27" s="33"/>
      <c r="Y27" s="33" t="s">
        <v>94</v>
      </c>
      <c r="Z27" s="33" t="s">
        <v>74</v>
      </c>
      <c r="AA27" s="37"/>
      <c r="AB27" s="33"/>
      <c r="AC27" s="25"/>
      <c r="AD27" s="37" t="s">
        <v>77</v>
      </c>
      <c r="AE27" s="25" t="s">
        <v>78</v>
      </c>
      <c r="AF27" s="25" t="s">
        <v>78</v>
      </c>
      <c r="AG27" s="25"/>
      <c r="AH27" s="39"/>
      <c r="AI27" s="37" t="s">
        <v>149</v>
      </c>
      <c r="AJ27" s="33" t="s">
        <v>76</v>
      </c>
      <c r="AK27" s="25"/>
      <c r="AL27" s="78" t="s">
        <v>514</v>
      </c>
      <c r="AM27" s="36" t="s">
        <v>77</v>
      </c>
      <c r="AN27" s="33" t="s">
        <v>185</v>
      </c>
      <c r="AO27" s="25"/>
      <c r="AP27" s="33" t="s">
        <v>515</v>
      </c>
      <c r="AQ27" s="43" t="s">
        <v>516</v>
      </c>
      <c r="AR27" s="33" t="s">
        <v>85</v>
      </c>
      <c r="AS27" s="20"/>
      <c r="AT27" s="58" t="s">
        <v>288</v>
      </c>
      <c r="AU27" s="45"/>
      <c r="AV27" s="18"/>
      <c r="AW27" s="17"/>
      <c r="AX27" s="17"/>
      <c r="AY27" s="34">
        <v>7140201</v>
      </c>
      <c r="AZ27" s="33">
        <v>63</v>
      </c>
      <c r="BB27" s="17"/>
      <c r="BC27" s="43" t="s">
        <v>2080</v>
      </c>
      <c r="BD27" s="17"/>
      <c r="BM27" s="46"/>
      <c r="BN27" s="46"/>
      <c r="BO27" s="47"/>
    </row>
    <row r="28" spans="1:67" ht="24.95" customHeight="1" x14ac:dyDescent="0.25">
      <c r="B28" s="36">
        <f>SUBTOTAL(103,$M$2:M28)</f>
        <v>27</v>
      </c>
      <c r="C28" s="37" t="s">
        <v>517</v>
      </c>
      <c r="D28" s="33" t="s">
        <v>79</v>
      </c>
      <c r="E28" s="36" t="s">
        <v>3</v>
      </c>
      <c r="F28" s="37" t="s">
        <v>32</v>
      </c>
      <c r="G28" s="33" t="s">
        <v>2675</v>
      </c>
      <c r="H28" s="33" t="s">
        <v>2677</v>
      </c>
      <c r="I28" s="33" t="s">
        <v>2368</v>
      </c>
      <c r="J28" s="37" t="s">
        <v>2364</v>
      </c>
      <c r="K28" s="25" t="s">
        <v>518</v>
      </c>
      <c r="L28" s="25" t="s">
        <v>262</v>
      </c>
      <c r="M28" s="54" t="s">
        <v>2081</v>
      </c>
      <c r="N28" s="37" t="s">
        <v>91</v>
      </c>
      <c r="O28" s="36">
        <v>1</v>
      </c>
      <c r="P28" s="36"/>
      <c r="Q28" s="37" t="s">
        <v>71</v>
      </c>
      <c r="R28" s="36" t="s">
        <v>2640</v>
      </c>
      <c r="S28" s="36" t="s">
        <v>2049</v>
      </c>
      <c r="T28" s="59" t="s">
        <v>4</v>
      </c>
      <c r="U28" s="36">
        <v>2015</v>
      </c>
      <c r="V28" s="33" t="s">
        <v>257</v>
      </c>
      <c r="W28" s="60" t="s">
        <v>330</v>
      </c>
      <c r="X28" s="60"/>
      <c r="Y28" s="36" t="s">
        <v>171</v>
      </c>
      <c r="Z28" s="37" t="s">
        <v>74</v>
      </c>
      <c r="AA28" s="37"/>
      <c r="AB28" s="33"/>
      <c r="AC28" s="25"/>
      <c r="AD28" s="37" t="s">
        <v>77</v>
      </c>
      <c r="AE28" s="37" t="s">
        <v>78</v>
      </c>
      <c r="AF28" s="37" t="s">
        <v>78</v>
      </c>
      <c r="AG28" s="33"/>
      <c r="AH28" s="39"/>
      <c r="AI28" s="33" t="s">
        <v>519</v>
      </c>
      <c r="AJ28" s="37" t="s">
        <v>76</v>
      </c>
      <c r="AK28" s="25"/>
      <c r="AL28" s="147" t="s">
        <v>520</v>
      </c>
      <c r="AM28" s="36" t="s">
        <v>77</v>
      </c>
      <c r="AN28" s="41" t="s">
        <v>141</v>
      </c>
      <c r="AO28" s="41"/>
      <c r="AP28" s="37" t="s">
        <v>521</v>
      </c>
      <c r="AQ28" s="57" t="s">
        <v>522</v>
      </c>
      <c r="AR28" s="44" t="s">
        <v>85</v>
      </c>
      <c r="AS28" s="20"/>
      <c r="AT28" s="18" t="s">
        <v>101</v>
      </c>
      <c r="AU28" s="45"/>
      <c r="AV28" s="18"/>
      <c r="AW28" s="17"/>
      <c r="AX28" s="17"/>
      <c r="AY28" s="34">
        <v>7140201</v>
      </c>
      <c r="AZ28" s="33">
        <v>64</v>
      </c>
      <c r="BB28" s="17"/>
      <c r="BC28" s="57" t="s">
        <v>2081</v>
      </c>
      <c r="BD28" s="17"/>
      <c r="BM28" s="46"/>
      <c r="BN28" s="46"/>
      <c r="BO28" s="47"/>
    </row>
    <row r="29" spans="1:67" ht="24.95" customHeight="1" x14ac:dyDescent="0.25">
      <c r="B29" s="36">
        <f>SUBTOTAL(103,$M$2:M29)</f>
        <v>28</v>
      </c>
      <c r="C29" s="37" t="s">
        <v>523</v>
      </c>
      <c r="D29" s="33" t="s">
        <v>79</v>
      </c>
      <c r="E29" s="36" t="s">
        <v>3</v>
      </c>
      <c r="F29" s="33" t="s">
        <v>32</v>
      </c>
      <c r="G29" s="33" t="s">
        <v>2675</v>
      </c>
      <c r="H29" s="33" t="s">
        <v>2677</v>
      </c>
      <c r="I29" s="33" t="s">
        <v>2368</v>
      </c>
      <c r="J29" s="37" t="s">
        <v>2365</v>
      </c>
      <c r="K29" s="25" t="s">
        <v>103</v>
      </c>
      <c r="L29" s="25" t="s">
        <v>524</v>
      </c>
      <c r="M29" s="38" t="s">
        <v>2082</v>
      </c>
      <c r="N29" s="36" t="s">
        <v>91</v>
      </c>
      <c r="O29" s="36">
        <v>1</v>
      </c>
      <c r="P29" s="36"/>
      <c r="Q29" s="36" t="s">
        <v>71</v>
      </c>
      <c r="R29" s="36" t="s">
        <v>2640</v>
      </c>
      <c r="S29" s="36" t="s">
        <v>2049</v>
      </c>
      <c r="T29" s="25" t="s">
        <v>493</v>
      </c>
      <c r="U29" s="33">
        <v>2019</v>
      </c>
      <c r="V29" s="36" t="s">
        <v>157</v>
      </c>
      <c r="W29" s="33" t="s">
        <v>525</v>
      </c>
      <c r="X29" s="33"/>
      <c r="Y29" s="33" t="s">
        <v>320</v>
      </c>
      <c r="Z29" s="37" t="s">
        <v>169</v>
      </c>
      <c r="AA29" s="37"/>
      <c r="AB29" s="33"/>
      <c r="AC29" s="25"/>
      <c r="AD29" s="37" t="s">
        <v>77</v>
      </c>
      <c r="AE29" s="33" t="s">
        <v>78</v>
      </c>
      <c r="AF29" s="33" t="s">
        <v>78</v>
      </c>
      <c r="AG29" s="25"/>
      <c r="AH29" s="39"/>
      <c r="AI29" s="37" t="s">
        <v>494</v>
      </c>
      <c r="AJ29" s="33" t="s">
        <v>76</v>
      </c>
      <c r="AK29" s="25" t="s">
        <v>526</v>
      </c>
      <c r="AL29" s="78" t="s">
        <v>527</v>
      </c>
      <c r="AM29" s="36" t="s">
        <v>77</v>
      </c>
      <c r="AN29" s="40" t="s">
        <v>162</v>
      </c>
      <c r="AO29" s="62"/>
      <c r="AP29" s="33" t="s">
        <v>528</v>
      </c>
      <c r="AQ29" s="43" t="s">
        <v>529</v>
      </c>
      <c r="AR29" s="44" t="s">
        <v>85</v>
      </c>
      <c r="AS29" s="20" t="s">
        <v>530</v>
      </c>
      <c r="AT29" s="18" t="s">
        <v>531</v>
      </c>
      <c r="AU29" s="45"/>
      <c r="AV29" s="18"/>
      <c r="AW29" s="17"/>
      <c r="AX29" s="17"/>
      <c r="AY29" s="34">
        <v>7140201</v>
      </c>
      <c r="AZ29" s="33">
        <v>65</v>
      </c>
      <c r="BB29" s="17"/>
      <c r="BC29" s="43" t="s">
        <v>2082</v>
      </c>
      <c r="BD29" s="17"/>
      <c r="BM29" s="46"/>
      <c r="BN29" s="46"/>
      <c r="BO29" s="47"/>
    </row>
    <row r="30" spans="1:67" ht="24.95" customHeight="1" x14ac:dyDescent="0.25">
      <c r="B30" s="36">
        <f>SUBTOTAL(103,$M$2:M30)</f>
        <v>29</v>
      </c>
      <c r="C30" s="37" t="s">
        <v>532</v>
      </c>
      <c r="D30" s="33" t="s">
        <v>79</v>
      </c>
      <c r="E30" s="33" t="s">
        <v>3</v>
      </c>
      <c r="F30" s="33" t="s">
        <v>32</v>
      </c>
      <c r="G30" s="33" t="s">
        <v>2675</v>
      </c>
      <c r="H30" s="33" t="s">
        <v>2677</v>
      </c>
      <c r="I30" s="33" t="s">
        <v>2368</v>
      </c>
      <c r="J30" s="37" t="s">
        <v>2366</v>
      </c>
      <c r="K30" s="25" t="s">
        <v>103</v>
      </c>
      <c r="L30" s="25" t="s">
        <v>190</v>
      </c>
      <c r="M30" s="38" t="s">
        <v>2083</v>
      </c>
      <c r="N30" s="33" t="s">
        <v>91</v>
      </c>
      <c r="O30" s="36">
        <v>1</v>
      </c>
      <c r="P30" s="36">
        <v>1</v>
      </c>
      <c r="Q30" s="33" t="s">
        <v>71</v>
      </c>
      <c r="R30" s="36" t="s">
        <v>2640</v>
      </c>
      <c r="S30" s="36" t="s">
        <v>2049</v>
      </c>
      <c r="T30" s="25" t="s">
        <v>493</v>
      </c>
      <c r="U30" s="33">
        <v>2016</v>
      </c>
      <c r="V30" s="33" t="s">
        <v>74</v>
      </c>
      <c r="W30" s="33" t="s">
        <v>107</v>
      </c>
      <c r="X30" s="33"/>
      <c r="Y30" s="33" t="s">
        <v>171</v>
      </c>
      <c r="Z30" s="33" t="s">
        <v>74</v>
      </c>
      <c r="AA30" s="37"/>
      <c r="AB30" s="33"/>
      <c r="AC30" s="25"/>
      <c r="AD30" s="37" t="s">
        <v>77</v>
      </c>
      <c r="AE30" s="25" t="s">
        <v>78</v>
      </c>
      <c r="AF30" s="25" t="s">
        <v>78</v>
      </c>
      <c r="AG30" s="25">
        <v>7</v>
      </c>
      <c r="AH30" s="39"/>
      <c r="AI30" s="33" t="s">
        <v>149</v>
      </c>
      <c r="AJ30" s="33" t="s">
        <v>76</v>
      </c>
      <c r="AK30" s="25"/>
      <c r="AL30" s="78" t="s">
        <v>533</v>
      </c>
      <c r="AM30" s="36" t="s">
        <v>77</v>
      </c>
      <c r="AN30" s="40" t="s">
        <v>260</v>
      </c>
      <c r="AO30" s="52"/>
      <c r="AP30" s="111" t="s">
        <v>534</v>
      </c>
      <c r="AQ30" s="43" t="s">
        <v>535</v>
      </c>
      <c r="AR30" s="33" t="s">
        <v>85</v>
      </c>
      <c r="AS30" s="20"/>
      <c r="AT30" s="18" t="s">
        <v>145</v>
      </c>
      <c r="AU30" s="45"/>
      <c r="AV30" s="18"/>
      <c r="AW30" s="17"/>
      <c r="AX30" s="17"/>
      <c r="AY30" s="34">
        <v>7140201</v>
      </c>
      <c r="AZ30" s="33">
        <v>66</v>
      </c>
      <c r="BB30" s="17"/>
      <c r="BC30" s="43" t="s">
        <v>2083</v>
      </c>
      <c r="BD30" s="17"/>
      <c r="BM30" s="46"/>
      <c r="BN30" s="46"/>
      <c r="BO30" s="47"/>
    </row>
    <row r="31" spans="1:67" ht="24.95" customHeight="1" x14ac:dyDescent="0.25">
      <c r="B31" s="36">
        <f>SUBTOTAL(103,$M$2:M31)</f>
        <v>30</v>
      </c>
      <c r="C31" s="37" t="s">
        <v>543</v>
      </c>
      <c r="D31" s="33" t="s">
        <v>79</v>
      </c>
      <c r="E31" s="33" t="s">
        <v>3</v>
      </c>
      <c r="F31" s="33" t="s">
        <v>32</v>
      </c>
      <c r="G31" s="33" t="s">
        <v>2675</v>
      </c>
      <c r="H31" s="33" t="s">
        <v>2677</v>
      </c>
      <c r="I31" s="33" t="s">
        <v>2368</v>
      </c>
      <c r="J31" s="37" t="s">
        <v>2367</v>
      </c>
      <c r="K31" s="25" t="s">
        <v>544</v>
      </c>
      <c r="L31" s="25" t="s">
        <v>545</v>
      </c>
      <c r="M31" s="38" t="s">
        <v>2085</v>
      </c>
      <c r="N31" s="33" t="s">
        <v>91</v>
      </c>
      <c r="O31" s="36">
        <v>1</v>
      </c>
      <c r="P31" s="36">
        <v>1</v>
      </c>
      <c r="Q31" s="36" t="s">
        <v>71</v>
      </c>
      <c r="R31" s="36" t="s">
        <v>2640</v>
      </c>
      <c r="S31" s="36" t="s">
        <v>2049</v>
      </c>
      <c r="T31" s="25" t="s">
        <v>493</v>
      </c>
      <c r="U31" s="33">
        <v>2017</v>
      </c>
      <c r="V31" s="36" t="s">
        <v>74</v>
      </c>
      <c r="W31" s="33" t="s">
        <v>94</v>
      </c>
      <c r="X31" s="33"/>
      <c r="Y31" s="33" t="s">
        <v>501</v>
      </c>
      <c r="Z31" s="33" t="s">
        <v>74</v>
      </c>
      <c r="AA31" s="37"/>
      <c r="AB31" s="33"/>
      <c r="AC31" s="25"/>
      <c r="AD31" s="37" t="s">
        <v>77</v>
      </c>
      <c r="AE31" s="25" t="s">
        <v>78</v>
      </c>
      <c r="AF31" s="33" t="s">
        <v>78</v>
      </c>
      <c r="AG31" s="33">
        <v>3</v>
      </c>
      <c r="AH31" s="39"/>
      <c r="AI31" s="37" t="s">
        <v>546</v>
      </c>
      <c r="AJ31" s="33" t="s">
        <v>76</v>
      </c>
      <c r="AK31" s="25"/>
      <c r="AL31" s="78" t="s">
        <v>547</v>
      </c>
      <c r="AM31" s="36" t="s">
        <v>77</v>
      </c>
      <c r="AN31" s="41" t="s">
        <v>401</v>
      </c>
      <c r="AO31" s="41"/>
      <c r="AP31" s="37" t="s">
        <v>548</v>
      </c>
      <c r="AQ31" s="43" t="s">
        <v>549</v>
      </c>
      <c r="AR31" s="33" t="s">
        <v>550</v>
      </c>
      <c r="AS31" s="20"/>
      <c r="AT31" s="18" t="s">
        <v>254</v>
      </c>
      <c r="AU31" s="45"/>
      <c r="AV31" s="18"/>
      <c r="AW31" s="17"/>
      <c r="AX31" s="17"/>
      <c r="AY31" s="34">
        <v>7140201</v>
      </c>
      <c r="AZ31" s="33">
        <v>68</v>
      </c>
      <c r="BB31" s="17"/>
      <c r="BC31" s="43" t="s">
        <v>2085</v>
      </c>
      <c r="BD31" s="17"/>
      <c r="BM31" s="46"/>
      <c r="BN31" s="46"/>
      <c r="BO31" s="47"/>
    </row>
    <row r="32" spans="1:67" ht="24.95" customHeight="1" x14ac:dyDescent="0.25">
      <c r="A32" s="18" t="s">
        <v>2862</v>
      </c>
      <c r="B32" s="36">
        <f>SUBTOTAL(103,$M$2:M32)</f>
        <v>31</v>
      </c>
      <c r="C32" s="33">
        <v>2</v>
      </c>
      <c r="D32" s="33" t="s">
        <v>79</v>
      </c>
      <c r="E32" s="33" t="s">
        <v>3</v>
      </c>
      <c r="F32" s="34" t="s">
        <v>32</v>
      </c>
      <c r="G32" s="33" t="s">
        <v>2675</v>
      </c>
      <c r="H32" s="33" t="s">
        <v>2677</v>
      </c>
      <c r="I32" s="33" t="s">
        <v>2368</v>
      </c>
      <c r="J32" s="33" t="s">
        <v>2866</v>
      </c>
      <c r="K32" s="25" t="s">
        <v>2016</v>
      </c>
      <c r="L32" s="25" t="s">
        <v>104</v>
      </c>
      <c r="M32" s="38" t="s">
        <v>2690</v>
      </c>
      <c r="N32" s="33" t="s">
        <v>91</v>
      </c>
      <c r="O32" s="135">
        <v>1</v>
      </c>
      <c r="P32" s="135">
        <v>1</v>
      </c>
      <c r="Q32" s="33" t="s">
        <v>71</v>
      </c>
      <c r="R32" s="36" t="s">
        <v>2640</v>
      </c>
      <c r="S32" s="36" t="s">
        <v>2049</v>
      </c>
      <c r="T32" s="125" t="s">
        <v>493</v>
      </c>
      <c r="U32" s="33">
        <v>2021</v>
      </c>
      <c r="V32" s="33" t="s">
        <v>74</v>
      </c>
      <c r="W32" s="33" t="s">
        <v>107</v>
      </c>
      <c r="X32" s="33"/>
      <c r="Y32" s="33" t="s">
        <v>1096</v>
      </c>
      <c r="Z32" s="33" t="s">
        <v>74</v>
      </c>
      <c r="AA32" s="25"/>
      <c r="AB32" s="33"/>
      <c r="AC32" s="33" t="s">
        <v>3</v>
      </c>
      <c r="AD32" s="33" t="s">
        <v>77</v>
      </c>
      <c r="AE32" s="25" t="s">
        <v>78</v>
      </c>
      <c r="AF32" s="25" t="s">
        <v>78</v>
      </c>
      <c r="AG32" s="103"/>
      <c r="AH32" s="25"/>
      <c r="AI32" s="33" t="s">
        <v>2702</v>
      </c>
      <c r="AJ32" s="33" t="s">
        <v>76</v>
      </c>
      <c r="AK32" s="25"/>
      <c r="AL32" s="43" t="s">
        <v>2703</v>
      </c>
      <c r="AM32" s="36" t="s">
        <v>77</v>
      </c>
      <c r="AN32" s="33" t="s">
        <v>641</v>
      </c>
      <c r="AP32" s="33" t="s">
        <v>2704</v>
      </c>
      <c r="AQ32" s="43" t="s">
        <v>2705</v>
      </c>
      <c r="AR32" s="25"/>
      <c r="AS32" s="25"/>
      <c r="AT32" s="25"/>
      <c r="AU32" s="18"/>
      <c r="AV32" s="84" t="s">
        <v>4</v>
      </c>
      <c r="AW32" s="17"/>
      <c r="BC32" s="18"/>
      <c r="BN32" s="18"/>
      <c r="BO32" s="18"/>
    </row>
    <row r="33" spans="2:67" ht="24.95" customHeight="1" x14ac:dyDescent="0.25">
      <c r="B33" s="36">
        <f>SUBTOTAL(103,$M$2:M33)</f>
        <v>32</v>
      </c>
      <c r="C33" s="33"/>
      <c r="D33" s="36" t="s">
        <v>79</v>
      </c>
      <c r="E33" s="36" t="s">
        <v>3</v>
      </c>
      <c r="F33" s="37" t="s">
        <v>557</v>
      </c>
      <c r="G33" s="36" t="s">
        <v>2675</v>
      </c>
      <c r="H33" s="36" t="s">
        <v>2677</v>
      </c>
      <c r="I33" s="36" t="s">
        <v>2368</v>
      </c>
      <c r="J33" s="36" t="s">
        <v>2961</v>
      </c>
      <c r="K33" s="84" t="s">
        <v>563</v>
      </c>
      <c r="L33" s="84" t="s">
        <v>391</v>
      </c>
      <c r="M33" s="50" t="s">
        <v>2919</v>
      </c>
      <c r="N33" s="37" t="s">
        <v>91</v>
      </c>
      <c r="O33" s="36">
        <v>1</v>
      </c>
      <c r="P33" s="36"/>
      <c r="Q33" s="37" t="s">
        <v>71</v>
      </c>
      <c r="R33" s="37" t="s">
        <v>2640</v>
      </c>
      <c r="S33" s="71" t="s">
        <v>2049</v>
      </c>
      <c r="T33" s="37"/>
      <c r="U33" s="37" t="s">
        <v>2923</v>
      </c>
      <c r="V33" s="37"/>
      <c r="W33" s="37"/>
      <c r="X33" s="37"/>
      <c r="Y33" s="37" t="s">
        <v>564</v>
      </c>
      <c r="Z33" s="37" t="s">
        <v>157</v>
      </c>
      <c r="AA33" s="37" t="s">
        <v>2685</v>
      </c>
      <c r="AB33" s="37" t="s">
        <v>2924</v>
      </c>
      <c r="AC33" s="25"/>
      <c r="AD33" s="37" t="s">
        <v>77</v>
      </c>
      <c r="AE33" s="37" t="s">
        <v>78</v>
      </c>
      <c r="AF33" s="37"/>
      <c r="AG33" s="37"/>
      <c r="AH33" s="25"/>
      <c r="AI33" s="37" t="s">
        <v>565</v>
      </c>
      <c r="AJ33" s="37"/>
      <c r="AK33" s="49"/>
      <c r="AL33" s="50" t="s">
        <v>2954</v>
      </c>
      <c r="AM33" s="36" t="s">
        <v>77</v>
      </c>
      <c r="AN33" s="37" t="s">
        <v>150</v>
      </c>
      <c r="AO33" s="33"/>
      <c r="AP33" s="33" t="s">
        <v>566</v>
      </c>
      <c r="AQ33" s="50" t="s">
        <v>2955</v>
      </c>
    </row>
    <row r="34" spans="2:67" ht="24.95" customHeight="1" x14ac:dyDescent="0.25">
      <c r="B34" s="36">
        <f>SUBTOTAL(103,$M$2:M34)</f>
        <v>33</v>
      </c>
      <c r="C34" s="37" t="s">
        <v>67</v>
      </c>
      <c r="D34" s="33" t="s">
        <v>79</v>
      </c>
      <c r="E34" s="36" t="s">
        <v>3</v>
      </c>
      <c r="F34" s="33" t="s">
        <v>33</v>
      </c>
      <c r="G34" s="33" t="s">
        <v>2675</v>
      </c>
      <c r="H34" s="33" t="s">
        <v>2677</v>
      </c>
      <c r="I34" s="33" t="s">
        <v>2369</v>
      </c>
      <c r="J34" s="33" t="s">
        <v>2370</v>
      </c>
      <c r="K34" s="25" t="s">
        <v>567</v>
      </c>
      <c r="L34" s="25" t="s">
        <v>568</v>
      </c>
      <c r="M34" s="38" t="s">
        <v>2092</v>
      </c>
      <c r="N34" s="36" t="s">
        <v>91</v>
      </c>
      <c r="O34" s="36">
        <v>1</v>
      </c>
      <c r="P34" s="36">
        <v>1</v>
      </c>
      <c r="Q34" s="36" t="s">
        <v>71</v>
      </c>
      <c r="R34" s="33" t="s">
        <v>2642</v>
      </c>
      <c r="S34" s="33" t="s">
        <v>2049</v>
      </c>
      <c r="T34" s="48" t="s">
        <v>5</v>
      </c>
      <c r="U34" s="33">
        <v>2015</v>
      </c>
      <c r="V34" s="33" t="s">
        <v>74</v>
      </c>
      <c r="W34" s="33" t="s">
        <v>569</v>
      </c>
      <c r="X34" s="33" t="s">
        <v>399</v>
      </c>
      <c r="Y34" s="33" t="s">
        <v>570</v>
      </c>
      <c r="Z34" s="37" t="s">
        <v>169</v>
      </c>
      <c r="AA34" s="37"/>
      <c r="AB34" s="33"/>
      <c r="AC34" s="25"/>
      <c r="AD34" s="51" t="s">
        <v>571</v>
      </c>
      <c r="AE34" s="33" t="s">
        <v>78</v>
      </c>
      <c r="AF34" s="33" t="s">
        <v>78</v>
      </c>
      <c r="AG34" s="25">
        <v>5</v>
      </c>
      <c r="AH34" s="80"/>
      <c r="AI34" s="37" t="s">
        <v>572</v>
      </c>
      <c r="AJ34" s="33" t="s">
        <v>76</v>
      </c>
      <c r="AK34" s="25"/>
      <c r="AL34" s="78" t="s">
        <v>573</v>
      </c>
      <c r="AM34" s="36" t="s">
        <v>77</v>
      </c>
      <c r="AN34" s="37" t="s">
        <v>354</v>
      </c>
      <c r="AO34" s="37"/>
      <c r="AP34" s="37" t="s">
        <v>574</v>
      </c>
      <c r="AQ34" s="43" t="s">
        <v>575</v>
      </c>
      <c r="AR34" s="33" t="s">
        <v>85</v>
      </c>
      <c r="AS34" s="42"/>
      <c r="AT34" s="25" t="s">
        <v>576</v>
      </c>
      <c r="AU34" s="45"/>
      <c r="AV34" s="18"/>
      <c r="AW34" s="17"/>
      <c r="AX34" s="17"/>
      <c r="AY34" s="34">
        <v>7140202</v>
      </c>
      <c r="AZ34" s="33">
        <v>74</v>
      </c>
      <c r="BB34" s="17"/>
      <c r="BC34" s="43" t="s">
        <v>2092</v>
      </c>
      <c r="BD34" s="17"/>
      <c r="BM34" s="46"/>
      <c r="BN34" s="46"/>
      <c r="BO34" s="47"/>
    </row>
    <row r="35" spans="2:67" ht="24.95" customHeight="1" x14ac:dyDescent="0.25">
      <c r="B35" s="36">
        <f>SUBTOTAL(103,$M$2:M35)</f>
        <v>34</v>
      </c>
      <c r="C35" s="37" t="s">
        <v>88</v>
      </c>
      <c r="D35" s="33" t="s">
        <v>79</v>
      </c>
      <c r="E35" s="36" t="s">
        <v>3</v>
      </c>
      <c r="F35" s="37" t="s">
        <v>33</v>
      </c>
      <c r="G35" s="33" t="s">
        <v>2675</v>
      </c>
      <c r="H35" s="33" t="s">
        <v>2677</v>
      </c>
      <c r="I35" s="33" t="s">
        <v>2369</v>
      </c>
      <c r="J35" s="33" t="s">
        <v>2371</v>
      </c>
      <c r="K35" s="48" t="s">
        <v>103</v>
      </c>
      <c r="L35" s="49" t="s">
        <v>262</v>
      </c>
      <c r="M35" s="50" t="s">
        <v>2093</v>
      </c>
      <c r="N35" s="37" t="s">
        <v>91</v>
      </c>
      <c r="O35" s="36">
        <v>1</v>
      </c>
      <c r="P35" s="36"/>
      <c r="Q35" s="37" t="s">
        <v>71</v>
      </c>
      <c r="R35" s="33" t="s">
        <v>2642</v>
      </c>
      <c r="S35" s="33" t="s">
        <v>2049</v>
      </c>
      <c r="T35" s="48" t="s">
        <v>4</v>
      </c>
      <c r="U35" s="37" t="s">
        <v>73</v>
      </c>
      <c r="V35" s="37" t="s">
        <v>157</v>
      </c>
      <c r="W35" s="37" t="s">
        <v>577</v>
      </c>
      <c r="X35" s="37" t="s">
        <v>578</v>
      </c>
      <c r="Y35" s="37" t="s">
        <v>330</v>
      </c>
      <c r="Z35" s="37" t="s">
        <v>74</v>
      </c>
      <c r="AA35" s="37"/>
      <c r="AB35" s="37"/>
      <c r="AC35" s="25"/>
      <c r="AD35" s="51" t="s">
        <v>77</v>
      </c>
      <c r="AE35" s="37"/>
      <c r="AF35" s="37" t="s">
        <v>78</v>
      </c>
      <c r="AG35" s="37"/>
      <c r="AH35" s="37"/>
      <c r="AI35" s="37" t="s">
        <v>362</v>
      </c>
      <c r="AJ35" s="37" t="s">
        <v>76</v>
      </c>
      <c r="AK35" s="37"/>
      <c r="AL35" s="148" t="s">
        <v>579</v>
      </c>
      <c r="AM35" s="36" t="s">
        <v>77</v>
      </c>
      <c r="AN35" s="41" t="s">
        <v>150</v>
      </c>
      <c r="AO35" s="41"/>
      <c r="AP35" s="40" t="s">
        <v>580</v>
      </c>
      <c r="AQ35" s="81" t="s">
        <v>581</v>
      </c>
      <c r="AR35" s="41" t="s">
        <v>85</v>
      </c>
      <c r="AS35" s="20" t="s">
        <v>582</v>
      </c>
      <c r="AT35" s="18" t="s">
        <v>114</v>
      </c>
      <c r="AU35" s="45"/>
      <c r="AV35" s="18"/>
      <c r="AW35" s="17"/>
      <c r="AX35" s="17"/>
      <c r="AY35" s="34">
        <v>7140202</v>
      </c>
      <c r="AZ35" s="33">
        <v>75</v>
      </c>
      <c r="BB35" s="17"/>
      <c r="BC35" s="50" t="s">
        <v>2093</v>
      </c>
      <c r="BD35" s="17"/>
      <c r="BM35" s="46"/>
      <c r="BN35" s="46"/>
      <c r="BO35" s="47"/>
    </row>
    <row r="36" spans="2:67" ht="24.95" customHeight="1" x14ac:dyDescent="0.25">
      <c r="B36" s="36">
        <f>SUBTOTAL(103,$M$2:M36)</f>
        <v>35</v>
      </c>
      <c r="C36" s="37" t="s">
        <v>102</v>
      </c>
      <c r="D36" s="33" t="s">
        <v>79</v>
      </c>
      <c r="E36" s="33" t="s">
        <v>3</v>
      </c>
      <c r="F36" s="33" t="s">
        <v>33</v>
      </c>
      <c r="G36" s="33" t="s">
        <v>2675</v>
      </c>
      <c r="H36" s="33" t="s">
        <v>2677</v>
      </c>
      <c r="I36" s="33" t="s">
        <v>2369</v>
      </c>
      <c r="J36" s="33" t="s">
        <v>2372</v>
      </c>
      <c r="K36" s="25" t="s">
        <v>442</v>
      </c>
      <c r="L36" s="25" t="s">
        <v>583</v>
      </c>
      <c r="M36" s="38" t="s">
        <v>2094</v>
      </c>
      <c r="N36" s="33" t="s">
        <v>91</v>
      </c>
      <c r="O36" s="36">
        <v>1</v>
      </c>
      <c r="P36" s="36">
        <v>1</v>
      </c>
      <c r="Q36" s="33" t="s">
        <v>71</v>
      </c>
      <c r="R36" s="33" t="s">
        <v>2642</v>
      </c>
      <c r="S36" s="33" t="s">
        <v>2049</v>
      </c>
      <c r="T36" s="25" t="s">
        <v>6</v>
      </c>
      <c r="U36" s="33">
        <v>2010</v>
      </c>
      <c r="V36" s="33" t="s">
        <v>157</v>
      </c>
      <c r="W36" s="33" t="s">
        <v>584</v>
      </c>
      <c r="X36" s="33"/>
      <c r="Y36" s="33"/>
      <c r="Z36" s="37"/>
      <c r="AA36" s="37"/>
      <c r="AB36" s="33"/>
      <c r="AC36" s="25"/>
      <c r="AD36" s="51" t="s">
        <v>77</v>
      </c>
      <c r="AE36" s="25"/>
      <c r="AF36" s="33"/>
      <c r="AG36" s="33"/>
      <c r="AH36" s="80"/>
      <c r="AI36" s="33" t="s">
        <v>585</v>
      </c>
      <c r="AJ36" s="33" t="s">
        <v>76</v>
      </c>
      <c r="AK36" s="25"/>
      <c r="AL36" s="101" t="s">
        <v>586</v>
      </c>
      <c r="AM36" s="36" t="s">
        <v>77</v>
      </c>
      <c r="AN36" s="40" t="s">
        <v>587</v>
      </c>
      <c r="AO36" s="52"/>
      <c r="AP36" s="111" t="s">
        <v>588</v>
      </c>
      <c r="AQ36" s="82" t="s">
        <v>589</v>
      </c>
      <c r="AR36" s="40" t="s">
        <v>85</v>
      </c>
      <c r="AS36" s="20" t="s">
        <v>590</v>
      </c>
      <c r="AT36" s="18" t="s">
        <v>198</v>
      </c>
      <c r="AU36" s="45"/>
      <c r="AV36" s="18"/>
      <c r="AW36" s="17"/>
      <c r="AX36" s="17"/>
      <c r="AY36" s="34">
        <v>7140202</v>
      </c>
      <c r="AZ36" s="33">
        <v>76</v>
      </c>
      <c r="BB36" s="17"/>
      <c r="BC36" s="43" t="s">
        <v>2094</v>
      </c>
      <c r="BD36" s="17"/>
      <c r="BM36" s="46"/>
      <c r="BN36" s="46"/>
      <c r="BO36" s="47"/>
    </row>
    <row r="37" spans="2:67" ht="24.95" customHeight="1" x14ac:dyDescent="0.25">
      <c r="B37" s="36">
        <f>SUBTOTAL(103,$M$2:M37)</f>
        <v>36</v>
      </c>
      <c r="C37" s="37" t="s">
        <v>115</v>
      </c>
      <c r="D37" s="33" t="s">
        <v>79</v>
      </c>
      <c r="E37" s="36" t="s">
        <v>3</v>
      </c>
      <c r="F37" s="33" t="s">
        <v>34</v>
      </c>
      <c r="G37" s="33" t="s">
        <v>2675</v>
      </c>
      <c r="H37" s="33" t="s">
        <v>2677</v>
      </c>
      <c r="I37" s="33" t="s">
        <v>2369</v>
      </c>
      <c r="J37" s="33" t="s">
        <v>2373</v>
      </c>
      <c r="K37" s="25" t="s">
        <v>591</v>
      </c>
      <c r="L37" s="25" t="s">
        <v>592</v>
      </c>
      <c r="M37" s="38" t="s">
        <v>2095</v>
      </c>
      <c r="N37" s="33" t="s">
        <v>91</v>
      </c>
      <c r="O37" s="36">
        <v>1</v>
      </c>
      <c r="P37" s="36">
        <v>1</v>
      </c>
      <c r="Q37" s="36" t="s">
        <v>71</v>
      </c>
      <c r="R37" s="33" t="s">
        <v>2642</v>
      </c>
      <c r="S37" s="33" t="s">
        <v>2049</v>
      </c>
      <c r="T37" s="25" t="s">
        <v>11</v>
      </c>
      <c r="U37" s="33">
        <v>2025</v>
      </c>
      <c r="V37" s="36" t="s">
        <v>157</v>
      </c>
      <c r="W37" s="33" t="s">
        <v>181</v>
      </c>
      <c r="X37" s="33" t="s">
        <v>379</v>
      </c>
      <c r="Y37" s="33" t="s">
        <v>107</v>
      </c>
      <c r="Z37" s="37" t="s">
        <v>74</v>
      </c>
      <c r="AA37" s="37"/>
      <c r="AB37" s="33"/>
      <c r="AC37" s="25"/>
      <c r="AD37" s="51" t="s">
        <v>77</v>
      </c>
      <c r="AE37" s="25" t="s">
        <v>78</v>
      </c>
      <c r="AF37" s="33" t="s">
        <v>78</v>
      </c>
      <c r="AG37" s="25"/>
      <c r="AH37" s="80"/>
      <c r="AI37" s="37" t="s">
        <v>437</v>
      </c>
      <c r="AJ37" s="33" t="s">
        <v>76</v>
      </c>
      <c r="AK37" s="25"/>
      <c r="AL37" s="101" t="s">
        <v>593</v>
      </c>
      <c r="AM37" s="36" t="s">
        <v>77</v>
      </c>
      <c r="AN37" s="41" t="s">
        <v>354</v>
      </c>
      <c r="AO37" s="41"/>
      <c r="AP37" s="33" t="s">
        <v>594</v>
      </c>
      <c r="AQ37" s="82" t="s">
        <v>595</v>
      </c>
      <c r="AR37" s="40" t="s">
        <v>85</v>
      </c>
      <c r="AS37" s="20"/>
      <c r="AT37" s="18" t="s">
        <v>596</v>
      </c>
      <c r="AU37" s="45"/>
      <c r="AV37" s="18"/>
      <c r="AW37" s="17"/>
      <c r="AX37" s="17"/>
      <c r="AY37" s="34">
        <v>7140202</v>
      </c>
      <c r="AZ37" s="33">
        <v>77</v>
      </c>
      <c r="BB37" s="17"/>
      <c r="BC37" s="43" t="s">
        <v>2095</v>
      </c>
      <c r="BD37" s="17"/>
      <c r="BM37" s="46"/>
      <c r="BN37" s="46"/>
      <c r="BO37" s="47"/>
    </row>
    <row r="38" spans="2:67" ht="24.95" customHeight="1" x14ac:dyDescent="0.25">
      <c r="B38" s="36">
        <f>SUBTOTAL(103,$M$2:M38)</f>
        <v>37</v>
      </c>
      <c r="C38" s="37" t="s">
        <v>124</v>
      </c>
      <c r="D38" s="33" t="s">
        <v>79</v>
      </c>
      <c r="E38" s="33" t="s">
        <v>3</v>
      </c>
      <c r="F38" s="33" t="s">
        <v>34</v>
      </c>
      <c r="G38" s="33" t="s">
        <v>2675</v>
      </c>
      <c r="H38" s="33" t="s">
        <v>2677</v>
      </c>
      <c r="I38" s="33" t="s">
        <v>2369</v>
      </c>
      <c r="J38" s="33" t="s">
        <v>2374</v>
      </c>
      <c r="K38" s="25" t="s">
        <v>597</v>
      </c>
      <c r="L38" s="25" t="s">
        <v>592</v>
      </c>
      <c r="M38" s="38" t="s">
        <v>2096</v>
      </c>
      <c r="N38" s="33" t="s">
        <v>91</v>
      </c>
      <c r="O38" s="36">
        <v>1</v>
      </c>
      <c r="P38" s="36"/>
      <c r="Q38" s="33" t="s">
        <v>71</v>
      </c>
      <c r="R38" s="33" t="s">
        <v>2642</v>
      </c>
      <c r="S38" s="33" t="s">
        <v>2049</v>
      </c>
      <c r="T38" s="25" t="s">
        <v>598</v>
      </c>
      <c r="U38" s="33">
        <v>2025</v>
      </c>
      <c r="V38" s="36" t="s">
        <v>74</v>
      </c>
      <c r="W38" s="33" t="s">
        <v>599</v>
      </c>
      <c r="X38" s="33" t="s">
        <v>600</v>
      </c>
      <c r="Y38" s="33" t="s">
        <v>601</v>
      </c>
      <c r="Z38" s="37" t="s">
        <v>157</v>
      </c>
      <c r="AA38" s="33" t="s">
        <v>602</v>
      </c>
      <c r="AB38" s="33" t="s">
        <v>603</v>
      </c>
      <c r="AC38" s="25"/>
      <c r="AD38" s="51" t="s">
        <v>77</v>
      </c>
      <c r="AE38" s="25" t="s">
        <v>78</v>
      </c>
      <c r="AF38" s="33" t="s">
        <v>78</v>
      </c>
      <c r="AG38" s="33"/>
      <c r="AH38" s="80"/>
      <c r="AI38" s="37" t="s">
        <v>149</v>
      </c>
      <c r="AJ38" s="33" t="s">
        <v>76</v>
      </c>
      <c r="AK38" s="25"/>
      <c r="AL38" s="101" t="s">
        <v>604</v>
      </c>
      <c r="AM38" s="36" t="s">
        <v>77</v>
      </c>
      <c r="AN38" s="40" t="s">
        <v>277</v>
      </c>
      <c r="AO38" s="52"/>
      <c r="AP38" s="111" t="s">
        <v>605</v>
      </c>
      <c r="AQ38" s="82" t="s">
        <v>606</v>
      </c>
      <c r="AR38" s="40" t="s">
        <v>85</v>
      </c>
      <c r="AS38" s="20"/>
      <c r="AT38" s="18" t="s">
        <v>145</v>
      </c>
      <c r="AU38" s="45"/>
      <c r="AV38" s="18"/>
      <c r="AW38" s="17"/>
      <c r="AX38" s="17"/>
      <c r="AY38" s="34">
        <v>7140202</v>
      </c>
      <c r="AZ38" s="33">
        <v>78</v>
      </c>
      <c r="BB38" s="17"/>
      <c r="BC38" s="43" t="s">
        <v>2096</v>
      </c>
      <c r="BD38" s="17"/>
      <c r="BM38" s="46"/>
      <c r="BN38" s="46"/>
      <c r="BO38" s="47"/>
    </row>
    <row r="39" spans="2:67" ht="24.95" customHeight="1" x14ac:dyDescent="0.25">
      <c r="B39" s="36">
        <f>SUBTOTAL(103,$M$2:M39)</f>
        <v>38</v>
      </c>
      <c r="C39" s="37" t="s">
        <v>133</v>
      </c>
      <c r="D39" s="33" t="s">
        <v>79</v>
      </c>
      <c r="E39" s="33" t="s">
        <v>3</v>
      </c>
      <c r="F39" s="33" t="s">
        <v>34</v>
      </c>
      <c r="G39" s="33" t="s">
        <v>2675</v>
      </c>
      <c r="H39" s="33" t="s">
        <v>2677</v>
      </c>
      <c r="I39" s="33" t="s">
        <v>2369</v>
      </c>
      <c r="J39" s="33" t="s">
        <v>2375</v>
      </c>
      <c r="K39" s="25" t="s">
        <v>607</v>
      </c>
      <c r="L39" s="25" t="s">
        <v>608</v>
      </c>
      <c r="M39" s="38" t="s">
        <v>2097</v>
      </c>
      <c r="N39" s="33" t="s">
        <v>91</v>
      </c>
      <c r="O39" s="36">
        <v>1</v>
      </c>
      <c r="P39" s="36">
        <v>1</v>
      </c>
      <c r="Q39" s="36" t="s">
        <v>71</v>
      </c>
      <c r="R39" s="33" t="s">
        <v>2642</v>
      </c>
      <c r="S39" s="33" t="s">
        <v>2049</v>
      </c>
      <c r="T39" s="25" t="s">
        <v>598</v>
      </c>
      <c r="U39" s="33">
        <v>2025</v>
      </c>
      <c r="V39" s="33" t="s">
        <v>74</v>
      </c>
      <c r="W39" s="33" t="s">
        <v>192</v>
      </c>
      <c r="X39" s="33"/>
      <c r="Y39" s="33" t="s">
        <v>609</v>
      </c>
      <c r="Z39" s="33" t="s">
        <v>157</v>
      </c>
      <c r="AA39" s="37" t="s">
        <v>610</v>
      </c>
      <c r="AB39" s="33" t="s">
        <v>611</v>
      </c>
      <c r="AC39" s="25"/>
      <c r="AD39" s="51" t="s">
        <v>77</v>
      </c>
      <c r="AE39" s="25" t="s">
        <v>78</v>
      </c>
      <c r="AF39" s="33" t="s">
        <v>78</v>
      </c>
      <c r="AG39" s="33"/>
      <c r="AH39" s="80"/>
      <c r="AI39" s="37" t="s">
        <v>127</v>
      </c>
      <c r="AJ39" s="33" t="s">
        <v>76</v>
      </c>
      <c r="AK39" s="25"/>
      <c r="AL39" s="101" t="s">
        <v>612</v>
      </c>
      <c r="AM39" s="83" t="s">
        <v>77</v>
      </c>
      <c r="AN39" s="41" t="s">
        <v>260</v>
      </c>
      <c r="AO39" s="56"/>
      <c r="AP39" s="111" t="s">
        <v>613</v>
      </c>
      <c r="AQ39" s="82" t="s">
        <v>614</v>
      </c>
      <c r="AR39" s="40" t="s">
        <v>85</v>
      </c>
      <c r="AS39" s="20"/>
      <c r="AT39" s="18" t="s">
        <v>254</v>
      </c>
      <c r="AU39" s="45"/>
      <c r="AV39" s="18"/>
      <c r="AW39" s="17"/>
      <c r="AX39" s="17"/>
      <c r="AY39" s="34">
        <v>7140202</v>
      </c>
      <c r="AZ39" s="33">
        <v>79</v>
      </c>
      <c r="BB39" s="17"/>
      <c r="BC39" s="43" t="s">
        <v>2097</v>
      </c>
      <c r="BD39" s="17"/>
      <c r="BM39" s="46"/>
      <c r="BN39" s="46"/>
      <c r="BO39" s="47"/>
    </row>
    <row r="40" spans="2:67" ht="24.95" customHeight="1" x14ac:dyDescent="0.25">
      <c r="B40" s="36">
        <f>SUBTOTAL(103,$M$2:M40)</f>
        <v>39</v>
      </c>
      <c r="C40" s="37" t="s">
        <v>146</v>
      </c>
      <c r="D40" s="33" t="s">
        <v>79</v>
      </c>
      <c r="E40" s="36" t="s">
        <v>3</v>
      </c>
      <c r="F40" s="37" t="s">
        <v>34</v>
      </c>
      <c r="G40" s="33" t="s">
        <v>2675</v>
      </c>
      <c r="H40" s="33" t="s">
        <v>2677</v>
      </c>
      <c r="I40" s="33" t="s">
        <v>2369</v>
      </c>
      <c r="J40" s="33" t="s">
        <v>2376</v>
      </c>
      <c r="K40" s="48" t="s">
        <v>615</v>
      </c>
      <c r="L40" s="49" t="s">
        <v>391</v>
      </c>
      <c r="M40" s="50" t="s">
        <v>2098</v>
      </c>
      <c r="N40" s="37" t="s">
        <v>91</v>
      </c>
      <c r="O40" s="36">
        <v>1</v>
      </c>
      <c r="P40" s="36">
        <v>1</v>
      </c>
      <c r="Q40" s="37" t="s">
        <v>71</v>
      </c>
      <c r="R40" s="33" t="s">
        <v>2642</v>
      </c>
      <c r="S40" s="33" t="s">
        <v>2049</v>
      </c>
      <c r="T40" s="48" t="s">
        <v>7</v>
      </c>
      <c r="U40" s="37" t="s">
        <v>263</v>
      </c>
      <c r="V40" s="37" t="s">
        <v>169</v>
      </c>
      <c r="W40" s="37" t="s">
        <v>436</v>
      </c>
      <c r="X40" s="37" t="s">
        <v>616</v>
      </c>
      <c r="Y40" s="37" t="s">
        <v>501</v>
      </c>
      <c r="Z40" s="37" t="s">
        <v>74</v>
      </c>
      <c r="AA40" s="37"/>
      <c r="AB40" s="37"/>
      <c r="AC40" s="25"/>
      <c r="AD40" s="51" t="s">
        <v>77</v>
      </c>
      <c r="AE40" s="37" t="s">
        <v>78</v>
      </c>
      <c r="AF40" s="37" t="s">
        <v>78</v>
      </c>
      <c r="AG40" s="37"/>
      <c r="AH40" s="37"/>
      <c r="AI40" s="37" t="s">
        <v>127</v>
      </c>
      <c r="AJ40" s="37" t="s">
        <v>76</v>
      </c>
      <c r="AK40" s="37"/>
      <c r="AL40" s="146" t="s">
        <v>617</v>
      </c>
      <c r="AM40" s="36" t="s">
        <v>77</v>
      </c>
      <c r="AN40" s="37" t="s">
        <v>141</v>
      </c>
      <c r="AO40" s="37"/>
      <c r="AP40" s="37" t="s">
        <v>618</v>
      </c>
      <c r="AQ40" s="50" t="s">
        <v>619</v>
      </c>
      <c r="AR40" s="37" t="s">
        <v>85</v>
      </c>
      <c r="AS40" s="42" t="s">
        <v>620</v>
      </c>
      <c r="AT40" s="25" t="s">
        <v>87</v>
      </c>
      <c r="AU40" s="45"/>
      <c r="AV40" s="18"/>
      <c r="AW40" s="17"/>
      <c r="AX40" s="17"/>
      <c r="AY40" s="34">
        <v>7140202</v>
      </c>
      <c r="AZ40" s="33">
        <v>80</v>
      </c>
      <c r="BB40" s="17"/>
      <c r="BC40" s="50" t="s">
        <v>2098</v>
      </c>
      <c r="BD40" s="17"/>
      <c r="BM40" s="46"/>
      <c r="BN40" s="46"/>
      <c r="BO40" s="47"/>
    </row>
    <row r="41" spans="2:67" ht="24.95" customHeight="1" x14ac:dyDescent="0.25">
      <c r="B41" s="36">
        <f>SUBTOTAL(103,$M$2:M41)</f>
        <v>40</v>
      </c>
      <c r="C41" s="37" t="s">
        <v>154</v>
      </c>
      <c r="D41" s="33" t="s">
        <v>79</v>
      </c>
      <c r="E41" s="36" t="s">
        <v>3</v>
      </c>
      <c r="F41" s="37" t="s">
        <v>34</v>
      </c>
      <c r="G41" s="33" t="s">
        <v>2675</v>
      </c>
      <c r="H41" s="33" t="s">
        <v>2677</v>
      </c>
      <c r="I41" s="33" t="s">
        <v>2369</v>
      </c>
      <c r="J41" s="33" t="s">
        <v>2377</v>
      </c>
      <c r="K41" s="25" t="s">
        <v>390</v>
      </c>
      <c r="L41" s="25" t="s">
        <v>224</v>
      </c>
      <c r="M41" s="54" t="s">
        <v>2099</v>
      </c>
      <c r="N41" s="37" t="s">
        <v>91</v>
      </c>
      <c r="O41" s="36">
        <v>1</v>
      </c>
      <c r="P41" s="36"/>
      <c r="Q41" s="37" t="s">
        <v>71</v>
      </c>
      <c r="R41" s="33" t="s">
        <v>2642</v>
      </c>
      <c r="S41" s="33" t="s">
        <v>2049</v>
      </c>
      <c r="T41" s="59" t="s">
        <v>11</v>
      </c>
      <c r="U41" s="36">
        <v>2024</v>
      </c>
      <c r="V41" s="37" t="s">
        <v>157</v>
      </c>
      <c r="W41" s="60" t="s">
        <v>577</v>
      </c>
      <c r="X41" s="60" t="s">
        <v>621</v>
      </c>
      <c r="Y41" s="36"/>
      <c r="Z41" s="37"/>
      <c r="AA41" s="37"/>
      <c r="AB41" s="33"/>
      <c r="AC41" s="25"/>
      <c r="AD41" s="51" t="s">
        <v>77</v>
      </c>
      <c r="AE41" s="37"/>
      <c r="AF41" s="37" t="s">
        <v>78</v>
      </c>
      <c r="AG41" s="33"/>
      <c r="AH41" s="80"/>
      <c r="AI41" s="33" t="s">
        <v>622</v>
      </c>
      <c r="AJ41" s="37" t="s">
        <v>76</v>
      </c>
      <c r="AK41" s="25"/>
      <c r="AL41" s="147" t="s">
        <v>623</v>
      </c>
      <c r="AM41" s="36" t="s">
        <v>77</v>
      </c>
      <c r="AN41" s="37" t="s">
        <v>332</v>
      </c>
      <c r="AO41" s="37"/>
      <c r="AP41" s="37" t="s">
        <v>624</v>
      </c>
      <c r="AQ41" s="43" t="s">
        <v>625</v>
      </c>
      <c r="AR41" s="44" t="s">
        <v>85</v>
      </c>
      <c r="AS41" s="42" t="s">
        <v>113</v>
      </c>
      <c r="AT41" s="25" t="s">
        <v>101</v>
      </c>
      <c r="AU41" s="45"/>
      <c r="AV41" s="18"/>
      <c r="AW41" s="17"/>
      <c r="AX41" s="17"/>
      <c r="AY41" s="34">
        <v>7140202</v>
      </c>
      <c r="AZ41" s="33">
        <v>81</v>
      </c>
      <c r="BB41" s="17"/>
      <c r="BC41" s="57" t="s">
        <v>2099</v>
      </c>
      <c r="BD41" s="17"/>
      <c r="BM41" s="46"/>
      <c r="BN41" s="46"/>
      <c r="BO41" s="47"/>
    </row>
    <row r="42" spans="2:67" ht="24.95" customHeight="1" x14ac:dyDescent="0.25">
      <c r="B42" s="36">
        <f>SUBTOTAL(103,$M$2:M42)</f>
        <v>41</v>
      </c>
      <c r="C42" s="37" t="s">
        <v>165</v>
      </c>
      <c r="D42" s="33" t="s">
        <v>79</v>
      </c>
      <c r="E42" s="36" t="s">
        <v>3</v>
      </c>
      <c r="F42" s="36" t="s">
        <v>34</v>
      </c>
      <c r="G42" s="33" t="s">
        <v>2675</v>
      </c>
      <c r="H42" s="33" t="s">
        <v>2677</v>
      </c>
      <c r="I42" s="33" t="s">
        <v>2369</v>
      </c>
      <c r="J42" s="33" t="s">
        <v>2378</v>
      </c>
      <c r="K42" s="84" t="s">
        <v>390</v>
      </c>
      <c r="L42" s="84" t="s">
        <v>224</v>
      </c>
      <c r="M42" s="54" t="s">
        <v>2100</v>
      </c>
      <c r="N42" s="36" t="s">
        <v>91</v>
      </c>
      <c r="O42" s="36">
        <v>1</v>
      </c>
      <c r="P42" s="36">
        <v>1</v>
      </c>
      <c r="Q42" s="36" t="s">
        <v>71</v>
      </c>
      <c r="R42" s="33" t="s">
        <v>2642</v>
      </c>
      <c r="S42" s="33" t="s">
        <v>2049</v>
      </c>
      <c r="T42" s="84" t="s">
        <v>4</v>
      </c>
      <c r="U42" s="36">
        <v>2019</v>
      </c>
      <c r="V42" s="36" t="s">
        <v>74</v>
      </c>
      <c r="W42" s="36" t="s">
        <v>626</v>
      </c>
      <c r="X42" s="36"/>
      <c r="Y42" s="36" t="s">
        <v>330</v>
      </c>
      <c r="Z42" s="37" t="s">
        <v>74</v>
      </c>
      <c r="AA42" s="37"/>
      <c r="AB42" s="36"/>
      <c r="AC42" s="25"/>
      <c r="AD42" s="51" t="s">
        <v>77</v>
      </c>
      <c r="AE42" s="84" t="s">
        <v>78</v>
      </c>
      <c r="AF42" s="36" t="s">
        <v>78</v>
      </c>
      <c r="AG42" s="36"/>
      <c r="AH42" s="85"/>
      <c r="AI42" s="36" t="s">
        <v>149</v>
      </c>
      <c r="AJ42" s="36" t="s">
        <v>76</v>
      </c>
      <c r="AK42" s="84"/>
      <c r="AL42" s="147" t="s">
        <v>627</v>
      </c>
      <c r="AM42" s="36" t="s">
        <v>77</v>
      </c>
      <c r="AN42" s="36" t="s">
        <v>628</v>
      </c>
      <c r="AO42" s="84"/>
      <c r="AP42" s="36" t="s">
        <v>629</v>
      </c>
      <c r="AQ42" s="57" t="s">
        <v>630</v>
      </c>
      <c r="AR42" s="36" t="s">
        <v>85</v>
      </c>
      <c r="AS42" s="64" t="s">
        <v>631</v>
      </c>
      <c r="AT42" s="84" t="s">
        <v>367</v>
      </c>
      <c r="AU42" s="45"/>
      <c r="AV42" s="18"/>
      <c r="AW42" s="17"/>
      <c r="AX42" s="17"/>
      <c r="AY42" s="34">
        <v>7140202</v>
      </c>
      <c r="AZ42" s="33">
        <v>82</v>
      </c>
      <c r="BB42" s="17"/>
      <c r="BC42" s="57" t="s">
        <v>2100</v>
      </c>
      <c r="BD42" s="17"/>
      <c r="BM42" s="46"/>
      <c r="BN42" s="46"/>
      <c r="BO42" s="47"/>
    </row>
    <row r="43" spans="2:67" ht="24.95" customHeight="1" x14ac:dyDescent="0.25">
      <c r="B43" s="36">
        <f>SUBTOTAL(103,$M$2:M43)</f>
        <v>42</v>
      </c>
      <c r="C43" s="37" t="s">
        <v>178</v>
      </c>
      <c r="D43" s="33" t="s">
        <v>79</v>
      </c>
      <c r="E43" s="33" t="s">
        <v>3</v>
      </c>
      <c r="F43" s="33" t="s">
        <v>34</v>
      </c>
      <c r="G43" s="33" t="s">
        <v>2675</v>
      </c>
      <c r="H43" s="33" t="s">
        <v>2677</v>
      </c>
      <c r="I43" s="33" t="s">
        <v>2369</v>
      </c>
      <c r="J43" s="33" t="s">
        <v>2379</v>
      </c>
      <c r="K43" s="25" t="s">
        <v>632</v>
      </c>
      <c r="L43" s="25" t="s">
        <v>633</v>
      </c>
      <c r="M43" s="38" t="s">
        <v>2101</v>
      </c>
      <c r="N43" s="33" t="s">
        <v>91</v>
      </c>
      <c r="O43" s="36">
        <v>1</v>
      </c>
      <c r="P43" s="36"/>
      <c r="Q43" s="33" t="s">
        <v>71</v>
      </c>
      <c r="R43" s="33" t="s">
        <v>2642</v>
      </c>
      <c r="S43" s="33" t="s">
        <v>2049</v>
      </c>
      <c r="T43" s="25" t="s">
        <v>4</v>
      </c>
      <c r="U43" s="33">
        <v>2025</v>
      </c>
      <c r="V43" s="33" t="s">
        <v>157</v>
      </c>
      <c r="W43" s="33" t="s">
        <v>634</v>
      </c>
      <c r="X43" s="33"/>
      <c r="Y43" s="33" t="s">
        <v>466</v>
      </c>
      <c r="Z43" s="33" t="s">
        <v>74</v>
      </c>
      <c r="AA43" s="33"/>
      <c r="AB43" s="33"/>
      <c r="AC43" s="25"/>
      <c r="AD43" s="51" t="s">
        <v>77</v>
      </c>
      <c r="AE43" s="25" t="s">
        <v>78</v>
      </c>
      <c r="AF43" s="36" t="s">
        <v>78</v>
      </c>
      <c r="AG43" s="25"/>
      <c r="AH43" s="25"/>
      <c r="AI43" s="33" t="s">
        <v>635</v>
      </c>
      <c r="AJ43" s="36" t="s">
        <v>76</v>
      </c>
      <c r="AK43" s="25"/>
      <c r="AL43" s="78" t="s">
        <v>636</v>
      </c>
      <c r="AM43" s="36" t="s">
        <v>77</v>
      </c>
      <c r="AN43" s="33" t="s">
        <v>332</v>
      </c>
      <c r="AO43" s="25"/>
      <c r="AP43" s="33" t="s">
        <v>395</v>
      </c>
      <c r="AQ43" s="43" t="s">
        <v>637</v>
      </c>
      <c r="AR43" s="33" t="s">
        <v>85</v>
      </c>
      <c r="AS43" s="42"/>
      <c r="AT43" s="25" t="s">
        <v>472</v>
      </c>
      <c r="AU43" s="45"/>
      <c r="AV43" s="18"/>
      <c r="AW43" s="17"/>
      <c r="AX43" s="17"/>
      <c r="AY43" s="34">
        <v>7140202</v>
      </c>
      <c r="AZ43" s="33">
        <v>83</v>
      </c>
      <c r="BB43" s="17"/>
      <c r="BC43" s="43" t="s">
        <v>2101</v>
      </c>
      <c r="BD43" s="17"/>
      <c r="BM43" s="46"/>
      <c r="BN43" s="46"/>
      <c r="BO43" s="47"/>
    </row>
    <row r="44" spans="2:67" ht="24.95" customHeight="1" x14ac:dyDescent="0.25">
      <c r="B44" s="36">
        <f>SUBTOTAL(103,$M$2:M44)</f>
        <v>43</v>
      </c>
      <c r="C44" s="37" t="s">
        <v>189</v>
      </c>
      <c r="D44" s="33" t="s">
        <v>79</v>
      </c>
      <c r="E44" s="33" t="s">
        <v>3</v>
      </c>
      <c r="F44" s="33" t="s">
        <v>34</v>
      </c>
      <c r="G44" s="33" t="s">
        <v>2675</v>
      </c>
      <c r="H44" s="33" t="s">
        <v>2677</v>
      </c>
      <c r="I44" s="33" t="s">
        <v>2369</v>
      </c>
      <c r="J44" s="33" t="s">
        <v>2380</v>
      </c>
      <c r="K44" s="25" t="s">
        <v>103</v>
      </c>
      <c r="L44" s="25" t="s">
        <v>638</v>
      </c>
      <c r="M44" s="38" t="s">
        <v>2102</v>
      </c>
      <c r="N44" s="33" t="s">
        <v>91</v>
      </c>
      <c r="O44" s="36">
        <v>1</v>
      </c>
      <c r="P44" s="36">
        <v>1</v>
      </c>
      <c r="Q44" s="33" t="s">
        <v>71</v>
      </c>
      <c r="R44" s="33" t="s">
        <v>2642</v>
      </c>
      <c r="S44" s="33" t="s">
        <v>2049</v>
      </c>
      <c r="T44" s="25" t="s">
        <v>7</v>
      </c>
      <c r="U44" s="33">
        <v>2015</v>
      </c>
      <c r="V44" s="33" t="s">
        <v>639</v>
      </c>
      <c r="W44" s="33" t="s">
        <v>137</v>
      </c>
      <c r="X44" s="33"/>
      <c r="Y44" s="33" t="s">
        <v>304</v>
      </c>
      <c r="Z44" s="33" t="s">
        <v>74</v>
      </c>
      <c r="AA44" s="33"/>
      <c r="AB44" s="33"/>
      <c r="AC44" s="25"/>
      <c r="AD44" s="51" t="s">
        <v>77</v>
      </c>
      <c r="AE44" s="25" t="s">
        <v>78</v>
      </c>
      <c r="AF44" s="25" t="s">
        <v>78</v>
      </c>
      <c r="AG44" s="25"/>
      <c r="AH44" s="25">
        <v>3</v>
      </c>
      <c r="AI44" s="33" t="s">
        <v>149</v>
      </c>
      <c r="AJ44" s="33" t="s">
        <v>76</v>
      </c>
      <c r="AK44" s="25"/>
      <c r="AL44" s="78" t="s">
        <v>640</v>
      </c>
      <c r="AM44" s="36" t="s">
        <v>77</v>
      </c>
      <c r="AN44" s="33" t="s">
        <v>641</v>
      </c>
      <c r="AO44" s="25"/>
      <c r="AP44" s="33" t="s">
        <v>642</v>
      </c>
      <c r="AQ44" s="43" t="s">
        <v>643</v>
      </c>
      <c r="AR44" s="33" t="s">
        <v>85</v>
      </c>
      <c r="AS44" s="42"/>
      <c r="AT44" s="86" t="s">
        <v>644</v>
      </c>
      <c r="AU44" s="18"/>
      <c r="AV44" s="18"/>
      <c r="AX44" s="17"/>
      <c r="AY44" s="34">
        <v>7140202</v>
      </c>
      <c r="AZ44" s="33">
        <v>84</v>
      </c>
      <c r="BC44" s="43" t="s">
        <v>2102</v>
      </c>
    </row>
    <row r="45" spans="2:67" ht="24.95" customHeight="1" x14ac:dyDescent="0.25">
      <c r="B45" s="36">
        <f>SUBTOTAL(103,$M$2:M45)</f>
        <v>44</v>
      </c>
      <c r="C45" s="37" t="s">
        <v>199</v>
      </c>
      <c r="D45" s="33" t="s">
        <v>79</v>
      </c>
      <c r="E45" s="33" t="s">
        <v>3</v>
      </c>
      <c r="F45" s="33" t="s">
        <v>34</v>
      </c>
      <c r="G45" s="33" t="s">
        <v>2675</v>
      </c>
      <c r="H45" s="33" t="s">
        <v>2677</v>
      </c>
      <c r="I45" s="33" t="s">
        <v>2369</v>
      </c>
      <c r="J45" s="33" t="s">
        <v>2381</v>
      </c>
      <c r="K45" s="25" t="s">
        <v>645</v>
      </c>
      <c r="L45" s="25" t="s">
        <v>646</v>
      </c>
      <c r="M45" s="38" t="s">
        <v>2096</v>
      </c>
      <c r="N45" s="33" t="s">
        <v>91</v>
      </c>
      <c r="O45" s="36">
        <v>1</v>
      </c>
      <c r="P45" s="36"/>
      <c r="Q45" s="33" t="s">
        <v>71</v>
      </c>
      <c r="R45" s="33" t="s">
        <v>2642</v>
      </c>
      <c r="S45" s="33" t="s">
        <v>2049</v>
      </c>
      <c r="T45" s="25" t="s">
        <v>647</v>
      </c>
      <c r="U45" s="33">
        <v>2025</v>
      </c>
      <c r="V45" s="36" t="s">
        <v>157</v>
      </c>
      <c r="W45" s="33" t="s">
        <v>475</v>
      </c>
      <c r="X45" s="33"/>
      <c r="Y45" s="33" t="s">
        <v>501</v>
      </c>
      <c r="Z45" s="37" t="s">
        <v>74</v>
      </c>
      <c r="AA45" s="37"/>
      <c r="AB45" s="33"/>
      <c r="AC45" s="25"/>
      <c r="AD45" s="51" t="s">
        <v>77</v>
      </c>
      <c r="AE45" s="25" t="s">
        <v>78</v>
      </c>
      <c r="AF45" s="25" t="s">
        <v>78</v>
      </c>
      <c r="AG45" s="25"/>
      <c r="AH45" s="80"/>
      <c r="AI45" s="33" t="s">
        <v>648</v>
      </c>
      <c r="AJ45" s="33" t="s">
        <v>76</v>
      </c>
      <c r="AK45" s="25"/>
      <c r="AL45" s="78" t="s">
        <v>649</v>
      </c>
      <c r="AM45" s="36" t="s">
        <v>77</v>
      </c>
      <c r="AN45" s="33" t="s">
        <v>354</v>
      </c>
      <c r="AO45" s="25"/>
      <c r="AP45" s="33" t="s">
        <v>650</v>
      </c>
      <c r="AQ45" s="43" t="s">
        <v>651</v>
      </c>
      <c r="AR45" s="33" t="s">
        <v>85</v>
      </c>
      <c r="AS45" s="20"/>
      <c r="AT45" s="25" t="s">
        <v>145</v>
      </c>
      <c r="AU45" s="45"/>
      <c r="AV45" s="18"/>
      <c r="AW45" s="17"/>
      <c r="AX45" s="17"/>
      <c r="AY45" s="34">
        <v>7140202</v>
      </c>
      <c r="AZ45" s="33">
        <v>85</v>
      </c>
      <c r="BB45" s="17"/>
      <c r="BC45" s="43" t="s">
        <v>2096</v>
      </c>
      <c r="BD45" s="17"/>
      <c r="BM45" s="46"/>
      <c r="BN45" s="46"/>
      <c r="BO45" s="47"/>
    </row>
    <row r="46" spans="2:67" ht="24.95" customHeight="1" x14ac:dyDescent="0.25">
      <c r="B46" s="36">
        <f>SUBTOTAL(103,$M$2:M46)</f>
        <v>45</v>
      </c>
      <c r="C46" s="37" t="s">
        <v>310</v>
      </c>
      <c r="D46" s="33" t="s">
        <v>79</v>
      </c>
      <c r="E46" s="36" t="s">
        <v>3</v>
      </c>
      <c r="F46" s="33" t="s">
        <v>34</v>
      </c>
      <c r="G46" s="33" t="s">
        <v>2675</v>
      </c>
      <c r="H46" s="33" t="s">
        <v>2677</v>
      </c>
      <c r="I46" s="33" t="s">
        <v>2369</v>
      </c>
      <c r="J46" s="33" t="s">
        <v>2382</v>
      </c>
      <c r="K46" s="25" t="s">
        <v>652</v>
      </c>
      <c r="L46" s="25" t="s">
        <v>653</v>
      </c>
      <c r="M46" s="38" t="s">
        <v>2103</v>
      </c>
      <c r="N46" s="33" t="s">
        <v>91</v>
      </c>
      <c r="O46" s="36">
        <v>1</v>
      </c>
      <c r="P46" s="36"/>
      <c r="Q46" s="36" t="s">
        <v>71</v>
      </c>
      <c r="R46" s="33" t="s">
        <v>2642</v>
      </c>
      <c r="S46" s="33" t="s">
        <v>2049</v>
      </c>
      <c r="T46" s="25" t="s">
        <v>4</v>
      </c>
      <c r="U46" s="33">
        <v>2021</v>
      </c>
      <c r="V46" s="33" t="s">
        <v>157</v>
      </c>
      <c r="W46" s="33" t="s">
        <v>654</v>
      </c>
      <c r="X46" s="33" t="s">
        <v>655</v>
      </c>
      <c r="Y46" s="33"/>
      <c r="Z46" s="37"/>
      <c r="AA46" s="37"/>
      <c r="AB46" s="33"/>
      <c r="AC46" s="25"/>
      <c r="AD46" s="51" t="s">
        <v>77</v>
      </c>
      <c r="AE46" s="25" t="s">
        <v>78</v>
      </c>
      <c r="AF46" s="33"/>
      <c r="AG46" s="25"/>
      <c r="AH46" s="80"/>
      <c r="AI46" s="37" t="s">
        <v>149</v>
      </c>
      <c r="AJ46" s="33" t="s">
        <v>76</v>
      </c>
      <c r="AK46" s="25"/>
      <c r="AL46" s="78" t="s">
        <v>656</v>
      </c>
      <c r="AM46" s="36" t="s">
        <v>77</v>
      </c>
      <c r="AN46" s="37" t="s">
        <v>332</v>
      </c>
      <c r="AO46" s="37"/>
      <c r="AP46" s="33" t="s">
        <v>657</v>
      </c>
      <c r="AQ46" s="43" t="s">
        <v>658</v>
      </c>
      <c r="AR46" s="33" t="s">
        <v>85</v>
      </c>
      <c r="AS46" s="64" t="s">
        <v>659</v>
      </c>
      <c r="AT46" s="74" t="s">
        <v>660</v>
      </c>
      <c r="AU46" s="45"/>
      <c r="AV46" s="18"/>
      <c r="AW46" s="17"/>
      <c r="AX46" s="17"/>
      <c r="AY46" s="34">
        <v>7140202</v>
      </c>
      <c r="AZ46" s="33">
        <v>86</v>
      </c>
      <c r="BB46" s="17"/>
      <c r="BC46" s="43" t="s">
        <v>2103</v>
      </c>
      <c r="BD46" s="17"/>
      <c r="BM46" s="46"/>
      <c r="BN46" s="46"/>
      <c r="BO46" s="47"/>
    </row>
    <row r="47" spans="2:67" ht="24.95" customHeight="1" x14ac:dyDescent="0.25">
      <c r="B47" s="36">
        <f>SUBTOTAL(103,$M$2:M47)</f>
        <v>46</v>
      </c>
      <c r="C47" s="37" t="s">
        <v>317</v>
      </c>
      <c r="D47" s="33" t="s">
        <v>79</v>
      </c>
      <c r="E47" s="36" t="s">
        <v>3</v>
      </c>
      <c r="F47" s="33" t="s">
        <v>34</v>
      </c>
      <c r="G47" s="33" t="s">
        <v>2675</v>
      </c>
      <c r="H47" s="33" t="s">
        <v>2677</v>
      </c>
      <c r="I47" s="33" t="s">
        <v>2369</v>
      </c>
      <c r="J47" s="33" t="s">
        <v>2383</v>
      </c>
      <c r="K47" s="25" t="s">
        <v>661</v>
      </c>
      <c r="L47" s="25" t="s">
        <v>662</v>
      </c>
      <c r="M47" s="38" t="s">
        <v>2104</v>
      </c>
      <c r="N47" s="36" t="s">
        <v>91</v>
      </c>
      <c r="O47" s="36">
        <v>1</v>
      </c>
      <c r="P47" s="36">
        <v>1</v>
      </c>
      <c r="Q47" s="36" t="s">
        <v>71</v>
      </c>
      <c r="R47" s="33" t="s">
        <v>2642</v>
      </c>
      <c r="S47" s="33" t="s">
        <v>2049</v>
      </c>
      <c r="T47" s="25" t="s">
        <v>9</v>
      </c>
      <c r="U47" s="33">
        <v>2013</v>
      </c>
      <c r="V47" s="36" t="s">
        <v>157</v>
      </c>
      <c r="W47" s="33" t="s">
        <v>663</v>
      </c>
      <c r="X47" s="33" t="s">
        <v>664</v>
      </c>
      <c r="Y47" s="33" t="s">
        <v>203</v>
      </c>
      <c r="Z47" s="37" t="s">
        <v>74</v>
      </c>
      <c r="AA47" s="37"/>
      <c r="AB47" s="33"/>
      <c r="AC47" s="25"/>
      <c r="AD47" s="51" t="s">
        <v>77</v>
      </c>
      <c r="AE47" s="33" t="s">
        <v>78</v>
      </c>
      <c r="AF47" s="33" t="s">
        <v>78</v>
      </c>
      <c r="AG47" s="25"/>
      <c r="AH47" s="80"/>
      <c r="AI47" s="37" t="s">
        <v>149</v>
      </c>
      <c r="AJ47" s="33" t="s">
        <v>76</v>
      </c>
      <c r="AK47" s="25"/>
      <c r="AL47" s="78" t="s">
        <v>665</v>
      </c>
      <c r="AM47" s="36" t="s">
        <v>77</v>
      </c>
      <c r="AN47" s="37" t="s">
        <v>354</v>
      </c>
      <c r="AO47" s="37"/>
      <c r="AP47" s="37" t="s">
        <v>666</v>
      </c>
      <c r="AQ47" s="43" t="s">
        <v>667</v>
      </c>
      <c r="AR47" s="33" t="s">
        <v>85</v>
      </c>
      <c r="AS47" s="42"/>
      <c r="AT47" s="25" t="s">
        <v>389</v>
      </c>
      <c r="AU47" s="45"/>
      <c r="AV47" s="18"/>
      <c r="AW47" s="17"/>
      <c r="AX47" s="17"/>
      <c r="AY47" s="34">
        <v>7140202</v>
      </c>
      <c r="AZ47" s="33">
        <v>87</v>
      </c>
      <c r="BB47" s="17"/>
      <c r="BC47" s="43" t="s">
        <v>2104</v>
      </c>
      <c r="BD47" s="17"/>
      <c r="BM47" s="46"/>
      <c r="BN47" s="46"/>
      <c r="BO47" s="47"/>
    </row>
    <row r="48" spans="2:67" ht="24.95" customHeight="1" x14ac:dyDescent="0.25">
      <c r="B48" s="36">
        <f>SUBTOTAL(103,$M$2:M48)</f>
        <v>47</v>
      </c>
      <c r="C48" s="37" t="s">
        <v>326</v>
      </c>
      <c r="D48" s="33" t="s">
        <v>79</v>
      </c>
      <c r="E48" s="33" t="s">
        <v>3</v>
      </c>
      <c r="F48" s="33" t="s">
        <v>34</v>
      </c>
      <c r="G48" s="33" t="s">
        <v>2675</v>
      </c>
      <c r="H48" s="33" t="s">
        <v>2677</v>
      </c>
      <c r="I48" s="33" t="s">
        <v>2369</v>
      </c>
      <c r="J48" s="33" t="s">
        <v>2384</v>
      </c>
      <c r="K48" s="25" t="s">
        <v>103</v>
      </c>
      <c r="L48" s="25" t="s">
        <v>668</v>
      </c>
      <c r="M48" s="38" t="s">
        <v>2105</v>
      </c>
      <c r="N48" s="33" t="s">
        <v>70</v>
      </c>
      <c r="O48" s="33">
        <v>0</v>
      </c>
      <c r="P48" s="33">
        <v>1</v>
      </c>
      <c r="Q48" s="33" t="s">
        <v>71</v>
      </c>
      <c r="R48" s="33" t="s">
        <v>2642</v>
      </c>
      <c r="S48" s="33" t="s">
        <v>2049</v>
      </c>
      <c r="T48" s="25" t="s">
        <v>669</v>
      </c>
      <c r="U48" s="33">
        <v>2022</v>
      </c>
      <c r="V48" s="33" t="s">
        <v>169</v>
      </c>
      <c r="W48" s="33" t="s">
        <v>670</v>
      </c>
      <c r="X48" s="33"/>
      <c r="Y48" s="33" t="s">
        <v>107</v>
      </c>
      <c r="Z48" s="33" t="s">
        <v>74</v>
      </c>
      <c r="AA48" s="33"/>
      <c r="AB48" s="33"/>
      <c r="AC48" s="25"/>
      <c r="AD48" s="51" t="s">
        <v>77</v>
      </c>
      <c r="AE48" s="25" t="s">
        <v>78</v>
      </c>
      <c r="AF48" s="25"/>
      <c r="AG48" s="25"/>
      <c r="AH48" s="25"/>
      <c r="AI48" s="33" t="s">
        <v>149</v>
      </c>
      <c r="AJ48" s="33" t="s">
        <v>76</v>
      </c>
      <c r="AK48" s="25"/>
      <c r="AL48" s="78" t="s">
        <v>671</v>
      </c>
      <c r="AM48" s="36" t="s">
        <v>77</v>
      </c>
      <c r="AN48" s="33" t="s">
        <v>141</v>
      </c>
      <c r="AO48" s="25"/>
      <c r="AP48" s="33" t="s">
        <v>672</v>
      </c>
      <c r="AQ48" s="43" t="s">
        <v>673</v>
      </c>
      <c r="AR48" s="33" t="s">
        <v>85</v>
      </c>
      <c r="AS48" s="42" t="s">
        <v>674</v>
      </c>
      <c r="AT48" s="86" t="s">
        <v>325</v>
      </c>
      <c r="AU48" s="18"/>
      <c r="AV48" s="18"/>
      <c r="AX48" s="17"/>
      <c r="AY48" s="34">
        <v>7140202</v>
      </c>
      <c r="AZ48" s="33">
        <v>88</v>
      </c>
      <c r="BC48" s="43" t="s">
        <v>2105</v>
      </c>
    </row>
    <row r="49" spans="2:67" ht="24.95" customHeight="1" x14ac:dyDescent="0.25">
      <c r="B49" s="36">
        <f>SUBTOTAL(103,$M$2:M49)</f>
        <v>48</v>
      </c>
      <c r="C49" s="37" t="s">
        <v>334</v>
      </c>
      <c r="D49" s="33" t="s">
        <v>79</v>
      </c>
      <c r="E49" s="33" t="s">
        <v>3</v>
      </c>
      <c r="F49" s="33" t="s">
        <v>34</v>
      </c>
      <c r="G49" s="33" t="s">
        <v>2675</v>
      </c>
      <c r="H49" s="33" t="s">
        <v>2677</v>
      </c>
      <c r="I49" s="33" t="s">
        <v>2369</v>
      </c>
      <c r="J49" s="33" t="s">
        <v>2385</v>
      </c>
      <c r="K49" s="25" t="s">
        <v>675</v>
      </c>
      <c r="L49" s="25" t="s">
        <v>676</v>
      </c>
      <c r="M49" s="38" t="s">
        <v>2106</v>
      </c>
      <c r="N49" s="33" t="s">
        <v>91</v>
      </c>
      <c r="O49" s="36">
        <v>1</v>
      </c>
      <c r="P49" s="36">
        <v>1</v>
      </c>
      <c r="Q49" s="33" t="s">
        <v>71</v>
      </c>
      <c r="R49" s="33" t="s">
        <v>2642</v>
      </c>
      <c r="S49" s="33" t="s">
        <v>2049</v>
      </c>
      <c r="T49" s="25" t="s">
        <v>9</v>
      </c>
      <c r="U49" s="33">
        <v>2015</v>
      </c>
      <c r="V49" s="33" t="s">
        <v>157</v>
      </c>
      <c r="W49" s="33" t="s">
        <v>428</v>
      </c>
      <c r="X49" s="33" t="s">
        <v>677</v>
      </c>
      <c r="Y49" s="33"/>
      <c r="Z49" s="33"/>
      <c r="AA49" s="33"/>
      <c r="AB49" s="33"/>
      <c r="AC49" s="25"/>
      <c r="AD49" s="51" t="s">
        <v>77</v>
      </c>
      <c r="AE49" s="25" t="s">
        <v>78</v>
      </c>
      <c r="AF49" s="25"/>
      <c r="AG49" s="25"/>
      <c r="AH49" s="25"/>
      <c r="AI49" s="33" t="s">
        <v>678</v>
      </c>
      <c r="AJ49" s="33" t="s">
        <v>76</v>
      </c>
      <c r="AK49" s="25"/>
      <c r="AL49" s="78" t="s">
        <v>679</v>
      </c>
      <c r="AM49" s="36" t="s">
        <v>571</v>
      </c>
      <c r="AN49" s="33" t="s">
        <v>680</v>
      </c>
      <c r="AO49" s="25"/>
      <c r="AP49" s="33" t="s">
        <v>681</v>
      </c>
      <c r="AQ49" s="43" t="s">
        <v>682</v>
      </c>
      <c r="AR49" s="33" t="s">
        <v>85</v>
      </c>
      <c r="AS49" s="42" t="s">
        <v>683</v>
      </c>
      <c r="AT49" s="25" t="s">
        <v>188</v>
      </c>
      <c r="AU49" s="45"/>
      <c r="AV49" s="18"/>
      <c r="AW49" s="17"/>
      <c r="AX49" s="17"/>
      <c r="AY49" s="34">
        <v>7140202</v>
      </c>
      <c r="AZ49" s="33">
        <v>89</v>
      </c>
      <c r="BB49" s="17"/>
      <c r="BC49" s="43" t="s">
        <v>2106</v>
      </c>
      <c r="BD49" s="17"/>
      <c r="BM49" s="46"/>
      <c r="BN49" s="46"/>
      <c r="BO49" s="47"/>
    </row>
    <row r="50" spans="2:67" ht="24.95" customHeight="1" x14ac:dyDescent="0.25">
      <c r="B50" s="36">
        <f>SUBTOTAL(103,$M$2:M50)</f>
        <v>49</v>
      </c>
      <c r="C50" s="37" t="s">
        <v>461</v>
      </c>
      <c r="D50" s="33" t="s">
        <v>79</v>
      </c>
      <c r="E50" s="36" t="s">
        <v>3</v>
      </c>
      <c r="F50" s="37" t="s">
        <v>34</v>
      </c>
      <c r="G50" s="33" t="s">
        <v>2675</v>
      </c>
      <c r="H50" s="33" t="s">
        <v>2677</v>
      </c>
      <c r="I50" s="33" t="s">
        <v>2369</v>
      </c>
      <c r="J50" s="33" t="s">
        <v>2386</v>
      </c>
      <c r="K50" s="48" t="s">
        <v>684</v>
      </c>
      <c r="L50" s="49" t="s">
        <v>685</v>
      </c>
      <c r="M50" s="50" t="s">
        <v>2107</v>
      </c>
      <c r="N50" s="37" t="s">
        <v>91</v>
      </c>
      <c r="O50" s="36">
        <v>1</v>
      </c>
      <c r="P50" s="36"/>
      <c r="Q50" s="37" t="s">
        <v>71</v>
      </c>
      <c r="R50" s="33" t="s">
        <v>2642</v>
      </c>
      <c r="S50" s="33" t="s">
        <v>2049</v>
      </c>
      <c r="T50" s="48" t="s">
        <v>7</v>
      </c>
      <c r="U50" s="37" t="s">
        <v>263</v>
      </c>
      <c r="V50" s="37" t="s">
        <v>157</v>
      </c>
      <c r="W50" s="37" t="s">
        <v>584</v>
      </c>
      <c r="X50" s="37" t="s">
        <v>686</v>
      </c>
      <c r="Y50" s="37" t="s">
        <v>687</v>
      </c>
      <c r="Z50" s="37" t="s">
        <v>157</v>
      </c>
      <c r="AA50" s="37" t="s">
        <v>610</v>
      </c>
      <c r="AB50" s="37" t="s">
        <v>688</v>
      </c>
      <c r="AC50" s="25"/>
      <c r="AD50" s="51" t="s">
        <v>77</v>
      </c>
      <c r="AE50" s="37" t="s">
        <v>78</v>
      </c>
      <c r="AF50" s="37" t="s">
        <v>78</v>
      </c>
      <c r="AG50" s="37"/>
      <c r="AH50" s="37"/>
      <c r="AI50" s="37" t="s">
        <v>149</v>
      </c>
      <c r="AJ50" s="37" t="s">
        <v>76</v>
      </c>
      <c r="AK50" s="37"/>
      <c r="AL50" s="148" t="s">
        <v>689</v>
      </c>
      <c r="AM50" s="36" t="s">
        <v>77</v>
      </c>
      <c r="AN50" s="41" t="s">
        <v>468</v>
      </c>
      <c r="AO50" s="56"/>
      <c r="AP50" s="56" t="s">
        <v>690</v>
      </c>
      <c r="AQ50" s="81" t="s">
        <v>691</v>
      </c>
      <c r="AR50" s="37" t="s">
        <v>550</v>
      </c>
      <c r="AS50" s="42"/>
      <c r="AT50" s="25" t="s">
        <v>87</v>
      </c>
      <c r="AU50" s="45"/>
      <c r="AV50" s="18"/>
      <c r="AW50" s="17"/>
      <c r="AX50" s="17"/>
      <c r="AY50" s="34">
        <v>7140202</v>
      </c>
      <c r="AZ50" s="33">
        <v>90</v>
      </c>
      <c r="BB50" s="17"/>
      <c r="BC50" s="50" t="s">
        <v>2107</v>
      </c>
      <c r="BD50" s="17"/>
      <c r="BM50" s="46"/>
      <c r="BN50" s="46"/>
      <c r="BO50" s="47"/>
    </row>
    <row r="51" spans="2:67" ht="24.95" customHeight="1" x14ac:dyDescent="0.25">
      <c r="B51" s="36">
        <f>SUBTOTAL(103,$M$2:M51)</f>
        <v>50</v>
      </c>
      <c r="C51" s="37" t="s">
        <v>473</v>
      </c>
      <c r="D51" s="33" t="s">
        <v>79</v>
      </c>
      <c r="E51" s="36" t="s">
        <v>3</v>
      </c>
      <c r="F51" s="37" t="s">
        <v>34</v>
      </c>
      <c r="G51" s="33" t="s">
        <v>2675</v>
      </c>
      <c r="H51" s="33" t="s">
        <v>2677</v>
      </c>
      <c r="I51" s="33" t="s">
        <v>2369</v>
      </c>
      <c r="J51" s="33" t="s">
        <v>2387</v>
      </c>
      <c r="K51" s="48" t="s">
        <v>103</v>
      </c>
      <c r="L51" s="49" t="s">
        <v>692</v>
      </c>
      <c r="M51" s="50" t="s">
        <v>2108</v>
      </c>
      <c r="N51" s="37" t="s">
        <v>91</v>
      </c>
      <c r="O51" s="36">
        <v>1</v>
      </c>
      <c r="P51" s="36"/>
      <c r="Q51" s="37" t="s">
        <v>71</v>
      </c>
      <c r="R51" s="33" t="s">
        <v>2642</v>
      </c>
      <c r="S51" s="33" t="s">
        <v>2049</v>
      </c>
      <c r="T51" s="48" t="s">
        <v>7</v>
      </c>
      <c r="U51" s="37" t="s">
        <v>291</v>
      </c>
      <c r="V51" s="37" t="s">
        <v>74</v>
      </c>
      <c r="W51" s="37" t="s">
        <v>693</v>
      </c>
      <c r="X51" s="37" t="s">
        <v>694</v>
      </c>
      <c r="Y51" s="37" t="s">
        <v>695</v>
      </c>
      <c r="Z51" s="37" t="s">
        <v>157</v>
      </c>
      <c r="AA51" s="37" t="s">
        <v>602</v>
      </c>
      <c r="AB51" s="37" t="s">
        <v>696</v>
      </c>
      <c r="AC51" s="25"/>
      <c r="AD51" s="51" t="s">
        <v>77</v>
      </c>
      <c r="AE51" s="37" t="s">
        <v>78</v>
      </c>
      <c r="AF51" s="37" t="s">
        <v>78</v>
      </c>
      <c r="AG51" s="37" t="s">
        <v>102</v>
      </c>
      <c r="AH51" s="37"/>
      <c r="AI51" s="37" t="s">
        <v>149</v>
      </c>
      <c r="AJ51" s="37" t="s">
        <v>76</v>
      </c>
      <c r="AK51" s="37"/>
      <c r="AL51" s="148" t="s">
        <v>697</v>
      </c>
      <c r="AM51" s="36" t="s">
        <v>77</v>
      </c>
      <c r="AN51" s="37" t="s">
        <v>162</v>
      </c>
      <c r="AO51" s="37"/>
      <c r="AP51" s="37" t="s">
        <v>698</v>
      </c>
      <c r="AQ51" s="87" t="s">
        <v>699</v>
      </c>
      <c r="AR51" s="88" t="s">
        <v>85</v>
      </c>
      <c r="AS51" s="42"/>
      <c r="AT51" s="25" t="s">
        <v>87</v>
      </c>
      <c r="AU51" s="45"/>
      <c r="AV51" s="18"/>
      <c r="AW51" s="17"/>
      <c r="AX51" s="17"/>
      <c r="AY51" s="34">
        <v>7140202</v>
      </c>
      <c r="AZ51" s="33">
        <v>91</v>
      </c>
      <c r="BB51" s="17"/>
      <c r="BC51" s="50" t="s">
        <v>2108</v>
      </c>
      <c r="BD51" s="17"/>
      <c r="BM51" s="46"/>
      <c r="BN51" s="46"/>
      <c r="BO51" s="47"/>
    </row>
    <row r="52" spans="2:67" ht="24.95" customHeight="1" x14ac:dyDescent="0.25">
      <c r="B52" s="36">
        <f>SUBTOTAL(103,$M$2:M52)</f>
        <v>51</v>
      </c>
      <c r="C52" s="33"/>
      <c r="D52" s="36" t="s">
        <v>79</v>
      </c>
      <c r="E52" s="36" t="s">
        <v>3</v>
      </c>
      <c r="F52" s="36" t="s">
        <v>34</v>
      </c>
      <c r="G52" s="36" t="s">
        <v>2675</v>
      </c>
      <c r="H52" s="36" t="s">
        <v>2677</v>
      </c>
      <c r="I52" s="36" t="s">
        <v>2369</v>
      </c>
      <c r="J52" s="36" t="s">
        <v>2962</v>
      </c>
      <c r="K52" s="84" t="s">
        <v>989</v>
      </c>
      <c r="L52" s="84" t="s">
        <v>2902</v>
      </c>
      <c r="M52" s="54" t="s">
        <v>2910</v>
      </c>
      <c r="N52" s="36" t="s">
        <v>91</v>
      </c>
      <c r="O52" s="36">
        <v>1</v>
      </c>
      <c r="P52" s="36"/>
      <c r="Q52" s="36" t="s">
        <v>71</v>
      </c>
      <c r="R52" s="36" t="s">
        <v>2642</v>
      </c>
      <c r="S52" s="71" t="s">
        <v>2960</v>
      </c>
      <c r="T52" s="36" t="s">
        <v>4</v>
      </c>
      <c r="U52" s="36">
        <v>2025</v>
      </c>
      <c r="V52" s="36" t="s">
        <v>157</v>
      </c>
      <c r="W52" s="36" t="s">
        <v>1465</v>
      </c>
      <c r="X52" s="36"/>
      <c r="Y52" s="36" t="s">
        <v>204</v>
      </c>
      <c r="Z52" s="36" t="s">
        <v>169</v>
      </c>
      <c r="AA52" s="36"/>
      <c r="AB52" s="36"/>
      <c r="AC52" s="25"/>
      <c r="AD52" s="36" t="s">
        <v>77</v>
      </c>
      <c r="AE52" s="84" t="s">
        <v>78</v>
      </c>
      <c r="AF52" s="84"/>
      <c r="AG52" s="84"/>
      <c r="AH52" s="84"/>
      <c r="AI52" s="36" t="s">
        <v>2937</v>
      </c>
      <c r="AJ52" s="36" t="s">
        <v>76</v>
      </c>
      <c r="AK52" s="64"/>
      <c r="AL52" s="57" t="s">
        <v>2938</v>
      </c>
      <c r="AM52" s="36" t="s">
        <v>77</v>
      </c>
      <c r="AN52" s="84" t="s">
        <v>2939</v>
      </c>
      <c r="AO52" s="33"/>
      <c r="AP52" s="36" t="s">
        <v>2940</v>
      </c>
      <c r="AQ52" s="57" t="s">
        <v>2941</v>
      </c>
    </row>
    <row r="53" spans="2:67" ht="24.95" customHeight="1" x14ac:dyDescent="0.25">
      <c r="B53" s="36">
        <f>SUBTOTAL(103,$M$2:M53)</f>
        <v>52</v>
      </c>
      <c r="C53" s="33"/>
      <c r="D53" s="36" t="s">
        <v>79</v>
      </c>
      <c r="E53" s="36" t="s">
        <v>3</v>
      </c>
      <c r="F53" s="36" t="s">
        <v>34</v>
      </c>
      <c r="G53" s="36" t="s">
        <v>2675</v>
      </c>
      <c r="H53" s="36" t="s">
        <v>2677</v>
      </c>
      <c r="I53" s="36" t="s">
        <v>2369</v>
      </c>
      <c r="J53" s="36" t="s">
        <v>2963</v>
      </c>
      <c r="K53" s="84" t="s">
        <v>338</v>
      </c>
      <c r="L53" s="84" t="s">
        <v>2911</v>
      </c>
      <c r="M53" s="54" t="s">
        <v>2912</v>
      </c>
      <c r="N53" s="36" t="s">
        <v>91</v>
      </c>
      <c r="O53" s="36">
        <v>1</v>
      </c>
      <c r="P53" s="36"/>
      <c r="Q53" s="36" t="s">
        <v>71</v>
      </c>
      <c r="R53" s="36" t="s">
        <v>2642</v>
      </c>
      <c r="S53" s="71" t="s">
        <v>2049</v>
      </c>
      <c r="T53" s="36" t="s">
        <v>4</v>
      </c>
      <c r="U53" s="36">
        <v>2025</v>
      </c>
      <c r="V53" s="36" t="s">
        <v>157</v>
      </c>
      <c r="W53" s="36" t="s">
        <v>1465</v>
      </c>
      <c r="X53" s="36"/>
      <c r="Y53" s="36" t="s">
        <v>928</v>
      </c>
      <c r="Z53" s="36" t="s">
        <v>169</v>
      </c>
      <c r="AA53" s="36"/>
      <c r="AB53" s="36"/>
      <c r="AC53" s="25"/>
      <c r="AD53" s="36" t="s">
        <v>77</v>
      </c>
      <c r="AE53" s="84" t="s">
        <v>78</v>
      </c>
      <c r="AF53" s="84"/>
      <c r="AG53" s="84"/>
      <c r="AH53" s="84"/>
      <c r="AI53" s="36" t="s">
        <v>2937</v>
      </c>
      <c r="AJ53" s="36" t="s">
        <v>76</v>
      </c>
      <c r="AK53" s="64"/>
      <c r="AL53" s="57" t="s">
        <v>2942</v>
      </c>
      <c r="AM53" s="36" t="s">
        <v>77</v>
      </c>
      <c r="AN53" s="84" t="s">
        <v>413</v>
      </c>
      <c r="AO53" s="33"/>
      <c r="AP53" s="36" t="s">
        <v>2943</v>
      </c>
      <c r="AQ53" s="57" t="s">
        <v>2944</v>
      </c>
    </row>
    <row r="54" spans="2:67" ht="24.95" customHeight="1" x14ac:dyDescent="0.25">
      <c r="B54" s="36">
        <f>SUBTOTAL(103,$M$2:M54)</f>
        <v>53</v>
      </c>
      <c r="C54" s="33"/>
      <c r="D54" s="36" t="s">
        <v>79</v>
      </c>
      <c r="E54" s="36" t="s">
        <v>3</v>
      </c>
      <c r="F54" s="36" t="s">
        <v>34</v>
      </c>
      <c r="G54" s="36" t="s">
        <v>2675</v>
      </c>
      <c r="H54" s="36" t="s">
        <v>2677</v>
      </c>
      <c r="I54" s="36" t="s">
        <v>2369</v>
      </c>
      <c r="J54" s="36" t="s">
        <v>2964</v>
      </c>
      <c r="K54" s="84" t="s">
        <v>2687</v>
      </c>
      <c r="L54" s="84" t="s">
        <v>319</v>
      </c>
      <c r="M54" s="54" t="s">
        <v>2913</v>
      </c>
      <c r="N54" s="36" t="s">
        <v>91</v>
      </c>
      <c r="O54" s="36">
        <v>1</v>
      </c>
      <c r="P54" s="36"/>
      <c r="Q54" s="36" t="s">
        <v>71</v>
      </c>
      <c r="R54" s="36" t="s">
        <v>2642</v>
      </c>
      <c r="S54" s="71" t="s">
        <v>2049</v>
      </c>
      <c r="T54" s="36" t="s">
        <v>598</v>
      </c>
      <c r="U54" s="36">
        <v>2025</v>
      </c>
      <c r="V54" s="36" t="s">
        <v>74</v>
      </c>
      <c r="W54" s="36" t="s">
        <v>247</v>
      </c>
      <c r="X54" s="36"/>
      <c r="Y54" s="36" t="s">
        <v>601</v>
      </c>
      <c r="Z54" s="36" t="s">
        <v>157</v>
      </c>
      <c r="AA54" s="36"/>
      <c r="AB54" s="36"/>
      <c r="AC54" s="25"/>
      <c r="AD54" s="36" t="s">
        <v>77</v>
      </c>
      <c r="AE54" s="84" t="s">
        <v>78</v>
      </c>
      <c r="AF54" s="84"/>
      <c r="AG54" s="84"/>
      <c r="AH54" s="84"/>
      <c r="AI54" s="36" t="s">
        <v>2945</v>
      </c>
      <c r="AJ54" s="36" t="s">
        <v>76</v>
      </c>
      <c r="AK54" s="64"/>
      <c r="AL54" s="57" t="s">
        <v>2946</v>
      </c>
      <c r="AM54" s="36" t="s">
        <v>77</v>
      </c>
      <c r="AN54" s="84" t="s">
        <v>2934</v>
      </c>
      <c r="AO54" s="33"/>
      <c r="AP54" s="36" t="s">
        <v>2947</v>
      </c>
      <c r="AQ54" s="57" t="s">
        <v>2948</v>
      </c>
    </row>
    <row r="55" spans="2:67" ht="24.95" customHeight="1" x14ac:dyDescent="0.25">
      <c r="B55" s="36">
        <f>SUBTOTAL(103,$M$2:M55)</f>
        <v>54</v>
      </c>
      <c r="C55" s="37" t="s">
        <v>481</v>
      </c>
      <c r="D55" s="33" t="s">
        <v>79</v>
      </c>
      <c r="E55" s="36" t="s">
        <v>3</v>
      </c>
      <c r="F55" s="36" t="s">
        <v>557</v>
      </c>
      <c r="G55" s="33" t="s">
        <v>2675</v>
      </c>
      <c r="H55" s="33" t="s">
        <v>2677</v>
      </c>
      <c r="I55" s="33" t="s">
        <v>2369</v>
      </c>
      <c r="J55" s="36" t="s">
        <v>2388</v>
      </c>
      <c r="K55" s="25" t="s">
        <v>700</v>
      </c>
      <c r="L55" s="25" t="s">
        <v>592</v>
      </c>
      <c r="M55" s="54" t="s">
        <v>2109</v>
      </c>
      <c r="N55" s="37" t="s">
        <v>91</v>
      </c>
      <c r="O55" s="36">
        <v>1</v>
      </c>
      <c r="P55" s="36">
        <v>1</v>
      </c>
      <c r="Q55" s="37" t="s">
        <v>71</v>
      </c>
      <c r="R55" s="33" t="s">
        <v>2642</v>
      </c>
      <c r="S55" s="33" t="s">
        <v>2049</v>
      </c>
      <c r="T55" s="25"/>
      <c r="U55" s="36">
        <v>2019</v>
      </c>
      <c r="V55" s="37"/>
      <c r="W55" s="60"/>
      <c r="X55" s="60"/>
      <c r="Y55" s="36" t="s">
        <v>601</v>
      </c>
      <c r="Z55" s="37" t="s">
        <v>157</v>
      </c>
      <c r="AA55" s="37" t="s">
        <v>701</v>
      </c>
      <c r="AB55" s="33" t="s">
        <v>702</v>
      </c>
      <c r="AC55" s="25"/>
      <c r="AD55" s="51" t="s">
        <v>77</v>
      </c>
      <c r="AE55" s="37" t="s">
        <v>78</v>
      </c>
      <c r="AF55" s="37" t="s">
        <v>78</v>
      </c>
      <c r="AG55" s="36"/>
      <c r="AH55" s="80"/>
      <c r="AI55" s="37" t="s">
        <v>703</v>
      </c>
      <c r="AJ55" s="37"/>
      <c r="AK55" s="89" t="s">
        <v>704</v>
      </c>
      <c r="AL55" s="149" t="s">
        <v>705</v>
      </c>
      <c r="AM55" s="36" t="s">
        <v>77</v>
      </c>
      <c r="AN55" s="41" t="s">
        <v>150</v>
      </c>
      <c r="AO55" s="41"/>
      <c r="AP55" s="40" t="s">
        <v>706</v>
      </c>
      <c r="AQ55" s="82" t="s">
        <v>707</v>
      </c>
      <c r="AR55" s="90" t="s">
        <v>85</v>
      </c>
      <c r="AS55" s="20"/>
      <c r="AT55" s="18" t="s">
        <v>101</v>
      </c>
      <c r="AU55" s="45"/>
      <c r="AV55" s="18"/>
      <c r="AW55" s="17"/>
      <c r="AX55" s="17"/>
      <c r="AY55" s="34">
        <v>7140202</v>
      </c>
      <c r="AZ55" s="33">
        <v>92</v>
      </c>
      <c r="BB55" s="17"/>
      <c r="BC55" s="91" t="s">
        <v>2109</v>
      </c>
      <c r="BD55" s="17"/>
      <c r="BM55" s="46"/>
      <c r="BN55" s="46"/>
      <c r="BO55" s="47"/>
    </row>
    <row r="56" spans="2:67" ht="24.95" customHeight="1" x14ac:dyDescent="0.25">
      <c r="B56" s="36">
        <f>SUBTOTAL(103,$M$2:M56)</f>
        <v>55</v>
      </c>
      <c r="C56" s="37" t="s">
        <v>490</v>
      </c>
      <c r="D56" s="33" t="s">
        <v>79</v>
      </c>
      <c r="E56" s="33" t="s">
        <v>3</v>
      </c>
      <c r="F56" s="33" t="s">
        <v>557</v>
      </c>
      <c r="G56" s="33" t="s">
        <v>2675</v>
      </c>
      <c r="H56" s="33" t="s">
        <v>2677</v>
      </c>
      <c r="I56" s="33" t="s">
        <v>2369</v>
      </c>
      <c r="J56" s="36" t="s">
        <v>2389</v>
      </c>
      <c r="K56" s="25" t="s">
        <v>708</v>
      </c>
      <c r="L56" s="25" t="s">
        <v>592</v>
      </c>
      <c r="M56" s="38" t="s">
        <v>2110</v>
      </c>
      <c r="N56" s="33" t="s">
        <v>91</v>
      </c>
      <c r="O56" s="36">
        <v>1</v>
      </c>
      <c r="P56" s="36">
        <v>1</v>
      </c>
      <c r="Q56" s="36" t="s">
        <v>71</v>
      </c>
      <c r="R56" s="33" t="s">
        <v>2642</v>
      </c>
      <c r="S56" s="33" t="s">
        <v>2049</v>
      </c>
      <c r="T56" s="25"/>
      <c r="U56" s="33">
        <v>2012</v>
      </c>
      <c r="V56" s="36"/>
      <c r="W56" s="33"/>
      <c r="X56" s="33"/>
      <c r="Y56" s="33" t="s">
        <v>609</v>
      </c>
      <c r="Z56" s="37" t="s">
        <v>157</v>
      </c>
      <c r="AA56" s="37" t="s">
        <v>610</v>
      </c>
      <c r="AB56" s="33" t="s">
        <v>709</v>
      </c>
      <c r="AC56" s="25"/>
      <c r="AD56" s="51" t="s">
        <v>77</v>
      </c>
      <c r="AE56" s="25" t="s">
        <v>78</v>
      </c>
      <c r="AF56" s="33" t="s">
        <v>78</v>
      </c>
      <c r="AG56" s="33"/>
      <c r="AH56" s="80"/>
      <c r="AI56" s="37" t="s">
        <v>710</v>
      </c>
      <c r="AJ56" s="33"/>
      <c r="AK56" s="42" t="s">
        <v>711</v>
      </c>
      <c r="AL56" s="101" t="s">
        <v>712</v>
      </c>
      <c r="AM56" s="36" t="s">
        <v>77</v>
      </c>
      <c r="AN56" s="41" t="s">
        <v>286</v>
      </c>
      <c r="AO56" s="41"/>
      <c r="AP56" s="40" t="s">
        <v>713</v>
      </c>
      <c r="AQ56" s="82" t="s">
        <v>714</v>
      </c>
      <c r="AR56" s="40" t="s">
        <v>85</v>
      </c>
      <c r="AT56" s="18" t="s">
        <v>715</v>
      </c>
      <c r="AU56" s="45"/>
      <c r="AV56" s="18"/>
      <c r="AW56" s="17"/>
      <c r="AX56" s="17"/>
      <c r="AY56" s="34">
        <v>7140202</v>
      </c>
      <c r="AZ56" s="33">
        <v>93</v>
      </c>
      <c r="BB56" s="17"/>
      <c r="BC56" s="43" t="s">
        <v>2110</v>
      </c>
      <c r="BD56" s="17"/>
      <c r="BM56" s="46"/>
      <c r="BN56" s="46"/>
      <c r="BO56" s="47"/>
    </row>
    <row r="57" spans="2:67" ht="24.95" customHeight="1" x14ac:dyDescent="0.25">
      <c r="B57" s="36">
        <f>SUBTOTAL(103,$M$2:M57)</f>
        <v>56</v>
      </c>
      <c r="C57" s="37" t="s">
        <v>499</v>
      </c>
      <c r="D57" s="33" t="s">
        <v>79</v>
      </c>
      <c r="E57" s="36" t="s">
        <v>3</v>
      </c>
      <c r="F57" s="36" t="s">
        <v>557</v>
      </c>
      <c r="G57" s="33" t="s">
        <v>2675</v>
      </c>
      <c r="H57" s="33" t="s">
        <v>2677</v>
      </c>
      <c r="I57" s="33" t="s">
        <v>2369</v>
      </c>
      <c r="J57" s="36" t="s">
        <v>2390</v>
      </c>
      <c r="K57" s="84" t="s">
        <v>716</v>
      </c>
      <c r="L57" s="84" t="s">
        <v>592</v>
      </c>
      <c r="M57" s="54" t="s">
        <v>2111</v>
      </c>
      <c r="N57" s="36" t="s">
        <v>91</v>
      </c>
      <c r="O57" s="36">
        <v>1</v>
      </c>
      <c r="P57" s="36">
        <v>1</v>
      </c>
      <c r="Q57" s="36" t="s">
        <v>71</v>
      </c>
      <c r="R57" s="33" t="s">
        <v>2642</v>
      </c>
      <c r="S57" s="33" t="s">
        <v>2049</v>
      </c>
      <c r="T57" s="25"/>
      <c r="U57" s="36">
        <v>2019</v>
      </c>
      <c r="V57" s="36"/>
      <c r="W57" s="36"/>
      <c r="X57" s="36"/>
      <c r="Y57" s="36" t="s">
        <v>717</v>
      </c>
      <c r="Z57" s="36" t="s">
        <v>157</v>
      </c>
      <c r="AA57" s="36" t="s">
        <v>795</v>
      </c>
      <c r="AB57" s="36">
        <v>25.5</v>
      </c>
      <c r="AC57" s="25"/>
      <c r="AD57" s="51" t="s">
        <v>77</v>
      </c>
      <c r="AE57" s="84" t="s">
        <v>78</v>
      </c>
      <c r="AF57" s="84" t="s">
        <v>78</v>
      </c>
      <c r="AG57" s="84"/>
      <c r="AH57" s="84"/>
      <c r="AI57" s="36" t="s">
        <v>718</v>
      </c>
      <c r="AJ57" s="36"/>
      <c r="AK57" s="84"/>
      <c r="AL57" s="149" t="s">
        <v>719</v>
      </c>
      <c r="AM57" s="36" t="s">
        <v>77</v>
      </c>
      <c r="AN57" s="83" t="s">
        <v>720</v>
      </c>
      <c r="AO57" s="92"/>
      <c r="AP57" s="83" t="s">
        <v>721</v>
      </c>
      <c r="AQ57" s="93" t="s">
        <v>722</v>
      </c>
      <c r="AR57" s="83" t="s">
        <v>85</v>
      </c>
      <c r="AS57" s="70"/>
      <c r="AT57" s="94" t="s">
        <v>644</v>
      </c>
      <c r="AU57" s="95"/>
      <c r="AV57" s="18"/>
      <c r="AX57" s="17"/>
      <c r="AY57" s="34">
        <v>7140202</v>
      </c>
      <c r="AZ57" s="33">
        <v>94</v>
      </c>
      <c r="BC57" s="57" t="s">
        <v>2111</v>
      </c>
    </row>
    <row r="58" spans="2:67" ht="24.95" customHeight="1" x14ac:dyDescent="0.25">
      <c r="B58" s="36">
        <f>SUBTOTAL(103,$M$2:M58)</f>
        <v>57</v>
      </c>
      <c r="C58" s="37" t="s">
        <v>506</v>
      </c>
      <c r="D58" s="33" t="s">
        <v>79</v>
      </c>
      <c r="E58" s="36" t="s">
        <v>3</v>
      </c>
      <c r="F58" s="37" t="s">
        <v>557</v>
      </c>
      <c r="G58" s="33" t="s">
        <v>2675</v>
      </c>
      <c r="H58" s="33" t="s">
        <v>2677</v>
      </c>
      <c r="I58" s="33" t="s">
        <v>2369</v>
      </c>
      <c r="J58" s="36" t="s">
        <v>2391</v>
      </c>
      <c r="K58" s="48" t="s">
        <v>723</v>
      </c>
      <c r="L58" s="49" t="s">
        <v>724</v>
      </c>
      <c r="M58" s="50" t="s">
        <v>2112</v>
      </c>
      <c r="N58" s="37" t="s">
        <v>70</v>
      </c>
      <c r="O58" s="33">
        <v>0</v>
      </c>
      <c r="P58" s="33">
        <v>1</v>
      </c>
      <c r="Q58" s="37" t="s">
        <v>71</v>
      </c>
      <c r="R58" s="33" t="s">
        <v>2642</v>
      </c>
      <c r="S58" s="33" t="s">
        <v>2049</v>
      </c>
      <c r="T58" s="25"/>
      <c r="U58" s="37" t="s">
        <v>291</v>
      </c>
      <c r="V58" s="37"/>
      <c r="W58" s="37"/>
      <c r="X58" s="37"/>
      <c r="Y58" s="37" t="s">
        <v>248</v>
      </c>
      <c r="Z58" s="37" t="s">
        <v>157</v>
      </c>
      <c r="AA58" s="37" t="s">
        <v>725</v>
      </c>
      <c r="AB58" s="37" t="s">
        <v>726</v>
      </c>
      <c r="AC58" s="25"/>
      <c r="AD58" s="51" t="s">
        <v>77</v>
      </c>
      <c r="AE58" s="37"/>
      <c r="AF58" s="37"/>
      <c r="AG58" s="37"/>
      <c r="AH58" s="37"/>
      <c r="AI58" s="37" t="s">
        <v>727</v>
      </c>
      <c r="AJ58" s="37"/>
      <c r="AK58" s="49" t="s">
        <v>728</v>
      </c>
      <c r="AL58" s="146" t="s">
        <v>729</v>
      </c>
      <c r="AM58" s="36" t="s">
        <v>77</v>
      </c>
      <c r="AN58" s="37" t="s">
        <v>354</v>
      </c>
      <c r="AO58" s="37"/>
      <c r="AP58" s="37" t="s">
        <v>730</v>
      </c>
      <c r="AQ58" s="50" t="s">
        <v>731</v>
      </c>
      <c r="AR58" s="37" t="s">
        <v>85</v>
      </c>
      <c r="AS58" s="42"/>
      <c r="AT58" s="25" t="s">
        <v>87</v>
      </c>
      <c r="AU58" s="45"/>
      <c r="AV58" s="18"/>
      <c r="AW58" s="17"/>
      <c r="AX58" s="17"/>
      <c r="AY58" s="34">
        <v>7140202</v>
      </c>
      <c r="AZ58" s="33">
        <v>95</v>
      </c>
      <c r="BB58" s="17"/>
      <c r="BC58" s="50" t="s">
        <v>2112</v>
      </c>
      <c r="BD58" s="17"/>
      <c r="BM58" s="46"/>
      <c r="BN58" s="46"/>
      <c r="BO58" s="47"/>
    </row>
    <row r="59" spans="2:67" ht="24.95" customHeight="1" x14ac:dyDescent="0.25">
      <c r="B59" s="36">
        <f>SUBTOTAL(103,$M$2:M59)</f>
        <v>58</v>
      </c>
      <c r="C59" s="37" t="s">
        <v>512</v>
      </c>
      <c r="D59" s="33" t="s">
        <v>79</v>
      </c>
      <c r="E59" s="33" t="s">
        <v>3</v>
      </c>
      <c r="F59" s="33" t="s">
        <v>557</v>
      </c>
      <c r="G59" s="33" t="s">
        <v>2675</v>
      </c>
      <c r="H59" s="33" t="s">
        <v>2677</v>
      </c>
      <c r="I59" s="33" t="s">
        <v>2369</v>
      </c>
      <c r="J59" s="36" t="s">
        <v>2392</v>
      </c>
      <c r="K59" s="25" t="s">
        <v>732</v>
      </c>
      <c r="L59" s="25" t="s">
        <v>339</v>
      </c>
      <c r="M59" s="38" t="s">
        <v>2113</v>
      </c>
      <c r="N59" s="33" t="s">
        <v>91</v>
      </c>
      <c r="O59" s="36">
        <v>1</v>
      </c>
      <c r="P59" s="36"/>
      <c r="Q59" s="33" t="s">
        <v>71</v>
      </c>
      <c r="R59" s="33" t="s">
        <v>2642</v>
      </c>
      <c r="S59" s="33" t="s">
        <v>2049</v>
      </c>
      <c r="T59" s="25"/>
      <c r="U59" s="33">
        <v>2025</v>
      </c>
      <c r="V59" s="33"/>
      <c r="W59" s="33"/>
      <c r="X59" s="33"/>
      <c r="Y59" s="33" t="s">
        <v>733</v>
      </c>
      <c r="Z59" s="33" t="s">
        <v>734</v>
      </c>
      <c r="AA59" s="33" t="s">
        <v>735</v>
      </c>
      <c r="AB59" s="33" t="s">
        <v>736</v>
      </c>
      <c r="AC59" s="25"/>
      <c r="AD59" s="51" t="s">
        <v>77</v>
      </c>
      <c r="AE59" s="25" t="s">
        <v>78</v>
      </c>
      <c r="AF59" s="25" t="s">
        <v>78</v>
      </c>
      <c r="AG59" s="25"/>
      <c r="AH59" s="25"/>
      <c r="AI59" s="33" t="s">
        <v>565</v>
      </c>
      <c r="AJ59" s="33"/>
      <c r="AK59" s="25"/>
      <c r="AL59" s="101" t="s">
        <v>737</v>
      </c>
      <c r="AM59" s="36" t="s">
        <v>77</v>
      </c>
      <c r="AN59" s="40" t="s">
        <v>267</v>
      </c>
      <c r="AO59" s="62"/>
      <c r="AP59" s="40" t="s">
        <v>738</v>
      </c>
      <c r="AQ59" s="82" t="s">
        <v>739</v>
      </c>
      <c r="AR59" s="40" t="s">
        <v>85</v>
      </c>
      <c r="AS59" s="20"/>
      <c r="AT59" s="18" t="s">
        <v>740</v>
      </c>
      <c r="AU59" s="45"/>
      <c r="AV59" s="18"/>
      <c r="AW59" s="17"/>
      <c r="AX59" s="17"/>
      <c r="AY59" s="34">
        <v>7140202</v>
      </c>
      <c r="AZ59" s="33">
        <v>96</v>
      </c>
      <c r="BB59" s="17"/>
      <c r="BC59" s="43" t="s">
        <v>2113</v>
      </c>
      <c r="BD59" s="17"/>
      <c r="BM59" s="46"/>
      <c r="BN59" s="46"/>
      <c r="BO59" s="47"/>
    </row>
    <row r="60" spans="2:67" ht="24.95" customHeight="1" x14ac:dyDescent="0.25">
      <c r="B60" s="36">
        <f>SUBTOTAL(103,$M$2:M60)</f>
        <v>59</v>
      </c>
      <c r="C60" s="37" t="s">
        <v>517</v>
      </c>
      <c r="D60" s="33" t="s">
        <v>79</v>
      </c>
      <c r="E60" s="33" t="s">
        <v>3</v>
      </c>
      <c r="F60" s="33" t="s">
        <v>557</v>
      </c>
      <c r="G60" s="33" t="s">
        <v>2675</v>
      </c>
      <c r="H60" s="33" t="s">
        <v>2677</v>
      </c>
      <c r="I60" s="33" t="s">
        <v>2369</v>
      </c>
      <c r="J60" s="36" t="s">
        <v>2393</v>
      </c>
      <c r="K60" s="25" t="s">
        <v>741</v>
      </c>
      <c r="L60" s="25" t="s">
        <v>742</v>
      </c>
      <c r="M60" s="38" t="s">
        <v>2114</v>
      </c>
      <c r="N60" s="33" t="s">
        <v>91</v>
      </c>
      <c r="O60" s="36">
        <v>1</v>
      </c>
      <c r="P60" s="36"/>
      <c r="Q60" s="33" t="s">
        <v>71</v>
      </c>
      <c r="R60" s="33" t="s">
        <v>2642</v>
      </c>
      <c r="S60" s="33" t="s">
        <v>2049</v>
      </c>
      <c r="T60" s="25"/>
      <c r="U60" s="33">
        <v>2017</v>
      </c>
      <c r="V60" s="33"/>
      <c r="W60" s="33"/>
      <c r="X60" s="33"/>
      <c r="Y60" s="33" t="s">
        <v>601</v>
      </c>
      <c r="Z60" s="33" t="s">
        <v>157</v>
      </c>
      <c r="AA60" s="37" t="s">
        <v>743</v>
      </c>
      <c r="AB60" s="33" t="s">
        <v>744</v>
      </c>
      <c r="AC60" s="25"/>
      <c r="AD60" s="51" t="s">
        <v>214</v>
      </c>
      <c r="AE60" s="25" t="s">
        <v>78</v>
      </c>
      <c r="AF60" s="25" t="s">
        <v>78</v>
      </c>
      <c r="AG60" s="25"/>
      <c r="AH60" s="80"/>
      <c r="AI60" s="33" t="s">
        <v>745</v>
      </c>
      <c r="AJ60" s="33"/>
      <c r="AK60" s="25" t="s">
        <v>746</v>
      </c>
      <c r="AL60" s="101" t="s">
        <v>747</v>
      </c>
      <c r="AM60" s="36" t="s">
        <v>214</v>
      </c>
      <c r="AN60" s="33" t="s">
        <v>748</v>
      </c>
      <c r="AO60" s="25"/>
      <c r="AP60" s="33" t="s">
        <v>749</v>
      </c>
      <c r="AQ60" s="82" t="s">
        <v>750</v>
      </c>
      <c r="AR60" s="40" t="s">
        <v>751</v>
      </c>
      <c r="AS60" s="42"/>
      <c r="AT60" s="53" t="s">
        <v>752</v>
      </c>
      <c r="AU60" s="45"/>
      <c r="AV60" s="18"/>
      <c r="AW60" s="17"/>
      <c r="AX60" s="17"/>
      <c r="AY60" s="34">
        <v>7140202</v>
      </c>
      <c r="AZ60" s="33">
        <v>97</v>
      </c>
      <c r="BB60" s="17"/>
      <c r="BC60" s="43" t="s">
        <v>2114</v>
      </c>
      <c r="BD60" s="17"/>
      <c r="BM60" s="46"/>
      <c r="BN60" s="46"/>
      <c r="BO60" s="47"/>
    </row>
    <row r="61" spans="2:67" ht="24.95" customHeight="1" x14ac:dyDescent="0.25">
      <c r="B61" s="36">
        <f>SUBTOTAL(103,$M$2:M61)</f>
        <v>60</v>
      </c>
      <c r="C61" s="37" t="s">
        <v>523</v>
      </c>
      <c r="D61" s="33" t="s">
        <v>79</v>
      </c>
      <c r="E61" s="33" t="s">
        <v>3</v>
      </c>
      <c r="F61" s="33" t="s">
        <v>557</v>
      </c>
      <c r="G61" s="33" t="s">
        <v>2675</v>
      </c>
      <c r="H61" s="33" t="s">
        <v>2677</v>
      </c>
      <c r="I61" s="33" t="s">
        <v>2369</v>
      </c>
      <c r="J61" s="36" t="s">
        <v>2394</v>
      </c>
      <c r="K61" s="25" t="s">
        <v>390</v>
      </c>
      <c r="L61" s="25" t="s">
        <v>753</v>
      </c>
      <c r="M61" s="38" t="s">
        <v>2115</v>
      </c>
      <c r="N61" s="33" t="s">
        <v>91</v>
      </c>
      <c r="O61" s="36">
        <v>1</v>
      </c>
      <c r="P61" s="36">
        <v>1</v>
      </c>
      <c r="Q61" s="33" t="s">
        <v>71</v>
      </c>
      <c r="R61" s="33" t="s">
        <v>2642</v>
      </c>
      <c r="S61" s="33" t="s">
        <v>2049</v>
      </c>
      <c r="T61" s="25"/>
      <c r="U61" s="33">
        <v>2021</v>
      </c>
      <c r="V61" s="36"/>
      <c r="W61" s="33"/>
      <c r="X61" s="33"/>
      <c r="Y61" s="33" t="s">
        <v>248</v>
      </c>
      <c r="Z61" s="37" t="s">
        <v>157</v>
      </c>
      <c r="AA61" s="37" t="s">
        <v>735</v>
      </c>
      <c r="AB61" s="33" t="s">
        <v>754</v>
      </c>
      <c r="AC61" s="25"/>
      <c r="AD61" s="51" t="s">
        <v>77</v>
      </c>
      <c r="AE61" s="25" t="s">
        <v>78</v>
      </c>
      <c r="AF61" s="33" t="s">
        <v>78</v>
      </c>
      <c r="AG61" s="25"/>
      <c r="AH61" s="80"/>
      <c r="AI61" s="33" t="s">
        <v>755</v>
      </c>
      <c r="AJ61" s="33"/>
      <c r="AK61" s="25" t="s">
        <v>756</v>
      </c>
      <c r="AL61" s="101" t="s">
        <v>757</v>
      </c>
      <c r="AM61" s="83" t="s">
        <v>77</v>
      </c>
      <c r="AN61" s="40" t="s">
        <v>488</v>
      </c>
      <c r="AO61" s="52"/>
      <c r="AP61" s="111" t="s">
        <v>554</v>
      </c>
      <c r="AQ61" s="82" t="s">
        <v>758</v>
      </c>
      <c r="AR61" s="40" t="s">
        <v>85</v>
      </c>
      <c r="AS61" s="20"/>
      <c r="AT61" s="25" t="s">
        <v>145</v>
      </c>
      <c r="AU61" s="45"/>
      <c r="AV61" s="18"/>
      <c r="AW61" s="17"/>
      <c r="AX61" s="17"/>
      <c r="AY61" s="34">
        <v>7140202</v>
      </c>
      <c r="AZ61" s="33">
        <v>98</v>
      </c>
      <c r="BB61" s="17"/>
      <c r="BC61" s="43" t="s">
        <v>2115</v>
      </c>
      <c r="BD61" s="17"/>
      <c r="BM61" s="46"/>
      <c r="BN61" s="46"/>
      <c r="BO61" s="47"/>
    </row>
    <row r="62" spans="2:67" ht="24.95" customHeight="1" x14ac:dyDescent="0.25">
      <c r="B62" s="36">
        <f>SUBTOTAL(103,$M$2:M62)</f>
        <v>61</v>
      </c>
      <c r="C62" s="37" t="s">
        <v>532</v>
      </c>
      <c r="D62" s="33" t="s">
        <v>79</v>
      </c>
      <c r="E62" s="36" t="s">
        <v>3</v>
      </c>
      <c r="F62" s="33" t="s">
        <v>557</v>
      </c>
      <c r="G62" s="33" t="s">
        <v>2675</v>
      </c>
      <c r="H62" s="33" t="s">
        <v>2677</v>
      </c>
      <c r="I62" s="33" t="s">
        <v>2369</v>
      </c>
      <c r="J62" s="36" t="s">
        <v>2395</v>
      </c>
      <c r="K62" s="25" t="s">
        <v>759</v>
      </c>
      <c r="L62" s="25" t="s">
        <v>368</v>
      </c>
      <c r="M62" s="38" t="s">
        <v>2116</v>
      </c>
      <c r="N62" s="33" t="s">
        <v>91</v>
      </c>
      <c r="O62" s="36">
        <v>1</v>
      </c>
      <c r="P62" s="36"/>
      <c r="Q62" s="36" t="s">
        <v>71</v>
      </c>
      <c r="R62" s="33" t="s">
        <v>2642</v>
      </c>
      <c r="S62" s="33" t="s">
        <v>2049</v>
      </c>
      <c r="T62" s="25"/>
      <c r="U62" s="33">
        <v>2016</v>
      </c>
      <c r="V62" s="36"/>
      <c r="W62" s="33"/>
      <c r="X62" s="33"/>
      <c r="Y62" s="33" t="s">
        <v>717</v>
      </c>
      <c r="Z62" s="33" t="s">
        <v>157</v>
      </c>
      <c r="AA62" s="37" t="s">
        <v>735</v>
      </c>
      <c r="AB62" s="33" t="s">
        <v>760</v>
      </c>
      <c r="AC62" s="25"/>
      <c r="AD62" s="51" t="s">
        <v>77</v>
      </c>
      <c r="AE62" s="25" t="s">
        <v>78</v>
      </c>
      <c r="AF62" s="25" t="s">
        <v>78</v>
      </c>
      <c r="AG62" s="25"/>
      <c r="AH62" s="80"/>
      <c r="AI62" s="33" t="s">
        <v>761</v>
      </c>
      <c r="AJ62" s="33"/>
      <c r="AK62" s="25" t="s">
        <v>762</v>
      </c>
      <c r="AL62" s="78" t="s">
        <v>763</v>
      </c>
      <c r="AM62" s="36" t="s">
        <v>77</v>
      </c>
      <c r="AN62" s="37" t="s">
        <v>468</v>
      </c>
      <c r="AO62" s="37"/>
      <c r="AP62" s="33" t="s">
        <v>764</v>
      </c>
      <c r="AQ62" s="43" t="s">
        <v>765</v>
      </c>
      <c r="AR62" s="36" t="s">
        <v>85</v>
      </c>
      <c r="AS62" s="42"/>
      <c r="AT62" s="25" t="s">
        <v>433</v>
      </c>
      <c r="AU62" s="45"/>
      <c r="AV62" s="18"/>
      <c r="AW62" s="17"/>
      <c r="AX62" s="17"/>
      <c r="AY62" s="34">
        <v>7140202</v>
      </c>
      <c r="AZ62" s="33">
        <v>99</v>
      </c>
      <c r="BB62" s="17"/>
      <c r="BC62" s="43" t="s">
        <v>2116</v>
      </c>
      <c r="BD62" s="17"/>
      <c r="BM62" s="46"/>
      <c r="BN62" s="46"/>
      <c r="BO62" s="47"/>
    </row>
    <row r="63" spans="2:67" ht="24.95" customHeight="1" x14ac:dyDescent="0.25">
      <c r="B63" s="36">
        <f>SUBTOTAL(103,$M$2:M63)</f>
        <v>62</v>
      </c>
      <c r="C63" s="37" t="s">
        <v>536</v>
      </c>
      <c r="D63" s="33" t="s">
        <v>79</v>
      </c>
      <c r="E63" s="33" t="s">
        <v>3</v>
      </c>
      <c r="F63" s="37" t="s">
        <v>557</v>
      </c>
      <c r="G63" s="33" t="s">
        <v>2675</v>
      </c>
      <c r="H63" s="33" t="s">
        <v>2677</v>
      </c>
      <c r="I63" s="33" t="s">
        <v>2369</v>
      </c>
      <c r="J63" s="36" t="s">
        <v>2396</v>
      </c>
      <c r="K63" s="25" t="s">
        <v>103</v>
      </c>
      <c r="L63" s="25" t="s">
        <v>368</v>
      </c>
      <c r="M63" s="54" t="s">
        <v>2117</v>
      </c>
      <c r="N63" s="36" t="s">
        <v>91</v>
      </c>
      <c r="O63" s="36">
        <v>1</v>
      </c>
      <c r="P63" s="36">
        <v>1</v>
      </c>
      <c r="Q63" s="36" t="s">
        <v>71</v>
      </c>
      <c r="R63" s="33" t="s">
        <v>2642</v>
      </c>
      <c r="S63" s="33" t="s">
        <v>2049</v>
      </c>
      <c r="T63" s="25"/>
      <c r="U63" s="37" t="s">
        <v>349</v>
      </c>
      <c r="V63" s="37"/>
      <c r="W63" s="60"/>
      <c r="X63" s="60"/>
      <c r="Y63" s="36" t="s">
        <v>609</v>
      </c>
      <c r="Z63" s="33" t="s">
        <v>157</v>
      </c>
      <c r="AA63" s="37" t="s">
        <v>610</v>
      </c>
      <c r="AB63" s="33" t="s">
        <v>766</v>
      </c>
      <c r="AC63" s="25"/>
      <c r="AD63" s="51" t="s">
        <v>77</v>
      </c>
      <c r="AE63" s="25" t="s">
        <v>78</v>
      </c>
      <c r="AF63" s="37" t="s">
        <v>78</v>
      </c>
      <c r="AG63" s="33"/>
      <c r="AH63" s="80"/>
      <c r="AI63" s="37" t="s">
        <v>767</v>
      </c>
      <c r="AJ63" s="36"/>
      <c r="AK63" s="36" t="s">
        <v>768</v>
      </c>
      <c r="AL63" s="147" t="s">
        <v>769</v>
      </c>
      <c r="AM63" s="36" t="s">
        <v>77</v>
      </c>
      <c r="AN63" s="36" t="s">
        <v>401</v>
      </c>
      <c r="AO63" s="36"/>
      <c r="AP63" s="36" t="s">
        <v>770</v>
      </c>
      <c r="AQ63" s="43" t="s">
        <v>771</v>
      </c>
      <c r="AR63" s="40" t="s">
        <v>85</v>
      </c>
      <c r="AS63" s="42"/>
      <c r="AT63" s="25" t="s">
        <v>472</v>
      </c>
      <c r="AU63" s="45"/>
      <c r="AV63" s="18"/>
      <c r="AW63" s="17"/>
      <c r="AX63" s="17"/>
      <c r="AY63" s="34">
        <v>7140202</v>
      </c>
      <c r="AZ63" s="33">
        <v>100</v>
      </c>
      <c r="BB63" s="17"/>
      <c r="BC63" s="57" t="s">
        <v>2117</v>
      </c>
      <c r="BD63" s="17"/>
      <c r="BM63" s="46"/>
      <c r="BN63" s="46"/>
      <c r="BO63" s="47"/>
    </row>
    <row r="64" spans="2:67" ht="24.95" customHeight="1" x14ac:dyDescent="0.25">
      <c r="B64" s="36">
        <f>SUBTOTAL(103,$M$2:M64)</f>
        <v>63</v>
      </c>
      <c r="C64" s="37" t="s">
        <v>543</v>
      </c>
      <c r="D64" s="33" t="s">
        <v>79</v>
      </c>
      <c r="E64" s="36" t="s">
        <v>3</v>
      </c>
      <c r="F64" s="33" t="s">
        <v>557</v>
      </c>
      <c r="G64" s="33" t="s">
        <v>2675</v>
      </c>
      <c r="H64" s="33" t="s">
        <v>2677</v>
      </c>
      <c r="I64" s="33" t="s">
        <v>2369</v>
      </c>
      <c r="J64" s="36" t="s">
        <v>2397</v>
      </c>
      <c r="K64" s="25" t="s">
        <v>772</v>
      </c>
      <c r="L64" s="25" t="s">
        <v>391</v>
      </c>
      <c r="M64" s="38" t="s">
        <v>2118</v>
      </c>
      <c r="N64" s="33" t="s">
        <v>91</v>
      </c>
      <c r="O64" s="36">
        <v>1</v>
      </c>
      <c r="P64" s="36">
        <v>1</v>
      </c>
      <c r="Q64" s="36" t="s">
        <v>71</v>
      </c>
      <c r="R64" s="33" t="s">
        <v>2642</v>
      </c>
      <c r="S64" s="33" t="s">
        <v>2049</v>
      </c>
      <c r="T64" s="25"/>
      <c r="U64" s="33">
        <v>2019</v>
      </c>
      <c r="V64" s="37"/>
      <c r="W64" s="33"/>
      <c r="X64" s="33"/>
      <c r="Y64" s="33" t="s">
        <v>525</v>
      </c>
      <c r="Z64" s="37" t="s">
        <v>157</v>
      </c>
      <c r="AA64" s="37" t="s">
        <v>773</v>
      </c>
      <c r="AB64" s="33">
        <v>23.4</v>
      </c>
      <c r="AC64" s="25"/>
      <c r="AD64" s="51" t="s">
        <v>774</v>
      </c>
      <c r="AE64" s="33" t="s">
        <v>78</v>
      </c>
      <c r="AF64" s="33" t="s">
        <v>78</v>
      </c>
      <c r="AG64" s="25"/>
      <c r="AH64" s="80"/>
      <c r="AI64" s="33" t="s">
        <v>775</v>
      </c>
      <c r="AJ64" s="33"/>
      <c r="AK64" s="42" t="s">
        <v>776</v>
      </c>
      <c r="AL64" s="78" t="s">
        <v>777</v>
      </c>
      <c r="AM64" s="33" t="s">
        <v>774</v>
      </c>
      <c r="AN64" s="33" t="s">
        <v>778</v>
      </c>
      <c r="AO64" s="25"/>
      <c r="AP64" s="33" t="s">
        <v>779</v>
      </c>
      <c r="AQ64" s="43" t="s">
        <v>780</v>
      </c>
      <c r="AR64" s="44" t="s">
        <v>85</v>
      </c>
      <c r="AS64" s="42"/>
      <c r="AT64" s="25" t="s">
        <v>781</v>
      </c>
      <c r="AU64" s="45"/>
      <c r="AV64" s="18"/>
      <c r="AW64" s="17"/>
      <c r="AX64" s="17"/>
      <c r="AY64" s="34">
        <v>7140202</v>
      </c>
      <c r="AZ64" s="33">
        <v>101</v>
      </c>
      <c r="BB64" s="17"/>
      <c r="BC64" s="43" t="s">
        <v>2118</v>
      </c>
      <c r="BD64" s="17"/>
      <c r="BM64" s="46"/>
      <c r="BN64" s="46"/>
      <c r="BO64" s="47"/>
    </row>
    <row r="65" spans="2:67" ht="24.95" customHeight="1" x14ac:dyDescent="0.25">
      <c r="B65" s="36">
        <f>SUBTOTAL(103,$M$2:M65)</f>
        <v>64</v>
      </c>
      <c r="C65" s="37" t="s">
        <v>551</v>
      </c>
      <c r="D65" s="33" t="s">
        <v>79</v>
      </c>
      <c r="E65" s="33" t="s">
        <v>3</v>
      </c>
      <c r="F65" s="33" t="s">
        <v>557</v>
      </c>
      <c r="G65" s="33" t="s">
        <v>2675</v>
      </c>
      <c r="H65" s="33" t="s">
        <v>2677</v>
      </c>
      <c r="I65" s="33" t="s">
        <v>2369</v>
      </c>
      <c r="J65" s="36" t="s">
        <v>2398</v>
      </c>
      <c r="K65" s="25" t="s">
        <v>782</v>
      </c>
      <c r="L65" s="25" t="s">
        <v>391</v>
      </c>
      <c r="M65" s="38" t="s">
        <v>2119</v>
      </c>
      <c r="N65" s="33" t="s">
        <v>91</v>
      </c>
      <c r="O65" s="36">
        <v>1</v>
      </c>
      <c r="P65" s="36"/>
      <c r="Q65" s="33" t="s">
        <v>71</v>
      </c>
      <c r="R65" s="33" t="s">
        <v>2642</v>
      </c>
      <c r="S65" s="33" t="s">
        <v>2049</v>
      </c>
      <c r="T65" s="25"/>
      <c r="U65" s="33">
        <v>2024</v>
      </c>
      <c r="V65" s="33"/>
      <c r="W65" s="33"/>
      <c r="X65" s="33"/>
      <c r="Y65" s="33" t="s">
        <v>695</v>
      </c>
      <c r="Z65" s="33" t="s">
        <v>157</v>
      </c>
      <c r="AA65" s="37" t="s">
        <v>610</v>
      </c>
      <c r="AB65" s="33" t="s">
        <v>783</v>
      </c>
      <c r="AC65" s="25"/>
      <c r="AD65" s="51" t="s">
        <v>77</v>
      </c>
      <c r="AE65" s="25" t="s">
        <v>78</v>
      </c>
      <c r="AF65" s="25" t="s">
        <v>78</v>
      </c>
      <c r="AG65" s="25"/>
      <c r="AH65" s="80"/>
      <c r="AI65" s="33" t="s">
        <v>560</v>
      </c>
      <c r="AJ65" s="33"/>
      <c r="AK65" s="25"/>
      <c r="AL65" s="78" t="s">
        <v>784</v>
      </c>
      <c r="AM65" s="36" t="s">
        <v>77</v>
      </c>
      <c r="AN65" s="33" t="s">
        <v>150</v>
      </c>
      <c r="AO65" s="25"/>
      <c r="AP65" s="33" t="s">
        <v>785</v>
      </c>
      <c r="AQ65" s="43" t="s">
        <v>786</v>
      </c>
      <c r="AR65" s="33" t="s">
        <v>85</v>
      </c>
      <c r="AS65" s="42" t="s">
        <v>375</v>
      </c>
      <c r="AT65" s="53" t="s">
        <v>145</v>
      </c>
      <c r="AU65" s="45"/>
      <c r="AV65" s="18"/>
      <c r="AW65" s="17"/>
      <c r="AX65" s="17"/>
      <c r="AY65" s="34">
        <v>7140202</v>
      </c>
      <c r="AZ65" s="33">
        <v>102</v>
      </c>
      <c r="BB65" s="17"/>
      <c r="BC65" s="43" t="s">
        <v>2119</v>
      </c>
      <c r="BD65" s="17"/>
      <c r="BM65" s="46"/>
      <c r="BN65" s="46"/>
      <c r="BO65" s="47"/>
    </row>
    <row r="66" spans="2:67" ht="24.95" customHeight="1" x14ac:dyDescent="0.25">
      <c r="B66" s="36">
        <f>SUBTOTAL(103,$M$2:M66)</f>
        <v>65</v>
      </c>
      <c r="C66" s="37" t="s">
        <v>556</v>
      </c>
      <c r="D66" s="33" t="s">
        <v>79</v>
      </c>
      <c r="E66" s="33" t="s">
        <v>3</v>
      </c>
      <c r="F66" s="33" t="s">
        <v>557</v>
      </c>
      <c r="G66" s="33" t="s">
        <v>2675</v>
      </c>
      <c r="H66" s="33" t="s">
        <v>2677</v>
      </c>
      <c r="I66" s="33" t="s">
        <v>2369</v>
      </c>
      <c r="J66" s="36" t="s">
        <v>2399</v>
      </c>
      <c r="K66" s="25" t="s">
        <v>787</v>
      </c>
      <c r="L66" s="25" t="s">
        <v>788</v>
      </c>
      <c r="M66" s="38" t="s">
        <v>2120</v>
      </c>
      <c r="N66" s="33" t="s">
        <v>91</v>
      </c>
      <c r="O66" s="36">
        <v>1</v>
      </c>
      <c r="P66" s="36">
        <v>1</v>
      </c>
      <c r="Q66" s="36" t="s">
        <v>359</v>
      </c>
      <c r="R66" s="33" t="s">
        <v>2642</v>
      </c>
      <c r="S66" s="33" t="s">
        <v>2049</v>
      </c>
      <c r="T66" s="25"/>
      <c r="U66" s="33">
        <v>2020</v>
      </c>
      <c r="V66" s="36"/>
      <c r="W66" s="33"/>
      <c r="X66" s="33"/>
      <c r="Y66" s="33" t="s">
        <v>248</v>
      </c>
      <c r="Z66" s="33" t="s">
        <v>157</v>
      </c>
      <c r="AA66" s="37" t="s">
        <v>773</v>
      </c>
      <c r="AB66" s="33" t="s">
        <v>789</v>
      </c>
      <c r="AC66" s="25"/>
      <c r="AD66" s="51" t="s">
        <v>77</v>
      </c>
      <c r="AE66" s="25" t="s">
        <v>78</v>
      </c>
      <c r="AF66" s="33" t="s">
        <v>78</v>
      </c>
      <c r="AG66" s="33"/>
      <c r="AH66" s="80"/>
      <c r="AI66" s="33" t="s">
        <v>790</v>
      </c>
      <c r="AJ66" s="33"/>
      <c r="AK66" s="25" t="s">
        <v>746</v>
      </c>
      <c r="AL66" s="78" t="s">
        <v>791</v>
      </c>
      <c r="AM66" s="36" t="s">
        <v>77</v>
      </c>
      <c r="AN66" s="37" t="s">
        <v>110</v>
      </c>
      <c r="AO66" s="37"/>
      <c r="AP66" s="37" t="s">
        <v>792</v>
      </c>
      <c r="AQ66" s="43" t="s">
        <v>793</v>
      </c>
      <c r="AR66" s="33" t="s">
        <v>85</v>
      </c>
      <c r="AS66" s="42"/>
      <c r="AT66" s="25" t="s">
        <v>254</v>
      </c>
      <c r="AU66" s="45"/>
      <c r="AV66" s="18"/>
      <c r="AW66" s="17"/>
      <c r="AX66" s="17"/>
      <c r="AY66" s="34">
        <v>7140202</v>
      </c>
      <c r="AZ66" s="33">
        <v>103</v>
      </c>
      <c r="BB66" s="17"/>
      <c r="BC66" s="43" t="s">
        <v>2120</v>
      </c>
      <c r="BD66" s="17"/>
      <c r="BM66" s="46"/>
      <c r="BN66" s="46"/>
      <c r="BO66" s="47"/>
    </row>
    <row r="67" spans="2:67" ht="24.95" customHeight="1" x14ac:dyDescent="0.25">
      <c r="B67" s="36">
        <f>SUBTOTAL(103,$M$2:M67)</f>
        <v>66</v>
      </c>
      <c r="C67" s="37" t="s">
        <v>558</v>
      </c>
      <c r="D67" s="33" t="s">
        <v>79</v>
      </c>
      <c r="E67" s="36" t="s">
        <v>3</v>
      </c>
      <c r="F67" s="37" t="s">
        <v>557</v>
      </c>
      <c r="G67" s="33" t="s">
        <v>2675</v>
      </c>
      <c r="H67" s="33" t="s">
        <v>2677</v>
      </c>
      <c r="I67" s="33" t="s">
        <v>2369</v>
      </c>
      <c r="J67" s="36" t="s">
        <v>2400</v>
      </c>
      <c r="K67" s="25" t="s">
        <v>794</v>
      </c>
      <c r="L67" s="25" t="s">
        <v>224</v>
      </c>
      <c r="M67" s="38" t="s">
        <v>2121</v>
      </c>
      <c r="N67" s="33" t="s">
        <v>91</v>
      </c>
      <c r="O67" s="36">
        <v>1</v>
      </c>
      <c r="P67" s="36">
        <v>1</v>
      </c>
      <c r="Q67" s="36" t="s">
        <v>71</v>
      </c>
      <c r="R67" s="33" t="s">
        <v>2642</v>
      </c>
      <c r="S67" s="33" t="s">
        <v>2049</v>
      </c>
      <c r="T67" s="25"/>
      <c r="U67" s="33">
        <v>2021</v>
      </c>
      <c r="V67" s="36"/>
      <c r="W67" s="33"/>
      <c r="X67" s="33"/>
      <c r="Y67" s="33" t="s">
        <v>564</v>
      </c>
      <c r="Z67" s="37" t="s">
        <v>157</v>
      </c>
      <c r="AA67" s="37" t="s">
        <v>795</v>
      </c>
      <c r="AB67" s="33" t="s">
        <v>796</v>
      </c>
      <c r="AC67" s="25"/>
      <c r="AD67" s="51" t="s">
        <v>77</v>
      </c>
      <c r="AE67" s="25" t="s">
        <v>78</v>
      </c>
      <c r="AF67" s="25" t="s">
        <v>78</v>
      </c>
      <c r="AG67" s="25"/>
      <c r="AH67" s="80"/>
      <c r="AI67" s="33" t="s">
        <v>797</v>
      </c>
      <c r="AJ67" s="33"/>
      <c r="AK67" s="25"/>
      <c r="AL67" s="78" t="s">
        <v>798</v>
      </c>
      <c r="AM67" s="36" t="s">
        <v>77</v>
      </c>
      <c r="AN67" s="37" t="s">
        <v>286</v>
      </c>
      <c r="AO67" s="37"/>
      <c r="AP67" s="37" t="s">
        <v>799</v>
      </c>
      <c r="AQ67" s="43" t="s">
        <v>800</v>
      </c>
      <c r="AR67" s="36" t="s">
        <v>85</v>
      </c>
      <c r="AS67" s="64"/>
      <c r="AT67" s="25" t="s">
        <v>433</v>
      </c>
      <c r="AU67" s="45"/>
      <c r="AV67" s="18"/>
      <c r="AW67" s="17"/>
      <c r="AX67" s="17"/>
      <c r="AY67" s="34">
        <v>7140202</v>
      </c>
      <c r="AZ67" s="33">
        <v>104</v>
      </c>
      <c r="BB67" s="17"/>
      <c r="BC67" s="43" t="s">
        <v>2121</v>
      </c>
      <c r="BD67" s="17"/>
      <c r="BM67" s="46"/>
      <c r="BN67" s="46"/>
      <c r="BO67" s="47"/>
    </row>
    <row r="68" spans="2:67" ht="24.95" customHeight="1" x14ac:dyDescent="0.25">
      <c r="B68" s="36">
        <f>SUBTOTAL(103,$M$2:M68)</f>
        <v>67</v>
      </c>
      <c r="C68" s="37" t="s">
        <v>562</v>
      </c>
      <c r="D68" s="33" t="s">
        <v>79</v>
      </c>
      <c r="E68" s="33" t="s">
        <v>3</v>
      </c>
      <c r="F68" s="33" t="s">
        <v>557</v>
      </c>
      <c r="G68" s="33" t="s">
        <v>2675</v>
      </c>
      <c r="H68" s="33" t="s">
        <v>2677</v>
      </c>
      <c r="I68" s="33" t="s">
        <v>2369</v>
      </c>
      <c r="J68" s="36" t="s">
        <v>2401</v>
      </c>
      <c r="K68" s="25" t="s">
        <v>103</v>
      </c>
      <c r="L68" s="25" t="s">
        <v>224</v>
      </c>
      <c r="M68" s="38" t="s">
        <v>2122</v>
      </c>
      <c r="N68" s="33" t="s">
        <v>91</v>
      </c>
      <c r="O68" s="36">
        <v>1</v>
      </c>
      <c r="P68" s="36"/>
      <c r="Q68" s="36" t="s">
        <v>71</v>
      </c>
      <c r="R68" s="33" t="s">
        <v>2642</v>
      </c>
      <c r="S68" s="33" t="s">
        <v>2049</v>
      </c>
      <c r="T68" s="25"/>
      <c r="U68" s="33">
        <v>2012</v>
      </c>
      <c r="V68" s="33"/>
      <c r="W68" s="33"/>
      <c r="X68" s="33"/>
      <c r="Y68" s="33" t="s">
        <v>695</v>
      </c>
      <c r="Z68" s="33" t="s">
        <v>157</v>
      </c>
      <c r="AA68" s="37" t="s">
        <v>773</v>
      </c>
      <c r="AB68" s="33" t="s">
        <v>801</v>
      </c>
      <c r="AC68" s="25"/>
      <c r="AD68" s="51" t="s">
        <v>77</v>
      </c>
      <c r="AE68" s="25" t="s">
        <v>78</v>
      </c>
      <c r="AF68" s="33" t="s">
        <v>78</v>
      </c>
      <c r="AG68" s="33"/>
      <c r="AH68" s="80"/>
      <c r="AI68" s="37" t="s">
        <v>802</v>
      </c>
      <c r="AJ68" s="33"/>
      <c r="AK68" s="25" t="s">
        <v>803</v>
      </c>
      <c r="AL68" s="78" t="s">
        <v>804</v>
      </c>
      <c r="AM68" s="36" t="s">
        <v>77</v>
      </c>
      <c r="AN68" s="37" t="s">
        <v>82</v>
      </c>
      <c r="AO68" s="37"/>
      <c r="AP68" s="33" t="s">
        <v>805</v>
      </c>
      <c r="AQ68" s="43" t="s">
        <v>806</v>
      </c>
      <c r="AR68" s="33" t="s">
        <v>85</v>
      </c>
      <c r="AS68" s="42"/>
      <c r="AT68" s="25" t="s">
        <v>715</v>
      </c>
      <c r="AU68" s="45"/>
      <c r="AV68" s="18"/>
      <c r="AW68" s="17"/>
      <c r="AX68" s="17"/>
      <c r="AY68" s="34">
        <v>7140202</v>
      </c>
      <c r="AZ68" s="33">
        <v>105</v>
      </c>
      <c r="BB68" s="17"/>
      <c r="BC68" s="43" t="s">
        <v>2122</v>
      </c>
      <c r="BD68" s="17"/>
      <c r="BM68" s="46"/>
      <c r="BN68" s="46"/>
      <c r="BO68" s="47"/>
    </row>
    <row r="69" spans="2:67" ht="24.95" customHeight="1" x14ac:dyDescent="0.25">
      <c r="B69" s="36">
        <f>SUBTOTAL(103,$M$2:M69)</f>
        <v>68</v>
      </c>
      <c r="C69" s="37" t="s">
        <v>807</v>
      </c>
      <c r="D69" s="33" t="s">
        <v>79</v>
      </c>
      <c r="E69" s="36" t="s">
        <v>3</v>
      </c>
      <c r="F69" s="36" t="s">
        <v>557</v>
      </c>
      <c r="G69" s="33" t="s">
        <v>2675</v>
      </c>
      <c r="H69" s="33" t="s">
        <v>2677</v>
      </c>
      <c r="I69" s="33" t="s">
        <v>2369</v>
      </c>
      <c r="J69" s="36" t="s">
        <v>2402</v>
      </c>
      <c r="K69" s="25" t="s">
        <v>808</v>
      </c>
      <c r="L69" s="25" t="s">
        <v>418</v>
      </c>
      <c r="M69" s="54" t="s">
        <v>2123</v>
      </c>
      <c r="N69" s="33" t="s">
        <v>91</v>
      </c>
      <c r="O69" s="36">
        <v>1</v>
      </c>
      <c r="P69" s="36"/>
      <c r="Q69" s="33" t="s">
        <v>71</v>
      </c>
      <c r="R69" s="33" t="s">
        <v>2642</v>
      </c>
      <c r="S69" s="33" t="s">
        <v>2049</v>
      </c>
      <c r="T69" s="25"/>
      <c r="U69" s="33">
        <v>2010</v>
      </c>
      <c r="V69" s="33"/>
      <c r="W69" s="36"/>
      <c r="X69" s="36"/>
      <c r="Y69" s="33" t="s">
        <v>609</v>
      </c>
      <c r="Z69" s="37" t="s">
        <v>157</v>
      </c>
      <c r="AA69" s="37" t="s">
        <v>810</v>
      </c>
      <c r="AB69" s="33" t="s">
        <v>811</v>
      </c>
      <c r="AC69" s="25"/>
      <c r="AD69" s="51" t="s">
        <v>77</v>
      </c>
      <c r="AE69" s="33" t="s">
        <v>78</v>
      </c>
      <c r="AF69" s="33" t="s">
        <v>78</v>
      </c>
      <c r="AG69" s="25"/>
      <c r="AH69" s="80"/>
      <c r="AI69" s="33" t="s">
        <v>812</v>
      </c>
      <c r="AJ69" s="37"/>
      <c r="AK69" s="42" t="s">
        <v>809</v>
      </c>
      <c r="AL69" s="78" t="s">
        <v>813</v>
      </c>
      <c r="AM69" s="36" t="s">
        <v>77</v>
      </c>
      <c r="AN69" s="37" t="s">
        <v>401</v>
      </c>
      <c r="AO69" s="37"/>
      <c r="AP69" s="37" t="s">
        <v>510</v>
      </c>
      <c r="AQ69" s="43" t="s">
        <v>814</v>
      </c>
      <c r="AR69" s="33" t="s">
        <v>85</v>
      </c>
      <c r="AS69" s="42" t="s">
        <v>815</v>
      </c>
      <c r="AT69" s="25" t="s">
        <v>816</v>
      </c>
      <c r="AU69" s="45"/>
      <c r="AV69" s="18"/>
      <c r="AW69" s="17"/>
      <c r="AX69" s="17"/>
      <c r="AY69" s="34">
        <v>7140202</v>
      </c>
      <c r="AZ69" s="33">
        <v>106</v>
      </c>
      <c r="BB69" s="17"/>
      <c r="BC69" s="57" t="s">
        <v>2123</v>
      </c>
      <c r="BD69" s="17"/>
      <c r="BM69" s="46"/>
      <c r="BN69" s="46"/>
      <c r="BO69" s="47"/>
    </row>
    <row r="70" spans="2:67" ht="24.95" customHeight="1" x14ac:dyDescent="0.25">
      <c r="B70" s="36">
        <f>SUBTOTAL(103,$M$2:M70)</f>
        <v>69</v>
      </c>
      <c r="C70" s="37" t="s">
        <v>817</v>
      </c>
      <c r="D70" s="33" t="s">
        <v>79</v>
      </c>
      <c r="E70" s="36" t="s">
        <v>3</v>
      </c>
      <c r="F70" s="33" t="s">
        <v>557</v>
      </c>
      <c r="G70" s="33" t="s">
        <v>2675</v>
      </c>
      <c r="H70" s="33" t="s">
        <v>2677</v>
      </c>
      <c r="I70" s="33" t="s">
        <v>2369</v>
      </c>
      <c r="J70" s="36" t="s">
        <v>2403</v>
      </c>
      <c r="K70" s="25" t="s">
        <v>818</v>
      </c>
      <c r="L70" s="25" t="s">
        <v>418</v>
      </c>
      <c r="M70" s="38" t="s">
        <v>2124</v>
      </c>
      <c r="N70" s="36" t="s">
        <v>91</v>
      </c>
      <c r="O70" s="36">
        <v>1</v>
      </c>
      <c r="P70" s="36">
        <v>1</v>
      </c>
      <c r="Q70" s="36" t="s">
        <v>71</v>
      </c>
      <c r="R70" s="33" t="s">
        <v>2642</v>
      </c>
      <c r="S70" s="33" t="s">
        <v>2049</v>
      </c>
      <c r="T70" s="25"/>
      <c r="U70" s="33">
        <v>2019</v>
      </c>
      <c r="V70" s="36"/>
      <c r="W70" s="33"/>
      <c r="X70" s="33"/>
      <c r="Y70" s="33" t="s">
        <v>695</v>
      </c>
      <c r="Z70" s="37" t="s">
        <v>157</v>
      </c>
      <c r="AA70" s="37" t="s">
        <v>610</v>
      </c>
      <c r="AB70" s="33" t="s">
        <v>819</v>
      </c>
      <c r="AC70" s="25"/>
      <c r="AD70" s="51" t="s">
        <v>77</v>
      </c>
      <c r="AE70" s="25" t="s">
        <v>78</v>
      </c>
      <c r="AF70" s="25" t="s">
        <v>78</v>
      </c>
      <c r="AG70" s="25"/>
      <c r="AH70" s="80"/>
      <c r="AI70" s="37" t="s">
        <v>820</v>
      </c>
      <c r="AJ70" s="33"/>
      <c r="AK70" s="25" t="s">
        <v>821</v>
      </c>
      <c r="AL70" s="78" t="s">
        <v>822</v>
      </c>
      <c r="AM70" s="36" t="s">
        <v>77</v>
      </c>
      <c r="AN70" s="41" t="s">
        <v>641</v>
      </c>
      <c r="AO70" s="41"/>
      <c r="AP70" s="33" t="s">
        <v>823</v>
      </c>
      <c r="AQ70" s="43" t="s">
        <v>824</v>
      </c>
      <c r="AR70" s="33" t="s">
        <v>85</v>
      </c>
      <c r="AS70" s="20" t="s">
        <v>825</v>
      </c>
      <c r="AT70" s="25" t="s">
        <v>433</v>
      </c>
      <c r="AU70" s="45"/>
      <c r="AV70" s="18"/>
      <c r="AW70" s="17"/>
      <c r="AX70" s="17"/>
      <c r="AY70" s="34">
        <v>7140202</v>
      </c>
      <c r="AZ70" s="33">
        <v>107</v>
      </c>
      <c r="BB70" s="17"/>
      <c r="BC70" s="43" t="s">
        <v>2124</v>
      </c>
      <c r="BD70" s="17"/>
      <c r="BM70" s="46"/>
      <c r="BN70" s="46"/>
      <c r="BO70" s="47"/>
    </row>
    <row r="71" spans="2:67" ht="24.95" customHeight="1" x14ac:dyDescent="0.25">
      <c r="B71" s="36">
        <f>SUBTOTAL(103,$M$2:M71)</f>
        <v>70</v>
      </c>
      <c r="C71" s="37" t="s">
        <v>826</v>
      </c>
      <c r="D71" s="33" t="s">
        <v>79</v>
      </c>
      <c r="E71" s="33" t="s">
        <v>3</v>
      </c>
      <c r="F71" s="33" t="s">
        <v>557</v>
      </c>
      <c r="G71" s="33" t="s">
        <v>2675</v>
      </c>
      <c r="H71" s="33" t="s">
        <v>2677</v>
      </c>
      <c r="I71" s="33" t="s">
        <v>2369</v>
      </c>
      <c r="J71" s="36" t="s">
        <v>2404</v>
      </c>
      <c r="K71" s="25" t="s">
        <v>390</v>
      </c>
      <c r="L71" s="25" t="s">
        <v>524</v>
      </c>
      <c r="M71" s="38" t="s">
        <v>2125</v>
      </c>
      <c r="N71" s="33" t="s">
        <v>91</v>
      </c>
      <c r="O71" s="36">
        <v>1</v>
      </c>
      <c r="P71" s="36">
        <v>1</v>
      </c>
      <c r="Q71" s="33" t="s">
        <v>71</v>
      </c>
      <c r="R71" s="33" t="s">
        <v>2642</v>
      </c>
      <c r="S71" s="33" t="s">
        <v>2049</v>
      </c>
      <c r="T71" s="25"/>
      <c r="U71" s="33">
        <v>2017</v>
      </c>
      <c r="V71" s="36"/>
      <c r="W71" s="33"/>
      <c r="X71" s="33"/>
      <c r="Y71" s="33" t="s">
        <v>695</v>
      </c>
      <c r="Z71" s="37" t="s">
        <v>157</v>
      </c>
      <c r="AA71" s="37" t="s">
        <v>773</v>
      </c>
      <c r="AB71" s="33" t="s">
        <v>827</v>
      </c>
      <c r="AC71" s="25"/>
      <c r="AD71" s="51" t="s">
        <v>77</v>
      </c>
      <c r="AE71" s="25" t="s">
        <v>78</v>
      </c>
      <c r="AF71" s="33" t="s">
        <v>78</v>
      </c>
      <c r="AG71" s="33"/>
      <c r="AH71" s="80"/>
      <c r="AI71" s="33" t="s">
        <v>828</v>
      </c>
      <c r="AJ71" s="33"/>
      <c r="AK71" s="25" t="s">
        <v>829</v>
      </c>
      <c r="AL71" s="78" t="s">
        <v>830</v>
      </c>
      <c r="AM71" s="36" t="s">
        <v>77</v>
      </c>
      <c r="AN71" s="40" t="s">
        <v>141</v>
      </c>
      <c r="AO71" s="62"/>
      <c r="AP71" s="33" t="s">
        <v>831</v>
      </c>
      <c r="AQ71" s="43" t="s">
        <v>832</v>
      </c>
      <c r="AR71" s="33" t="s">
        <v>85</v>
      </c>
      <c r="AS71" s="42"/>
      <c r="AT71" s="25" t="s">
        <v>367</v>
      </c>
      <c r="AU71" s="45"/>
      <c r="AV71" s="18"/>
      <c r="AW71" s="17"/>
      <c r="AX71" s="17"/>
      <c r="AY71" s="34">
        <v>7140202</v>
      </c>
      <c r="AZ71" s="33">
        <v>108</v>
      </c>
      <c r="BB71" s="17"/>
      <c r="BC71" s="43" t="s">
        <v>2125</v>
      </c>
      <c r="BD71" s="17"/>
      <c r="BM71" s="46"/>
      <c r="BN71" s="46"/>
      <c r="BO71" s="47"/>
    </row>
    <row r="72" spans="2:67" ht="24.95" customHeight="1" x14ac:dyDescent="0.25">
      <c r="B72" s="36">
        <f>SUBTOTAL(103,$M$2:M72)</f>
        <v>71</v>
      </c>
      <c r="C72" s="37" t="s">
        <v>833</v>
      </c>
      <c r="D72" s="33" t="s">
        <v>79</v>
      </c>
      <c r="E72" s="33" t="s">
        <v>3</v>
      </c>
      <c r="F72" s="33" t="s">
        <v>557</v>
      </c>
      <c r="G72" s="33" t="s">
        <v>2675</v>
      </c>
      <c r="H72" s="33" t="s">
        <v>2677</v>
      </c>
      <c r="I72" s="33" t="s">
        <v>2369</v>
      </c>
      <c r="J72" s="36" t="s">
        <v>2405</v>
      </c>
      <c r="K72" s="25" t="s">
        <v>89</v>
      </c>
      <c r="L72" s="25" t="s">
        <v>190</v>
      </c>
      <c r="M72" s="38" t="s">
        <v>2126</v>
      </c>
      <c r="N72" s="33" t="s">
        <v>91</v>
      </c>
      <c r="O72" s="36">
        <v>1</v>
      </c>
      <c r="P72" s="36"/>
      <c r="Q72" s="33" t="s">
        <v>71</v>
      </c>
      <c r="R72" s="33" t="s">
        <v>2642</v>
      </c>
      <c r="S72" s="33" t="s">
        <v>2049</v>
      </c>
      <c r="T72" s="25"/>
      <c r="U72" s="33">
        <v>2017</v>
      </c>
      <c r="V72" s="33"/>
      <c r="W72" s="33"/>
      <c r="X72" s="33"/>
      <c r="Y72" s="33" t="s">
        <v>609</v>
      </c>
      <c r="Z72" s="33" t="s">
        <v>157</v>
      </c>
      <c r="AA72" s="33" t="s">
        <v>602</v>
      </c>
      <c r="AB72" s="33" t="s">
        <v>834</v>
      </c>
      <c r="AC72" s="25"/>
      <c r="AD72" s="51" t="s">
        <v>77</v>
      </c>
      <c r="AE72" s="25" t="s">
        <v>78</v>
      </c>
      <c r="AF72" s="25" t="s">
        <v>78</v>
      </c>
      <c r="AG72" s="25"/>
      <c r="AH72" s="25"/>
      <c r="AI72" s="33" t="s">
        <v>835</v>
      </c>
      <c r="AJ72" s="33"/>
      <c r="AK72" s="25" t="s">
        <v>704</v>
      </c>
      <c r="AL72" s="78" t="s">
        <v>836</v>
      </c>
      <c r="AM72" s="36" t="s">
        <v>77</v>
      </c>
      <c r="AN72" s="33" t="s">
        <v>837</v>
      </c>
      <c r="AO72" s="25"/>
      <c r="AP72" s="33" t="s">
        <v>838</v>
      </c>
      <c r="AQ72" s="43" t="s">
        <v>839</v>
      </c>
      <c r="AR72" s="33" t="s">
        <v>85</v>
      </c>
      <c r="AS72" s="42"/>
      <c r="AT72" s="25" t="s">
        <v>188</v>
      </c>
      <c r="AU72" s="45"/>
      <c r="AV72" s="18"/>
      <c r="AW72" s="17"/>
      <c r="AX72" s="17"/>
      <c r="AY72" s="34">
        <v>7140202</v>
      </c>
      <c r="AZ72" s="33">
        <v>109</v>
      </c>
      <c r="BB72" s="17"/>
      <c r="BC72" s="43" t="s">
        <v>2126</v>
      </c>
      <c r="BD72" s="17"/>
      <c r="BM72" s="46"/>
      <c r="BN72" s="46"/>
      <c r="BO72" s="47"/>
    </row>
    <row r="73" spans="2:67" ht="24.95" customHeight="1" x14ac:dyDescent="0.25">
      <c r="B73" s="36">
        <f>SUBTOTAL(103,$M$2:M73)</f>
        <v>72</v>
      </c>
      <c r="C73" s="37" t="s">
        <v>840</v>
      </c>
      <c r="D73" s="33" t="s">
        <v>79</v>
      </c>
      <c r="E73" s="36" t="s">
        <v>3</v>
      </c>
      <c r="F73" s="37" t="s">
        <v>557</v>
      </c>
      <c r="G73" s="33" t="s">
        <v>2675</v>
      </c>
      <c r="H73" s="33" t="s">
        <v>2677</v>
      </c>
      <c r="I73" s="33" t="s">
        <v>2369</v>
      </c>
      <c r="J73" s="36" t="s">
        <v>2406</v>
      </c>
      <c r="K73" s="48" t="s">
        <v>841</v>
      </c>
      <c r="L73" s="49" t="s">
        <v>842</v>
      </c>
      <c r="M73" s="50" t="s">
        <v>2127</v>
      </c>
      <c r="N73" s="37" t="s">
        <v>91</v>
      </c>
      <c r="O73" s="36">
        <v>1</v>
      </c>
      <c r="P73" s="36">
        <v>1</v>
      </c>
      <c r="Q73" s="37" t="s">
        <v>71</v>
      </c>
      <c r="R73" s="33" t="s">
        <v>2642</v>
      </c>
      <c r="S73" s="33" t="s">
        <v>2049</v>
      </c>
      <c r="T73" s="25"/>
      <c r="U73" s="37" t="s">
        <v>329</v>
      </c>
      <c r="V73" s="37"/>
      <c r="W73" s="37"/>
      <c r="X73" s="37"/>
      <c r="Y73" s="37" t="s">
        <v>601</v>
      </c>
      <c r="Z73" s="37" t="s">
        <v>157</v>
      </c>
      <c r="AA73" s="37" t="s">
        <v>795</v>
      </c>
      <c r="AB73" s="37" t="s">
        <v>834</v>
      </c>
      <c r="AC73" s="25"/>
      <c r="AD73" s="51" t="s">
        <v>77</v>
      </c>
      <c r="AE73" s="37" t="s">
        <v>78</v>
      </c>
      <c r="AF73" s="37" t="s">
        <v>78</v>
      </c>
      <c r="AG73" s="37"/>
      <c r="AH73" s="37"/>
      <c r="AI73" s="37" t="s">
        <v>843</v>
      </c>
      <c r="AJ73" s="37"/>
      <c r="AK73" s="49" t="s">
        <v>844</v>
      </c>
      <c r="AL73" s="148" t="s">
        <v>845</v>
      </c>
      <c r="AM73" s="41" t="s">
        <v>77</v>
      </c>
      <c r="AN73" s="41" t="s">
        <v>332</v>
      </c>
      <c r="AO73" s="41"/>
      <c r="AP73" s="41" t="s">
        <v>846</v>
      </c>
      <c r="AQ73" s="81" t="s">
        <v>847</v>
      </c>
      <c r="AR73" s="41" t="s">
        <v>85</v>
      </c>
      <c r="AS73" s="73"/>
      <c r="AT73" s="62" t="s">
        <v>87</v>
      </c>
      <c r="AU73" s="45"/>
      <c r="AV73" s="18"/>
      <c r="AW73" s="17"/>
      <c r="AX73" s="17"/>
      <c r="AY73" s="34">
        <v>7140202</v>
      </c>
      <c r="AZ73" s="33">
        <v>110</v>
      </c>
      <c r="BB73" s="17"/>
      <c r="BC73" s="50" t="s">
        <v>2127</v>
      </c>
      <c r="BD73" s="17"/>
      <c r="BM73" s="46"/>
      <c r="BN73" s="46"/>
      <c r="BO73" s="47"/>
    </row>
    <row r="74" spans="2:67" ht="24.95" customHeight="1" x14ac:dyDescent="0.25">
      <c r="B74" s="36">
        <f>SUBTOTAL(103,$M$2:M74)</f>
        <v>73</v>
      </c>
      <c r="C74" s="37" t="s">
        <v>848</v>
      </c>
      <c r="D74" s="33" t="s">
        <v>79</v>
      </c>
      <c r="E74" s="33" t="s">
        <v>3</v>
      </c>
      <c r="F74" s="33" t="s">
        <v>557</v>
      </c>
      <c r="G74" s="33" t="s">
        <v>2675</v>
      </c>
      <c r="H74" s="33" t="s">
        <v>2677</v>
      </c>
      <c r="I74" s="33" t="s">
        <v>2369</v>
      </c>
      <c r="J74" s="36" t="s">
        <v>2407</v>
      </c>
      <c r="K74" s="25" t="s">
        <v>849</v>
      </c>
      <c r="L74" s="25" t="s">
        <v>850</v>
      </c>
      <c r="M74" s="38" t="s">
        <v>2128</v>
      </c>
      <c r="N74" s="33" t="s">
        <v>91</v>
      </c>
      <c r="O74" s="36">
        <v>1</v>
      </c>
      <c r="P74" s="36"/>
      <c r="Q74" s="33" t="s">
        <v>71</v>
      </c>
      <c r="R74" s="33" t="s">
        <v>2642</v>
      </c>
      <c r="S74" s="33" t="s">
        <v>2049</v>
      </c>
      <c r="T74" s="25"/>
      <c r="U74" s="33">
        <v>2019</v>
      </c>
      <c r="V74" s="33"/>
      <c r="W74" s="33"/>
      <c r="X74" s="33"/>
      <c r="Y74" s="33" t="s">
        <v>564</v>
      </c>
      <c r="Z74" s="33" t="s">
        <v>157</v>
      </c>
      <c r="AA74" s="37" t="s">
        <v>602</v>
      </c>
      <c r="AB74" s="33" t="s">
        <v>851</v>
      </c>
      <c r="AC74" s="25"/>
      <c r="AD74" s="51" t="s">
        <v>77</v>
      </c>
      <c r="AE74" s="25" t="s">
        <v>78</v>
      </c>
      <c r="AF74" s="33" t="s">
        <v>78</v>
      </c>
      <c r="AG74" s="33"/>
      <c r="AH74" s="80"/>
      <c r="AI74" s="33" t="s">
        <v>852</v>
      </c>
      <c r="AJ74" s="33"/>
      <c r="AK74" s="25" t="s">
        <v>853</v>
      </c>
      <c r="AL74" s="101" t="s">
        <v>854</v>
      </c>
      <c r="AM74" s="83" t="s">
        <v>77</v>
      </c>
      <c r="AN74" s="40" t="s">
        <v>229</v>
      </c>
      <c r="AO74" s="62"/>
      <c r="AP74" s="40" t="s">
        <v>855</v>
      </c>
      <c r="AQ74" s="82" t="s">
        <v>856</v>
      </c>
      <c r="AR74" s="40" t="s">
        <v>85</v>
      </c>
      <c r="AS74" s="73" t="s">
        <v>857</v>
      </c>
      <c r="AT74" s="62" t="s">
        <v>198</v>
      </c>
      <c r="AU74" s="45"/>
      <c r="AV74" s="18"/>
      <c r="AW74" s="17"/>
      <c r="AX74" s="17"/>
      <c r="AY74" s="34">
        <v>7140202</v>
      </c>
      <c r="AZ74" s="33">
        <v>111</v>
      </c>
      <c r="BB74" s="17"/>
      <c r="BC74" s="43" t="s">
        <v>2128</v>
      </c>
      <c r="BD74" s="17"/>
      <c r="BM74" s="46"/>
      <c r="BN74" s="46"/>
      <c r="BO74" s="47"/>
    </row>
    <row r="75" spans="2:67" ht="24.95" customHeight="1" x14ac:dyDescent="0.25">
      <c r="B75" s="36">
        <f>SUBTOTAL(103,$M$2:M75)</f>
        <v>74</v>
      </c>
      <c r="C75" s="37" t="s">
        <v>858</v>
      </c>
      <c r="D75" s="33" t="s">
        <v>79</v>
      </c>
      <c r="E75" s="33" t="s">
        <v>3</v>
      </c>
      <c r="F75" s="33" t="s">
        <v>557</v>
      </c>
      <c r="G75" s="33" t="s">
        <v>2675</v>
      </c>
      <c r="H75" s="33" t="s">
        <v>2677</v>
      </c>
      <c r="I75" s="33" t="s">
        <v>2369</v>
      </c>
      <c r="J75" s="36" t="s">
        <v>2408</v>
      </c>
      <c r="K75" s="25" t="s">
        <v>234</v>
      </c>
      <c r="L75" s="25" t="s">
        <v>545</v>
      </c>
      <c r="M75" s="38" t="s">
        <v>2129</v>
      </c>
      <c r="N75" s="33" t="s">
        <v>91</v>
      </c>
      <c r="O75" s="36">
        <v>1</v>
      </c>
      <c r="P75" s="36">
        <v>1</v>
      </c>
      <c r="Q75" s="33" t="s">
        <v>71</v>
      </c>
      <c r="R75" s="33" t="s">
        <v>2642</v>
      </c>
      <c r="S75" s="33" t="s">
        <v>2049</v>
      </c>
      <c r="T75" s="25"/>
      <c r="U75" s="33">
        <v>2016</v>
      </c>
      <c r="V75" s="33"/>
      <c r="W75" s="33"/>
      <c r="X75" s="33"/>
      <c r="Y75" s="33" t="s">
        <v>695</v>
      </c>
      <c r="Z75" s="33" t="s">
        <v>157</v>
      </c>
      <c r="AA75" s="33" t="s">
        <v>701</v>
      </c>
      <c r="AB75" s="33" t="s">
        <v>859</v>
      </c>
      <c r="AC75" s="25"/>
      <c r="AD75" s="51" t="s">
        <v>77</v>
      </c>
      <c r="AE75" s="25" t="s">
        <v>78</v>
      </c>
      <c r="AF75" s="33" t="s">
        <v>78</v>
      </c>
      <c r="AG75" s="25"/>
      <c r="AH75" s="25"/>
      <c r="AI75" s="33" t="s">
        <v>860</v>
      </c>
      <c r="AJ75" s="33"/>
      <c r="AK75" s="25"/>
      <c r="AL75" s="78" t="s">
        <v>861</v>
      </c>
      <c r="AM75" s="36" t="s">
        <v>77</v>
      </c>
      <c r="AN75" s="37" t="s">
        <v>82</v>
      </c>
      <c r="AO75" s="37"/>
      <c r="AP75" s="33" t="s">
        <v>862</v>
      </c>
      <c r="AQ75" s="43" t="s">
        <v>863</v>
      </c>
      <c r="AR75" s="33" t="s">
        <v>85</v>
      </c>
      <c r="AS75" s="25"/>
      <c r="AT75" s="62" t="s">
        <v>715</v>
      </c>
      <c r="AU75" s="45"/>
      <c r="AV75" s="18"/>
      <c r="AW75" s="17"/>
      <c r="AX75" s="17"/>
      <c r="AY75" s="34">
        <v>7140202</v>
      </c>
      <c r="AZ75" s="33">
        <v>112</v>
      </c>
      <c r="BB75" s="17"/>
      <c r="BC75" s="43" t="s">
        <v>2129</v>
      </c>
      <c r="BD75" s="17"/>
      <c r="BM75" s="46"/>
      <c r="BN75" s="46"/>
      <c r="BO75" s="47"/>
    </row>
    <row r="76" spans="2:67" ht="24.95" customHeight="1" x14ac:dyDescent="0.25">
      <c r="B76" s="36">
        <f>SUBTOTAL(103,$M$2:M76)</f>
        <v>75</v>
      </c>
      <c r="C76" s="37" t="s">
        <v>864</v>
      </c>
      <c r="D76" s="33" t="s">
        <v>79</v>
      </c>
      <c r="E76" s="36" t="s">
        <v>3</v>
      </c>
      <c r="F76" s="36" t="s">
        <v>557</v>
      </c>
      <c r="G76" s="33" t="s">
        <v>2675</v>
      </c>
      <c r="H76" s="33" t="s">
        <v>2677</v>
      </c>
      <c r="I76" s="33" t="s">
        <v>2369</v>
      </c>
      <c r="J76" s="36" t="s">
        <v>2409</v>
      </c>
      <c r="K76" s="25" t="s">
        <v>865</v>
      </c>
      <c r="L76" s="25" t="s">
        <v>290</v>
      </c>
      <c r="M76" s="54" t="s">
        <v>2130</v>
      </c>
      <c r="N76" s="33" t="s">
        <v>91</v>
      </c>
      <c r="O76" s="36">
        <v>1</v>
      </c>
      <c r="P76" s="36">
        <v>1</v>
      </c>
      <c r="Q76" s="37" t="s">
        <v>71</v>
      </c>
      <c r="R76" s="33" t="s">
        <v>2642</v>
      </c>
      <c r="S76" s="33" t="s">
        <v>2049</v>
      </c>
      <c r="T76" s="25"/>
      <c r="U76" s="33">
        <v>2021</v>
      </c>
      <c r="V76" s="37"/>
      <c r="W76" s="36"/>
      <c r="X76" s="36"/>
      <c r="Y76" s="33" t="s">
        <v>717</v>
      </c>
      <c r="Z76" s="33" t="s">
        <v>157</v>
      </c>
      <c r="AA76" s="37" t="s">
        <v>610</v>
      </c>
      <c r="AB76" s="33" t="s">
        <v>866</v>
      </c>
      <c r="AC76" s="25"/>
      <c r="AD76" s="51" t="s">
        <v>77</v>
      </c>
      <c r="AE76" s="33" t="s">
        <v>78</v>
      </c>
      <c r="AF76" s="33" t="s">
        <v>78</v>
      </c>
      <c r="AG76" s="25"/>
      <c r="AH76" s="80"/>
      <c r="AI76" s="37" t="s">
        <v>767</v>
      </c>
      <c r="AJ76" s="37"/>
      <c r="AK76" s="25"/>
      <c r="AL76" s="150" t="s">
        <v>867</v>
      </c>
      <c r="AM76" s="37" t="s">
        <v>77</v>
      </c>
      <c r="AN76" s="96" t="s">
        <v>82</v>
      </c>
      <c r="AO76" s="96"/>
      <c r="AP76" s="98" t="s">
        <v>868</v>
      </c>
      <c r="AQ76" s="97" t="s">
        <v>869</v>
      </c>
      <c r="AR76" s="98" t="s">
        <v>85</v>
      </c>
      <c r="AS76" s="20"/>
      <c r="AT76" s="99" t="s">
        <v>816</v>
      </c>
      <c r="AU76" s="45"/>
      <c r="AV76" s="18"/>
      <c r="AW76" s="17"/>
      <c r="AX76" s="17"/>
      <c r="AY76" s="34">
        <v>7140202</v>
      </c>
      <c r="AZ76" s="33">
        <v>113</v>
      </c>
      <c r="BB76" s="17"/>
      <c r="BC76" s="57" t="s">
        <v>2130</v>
      </c>
      <c r="BD76" s="17"/>
      <c r="BM76" s="46"/>
      <c r="BN76" s="46"/>
      <c r="BO76" s="47"/>
    </row>
    <row r="77" spans="2:67" ht="24.95" customHeight="1" x14ac:dyDescent="0.25">
      <c r="B77" s="36">
        <f>SUBTOTAL(103,$M$2:M77)</f>
        <v>76</v>
      </c>
      <c r="C77" s="37" t="s">
        <v>870</v>
      </c>
      <c r="D77" s="33" t="s">
        <v>79</v>
      </c>
      <c r="E77" s="36" t="s">
        <v>3</v>
      </c>
      <c r="F77" s="37" t="s">
        <v>557</v>
      </c>
      <c r="G77" s="33" t="s">
        <v>2675</v>
      </c>
      <c r="H77" s="33" t="s">
        <v>2677</v>
      </c>
      <c r="I77" s="33" t="s">
        <v>2369</v>
      </c>
      <c r="J77" s="36" t="s">
        <v>2410</v>
      </c>
      <c r="K77" s="25" t="s">
        <v>175</v>
      </c>
      <c r="L77" s="25" t="s">
        <v>290</v>
      </c>
      <c r="M77" s="38" t="s">
        <v>2131</v>
      </c>
      <c r="N77" s="36" t="s">
        <v>91</v>
      </c>
      <c r="O77" s="36">
        <v>1</v>
      </c>
      <c r="P77" s="36">
        <v>1</v>
      </c>
      <c r="Q77" s="36" t="s">
        <v>71</v>
      </c>
      <c r="R77" s="33" t="s">
        <v>2642</v>
      </c>
      <c r="S77" s="33" t="s">
        <v>2049</v>
      </c>
      <c r="T77" s="25"/>
      <c r="U77" s="33">
        <v>2020</v>
      </c>
      <c r="V77" s="36"/>
      <c r="W77" s="33"/>
      <c r="X77" s="33"/>
      <c r="Y77" s="33" t="s">
        <v>609</v>
      </c>
      <c r="Z77" s="33" t="s">
        <v>74</v>
      </c>
      <c r="AA77" s="37" t="s">
        <v>773</v>
      </c>
      <c r="AB77" s="33">
        <v>24.1</v>
      </c>
      <c r="AC77" s="25"/>
      <c r="AD77" s="51" t="s">
        <v>77</v>
      </c>
      <c r="AE77" s="33" t="s">
        <v>78</v>
      </c>
      <c r="AF77" s="33" t="s">
        <v>78</v>
      </c>
      <c r="AG77" s="25"/>
      <c r="AH77" s="80"/>
      <c r="AI77" s="37" t="s">
        <v>871</v>
      </c>
      <c r="AJ77" s="33"/>
      <c r="AK77" s="25"/>
      <c r="AL77" s="101" t="s">
        <v>872</v>
      </c>
      <c r="AM77" s="36" t="s">
        <v>77</v>
      </c>
      <c r="AN77" s="41" t="s">
        <v>162</v>
      </c>
      <c r="AO77" s="41"/>
      <c r="AP77" s="40" t="s">
        <v>873</v>
      </c>
      <c r="AQ77" s="82" t="s">
        <v>874</v>
      </c>
      <c r="AR77" s="40" t="s">
        <v>85</v>
      </c>
      <c r="AS77" s="20" t="s">
        <v>875</v>
      </c>
      <c r="AT77" s="18" t="s">
        <v>876</v>
      </c>
      <c r="AU77" s="45"/>
      <c r="AV77" s="18"/>
      <c r="AW77" s="17"/>
      <c r="AX77" s="17"/>
      <c r="AY77" s="34">
        <v>7140202</v>
      </c>
      <c r="AZ77" s="33">
        <v>114</v>
      </c>
      <c r="BB77" s="17"/>
      <c r="BC77" s="43" t="s">
        <v>2131</v>
      </c>
      <c r="BD77" s="17"/>
      <c r="BM77" s="46"/>
      <c r="BN77" s="46"/>
      <c r="BO77" s="47"/>
    </row>
    <row r="78" spans="2:67" ht="24.95" customHeight="1" x14ac:dyDescent="0.25">
      <c r="B78" s="36">
        <f>SUBTOTAL(103,$M$2:M78)</f>
        <v>77</v>
      </c>
      <c r="C78" s="37" t="s">
        <v>877</v>
      </c>
      <c r="D78" s="33" t="s">
        <v>79</v>
      </c>
      <c r="E78" s="36" t="s">
        <v>3</v>
      </c>
      <c r="F78" s="33" t="s">
        <v>557</v>
      </c>
      <c r="G78" s="33" t="s">
        <v>2675</v>
      </c>
      <c r="H78" s="33" t="s">
        <v>2677</v>
      </c>
      <c r="I78" s="33" t="s">
        <v>2369</v>
      </c>
      <c r="J78" s="36" t="s">
        <v>2411</v>
      </c>
      <c r="K78" s="25" t="s">
        <v>878</v>
      </c>
      <c r="L78" s="25" t="s">
        <v>290</v>
      </c>
      <c r="M78" s="38" t="s">
        <v>2132</v>
      </c>
      <c r="N78" s="36" t="s">
        <v>91</v>
      </c>
      <c r="O78" s="36">
        <v>1</v>
      </c>
      <c r="P78" s="36">
        <v>1</v>
      </c>
      <c r="Q78" s="36" t="s">
        <v>71</v>
      </c>
      <c r="R78" s="33" t="s">
        <v>2642</v>
      </c>
      <c r="S78" s="33" t="s">
        <v>2049</v>
      </c>
      <c r="T78" s="25"/>
      <c r="U78" s="33">
        <v>2019</v>
      </c>
      <c r="V78" s="36"/>
      <c r="W78" s="33"/>
      <c r="X78" s="33"/>
      <c r="Y78" s="33" t="s">
        <v>695</v>
      </c>
      <c r="Z78" s="33" t="s">
        <v>157</v>
      </c>
      <c r="AA78" s="37" t="s">
        <v>701</v>
      </c>
      <c r="AB78" s="33" t="s">
        <v>879</v>
      </c>
      <c r="AC78" s="25"/>
      <c r="AD78" s="51" t="s">
        <v>77</v>
      </c>
      <c r="AE78" s="33" t="s">
        <v>78</v>
      </c>
      <c r="AF78" s="33" t="s">
        <v>78</v>
      </c>
      <c r="AG78" s="25"/>
      <c r="AH78" s="80"/>
      <c r="AI78" s="33" t="s">
        <v>880</v>
      </c>
      <c r="AJ78" s="33"/>
      <c r="AK78" s="25" t="s">
        <v>746</v>
      </c>
      <c r="AL78" s="101" t="s">
        <v>881</v>
      </c>
      <c r="AM78" s="36" t="s">
        <v>77</v>
      </c>
      <c r="AN78" s="41" t="s">
        <v>332</v>
      </c>
      <c r="AO78" s="56"/>
      <c r="AP78" s="111" t="s">
        <v>882</v>
      </c>
      <c r="AQ78" s="82" t="s">
        <v>883</v>
      </c>
      <c r="AR78" s="40" t="s">
        <v>85</v>
      </c>
      <c r="AS78" s="20"/>
      <c r="AT78" s="18" t="s">
        <v>884</v>
      </c>
      <c r="AU78" s="45"/>
      <c r="AV78" s="18"/>
      <c r="AW78" s="17"/>
      <c r="AX78" s="17"/>
      <c r="AY78" s="34">
        <v>7140202</v>
      </c>
      <c r="AZ78" s="33">
        <v>115</v>
      </c>
      <c r="BB78" s="17"/>
      <c r="BC78" s="43" t="s">
        <v>2132</v>
      </c>
      <c r="BD78" s="17"/>
      <c r="BM78" s="46"/>
      <c r="BN78" s="46"/>
      <c r="BO78" s="47"/>
    </row>
    <row r="79" spans="2:67" ht="24.95" customHeight="1" x14ac:dyDescent="0.25">
      <c r="B79" s="36">
        <f>SUBTOTAL(103,$M$2:M79)</f>
        <v>78</v>
      </c>
      <c r="C79" s="37" t="s">
        <v>885</v>
      </c>
      <c r="D79" s="33" t="s">
        <v>79</v>
      </c>
      <c r="E79" s="33" t="s">
        <v>3</v>
      </c>
      <c r="F79" s="37" t="s">
        <v>557</v>
      </c>
      <c r="G79" s="33" t="s">
        <v>2675</v>
      </c>
      <c r="H79" s="33" t="s">
        <v>2677</v>
      </c>
      <c r="I79" s="33" t="s">
        <v>2369</v>
      </c>
      <c r="J79" s="36" t="s">
        <v>2412</v>
      </c>
      <c r="K79" s="25" t="s">
        <v>886</v>
      </c>
      <c r="L79" s="25" t="s">
        <v>290</v>
      </c>
      <c r="M79" s="38" t="s">
        <v>2133</v>
      </c>
      <c r="N79" s="33" t="s">
        <v>91</v>
      </c>
      <c r="O79" s="36">
        <v>1</v>
      </c>
      <c r="P79" s="36">
        <v>1</v>
      </c>
      <c r="Q79" s="33" t="s">
        <v>71</v>
      </c>
      <c r="R79" s="33" t="s">
        <v>2642</v>
      </c>
      <c r="S79" s="33" t="s">
        <v>2049</v>
      </c>
      <c r="T79" s="25"/>
      <c r="U79" s="33">
        <v>2017</v>
      </c>
      <c r="V79" s="33"/>
      <c r="W79" s="33"/>
      <c r="X79" s="33"/>
      <c r="Y79" s="33" t="s">
        <v>717</v>
      </c>
      <c r="Z79" s="33" t="s">
        <v>157</v>
      </c>
      <c r="AA79" s="37" t="s">
        <v>773</v>
      </c>
      <c r="AB79" s="33" t="s">
        <v>887</v>
      </c>
      <c r="AC79" s="25"/>
      <c r="AD79" s="51" t="s">
        <v>77</v>
      </c>
      <c r="AE79" s="25" t="s">
        <v>78</v>
      </c>
      <c r="AF79" s="25" t="s">
        <v>78</v>
      </c>
      <c r="AG79" s="36"/>
      <c r="AH79" s="25"/>
      <c r="AI79" s="33" t="s">
        <v>820</v>
      </c>
      <c r="AJ79" s="36"/>
      <c r="AK79" s="25"/>
      <c r="AL79" s="101" t="s">
        <v>888</v>
      </c>
      <c r="AM79" s="36" t="s">
        <v>77</v>
      </c>
      <c r="AN79" s="40" t="s">
        <v>468</v>
      </c>
      <c r="AO79" s="62"/>
      <c r="AP79" s="33" t="s">
        <v>889</v>
      </c>
      <c r="AQ79" s="82" t="s">
        <v>890</v>
      </c>
      <c r="AR79" s="40" t="s">
        <v>85</v>
      </c>
      <c r="AS79" s="20"/>
      <c r="AT79" s="18" t="s">
        <v>891</v>
      </c>
      <c r="AU79" s="45"/>
      <c r="AV79" s="18"/>
      <c r="AW79" s="17"/>
      <c r="AX79" s="17"/>
      <c r="AY79" s="34">
        <v>7140202</v>
      </c>
      <c r="AZ79" s="33">
        <v>116</v>
      </c>
      <c r="BB79" s="17"/>
      <c r="BC79" s="43" t="s">
        <v>2133</v>
      </c>
      <c r="BD79" s="17"/>
      <c r="BM79" s="46"/>
      <c r="BN79" s="46"/>
      <c r="BO79" s="47"/>
    </row>
    <row r="80" spans="2:67" ht="24.95" customHeight="1" x14ac:dyDescent="0.25">
      <c r="B80" s="36">
        <f>SUBTOTAL(103,$M$2:M80)</f>
        <v>79</v>
      </c>
      <c r="C80" s="37" t="s">
        <v>892</v>
      </c>
      <c r="D80" s="33" t="s">
        <v>79</v>
      </c>
      <c r="E80" s="33" t="s">
        <v>3</v>
      </c>
      <c r="F80" s="33" t="s">
        <v>557</v>
      </c>
      <c r="G80" s="33" t="s">
        <v>2675</v>
      </c>
      <c r="H80" s="33" t="s">
        <v>2677</v>
      </c>
      <c r="I80" s="33" t="s">
        <v>2369</v>
      </c>
      <c r="J80" s="36" t="s">
        <v>2413</v>
      </c>
      <c r="K80" s="25" t="s">
        <v>893</v>
      </c>
      <c r="L80" s="25" t="s">
        <v>692</v>
      </c>
      <c r="M80" s="38" t="s">
        <v>2134</v>
      </c>
      <c r="N80" s="33" t="s">
        <v>91</v>
      </c>
      <c r="O80" s="36">
        <v>1</v>
      </c>
      <c r="P80" s="36">
        <v>1</v>
      </c>
      <c r="Q80" s="33" t="s">
        <v>71</v>
      </c>
      <c r="R80" s="33" t="s">
        <v>2642</v>
      </c>
      <c r="S80" s="33" t="s">
        <v>2049</v>
      </c>
      <c r="T80" s="25"/>
      <c r="U80" s="33">
        <v>2021</v>
      </c>
      <c r="V80" s="33"/>
      <c r="W80" s="33"/>
      <c r="X80" s="33"/>
      <c r="Y80" s="33" t="s">
        <v>525</v>
      </c>
      <c r="Z80" s="33" t="s">
        <v>157</v>
      </c>
      <c r="AA80" s="33" t="s">
        <v>773</v>
      </c>
      <c r="AB80" s="33" t="s">
        <v>894</v>
      </c>
      <c r="AC80" s="25"/>
      <c r="AD80" s="51" t="s">
        <v>77</v>
      </c>
      <c r="AE80" s="25" t="s">
        <v>78</v>
      </c>
      <c r="AF80" s="25" t="s">
        <v>78</v>
      </c>
      <c r="AG80" s="25"/>
      <c r="AH80" s="25"/>
      <c r="AI80" s="33" t="s">
        <v>895</v>
      </c>
      <c r="AJ80" s="33"/>
      <c r="AK80" s="25"/>
      <c r="AL80" s="101" t="s">
        <v>896</v>
      </c>
      <c r="AM80" s="36" t="s">
        <v>77</v>
      </c>
      <c r="AN80" s="40" t="s">
        <v>354</v>
      </c>
      <c r="AO80" s="52"/>
      <c r="AP80" s="111" t="s">
        <v>897</v>
      </c>
      <c r="AQ80" s="82" t="s">
        <v>898</v>
      </c>
      <c r="AR80" s="40" t="s">
        <v>85</v>
      </c>
      <c r="AS80" s="20"/>
      <c r="AT80" s="63"/>
      <c r="AU80" s="18"/>
      <c r="AV80" s="18"/>
      <c r="AX80" s="17"/>
      <c r="AY80" s="34">
        <v>7140202</v>
      </c>
      <c r="AZ80" s="33">
        <v>117</v>
      </c>
      <c r="BC80" s="43" t="s">
        <v>2134</v>
      </c>
    </row>
    <row r="81" spans="1:67" ht="24.95" customHeight="1" x14ac:dyDescent="0.25">
      <c r="B81" s="36">
        <f>SUBTOTAL(103,$M$2:M81)</f>
        <v>80</v>
      </c>
      <c r="C81" s="37" t="s">
        <v>899</v>
      </c>
      <c r="D81" s="33" t="s">
        <v>79</v>
      </c>
      <c r="E81" s="36" t="s">
        <v>3</v>
      </c>
      <c r="F81" s="33" t="s">
        <v>557</v>
      </c>
      <c r="G81" s="33" t="s">
        <v>2675</v>
      </c>
      <c r="H81" s="33" t="s">
        <v>2677</v>
      </c>
      <c r="I81" s="33" t="s">
        <v>2369</v>
      </c>
      <c r="J81" s="36" t="s">
        <v>2414</v>
      </c>
      <c r="K81" s="25" t="s">
        <v>900</v>
      </c>
      <c r="L81" s="25" t="s">
        <v>901</v>
      </c>
      <c r="M81" s="38" t="s">
        <v>2135</v>
      </c>
      <c r="N81" s="33" t="s">
        <v>91</v>
      </c>
      <c r="O81" s="36">
        <v>1</v>
      </c>
      <c r="P81" s="36">
        <v>1</v>
      </c>
      <c r="Q81" s="36" t="s">
        <v>71</v>
      </c>
      <c r="R81" s="33" t="s">
        <v>2642</v>
      </c>
      <c r="S81" s="33" t="s">
        <v>2049</v>
      </c>
      <c r="T81" s="25"/>
      <c r="U81" s="33">
        <v>2020</v>
      </c>
      <c r="V81" s="36"/>
      <c r="W81" s="33"/>
      <c r="X81" s="33"/>
      <c r="Y81" s="33" t="s">
        <v>902</v>
      </c>
      <c r="Z81" s="33" t="s">
        <v>157</v>
      </c>
      <c r="AA81" s="37" t="s">
        <v>773</v>
      </c>
      <c r="AB81" s="33" t="s">
        <v>903</v>
      </c>
      <c r="AC81" s="25"/>
      <c r="AD81" s="72" t="s">
        <v>904</v>
      </c>
      <c r="AE81" s="25" t="s">
        <v>78</v>
      </c>
      <c r="AF81" s="33" t="s">
        <v>78</v>
      </c>
      <c r="AG81" s="33"/>
      <c r="AH81" s="80"/>
      <c r="AI81" s="33" t="s">
        <v>905</v>
      </c>
      <c r="AJ81" s="33"/>
      <c r="AK81" s="25" t="s">
        <v>906</v>
      </c>
      <c r="AL81" s="78" t="s">
        <v>907</v>
      </c>
      <c r="AM81" s="36" t="s">
        <v>904</v>
      </c>
      <c r="AN81" s="33" t="s">
        <v>908</v>
      </c>
      <c r="AO81" s="25"/>
      <c r="AP81" s="33" t="s">
        <v>909</v>
      </c>
      <c r="AQ81" s="43" t="s">
        <v>910</v>
      </c>
      <c r="AR81" s="33" t="s">
        <v>85</v>
      </c>
      <c r="AS81" s="20"/>
      <c r="AT81" s="18" t="s">
        <v>198</v>
      </c>
      <c r="AU81" s="45"/>
      <c r="AV81" s="18"/>
      <c r="AW81" s="17"/>
      <c r="AX81" s="17"/>
      <c r="AY81" s="34">
        <v>7140202</v>
      </c>
      <c r="AZ81" s="33">
        <v>118</v>
      </c>
      <c r="BB81" s="17"/>
      <c r="BC81" s="43" t="s">
        <v>2135</v>
      </c>
      <c r="BD81" s="17"/>
      <c r="BM81" s="46"/>
      <c r="BN81" s="46"/>
      <c r="BO81" s="47"/>
    </row>
    <row r="82" spans="1:67" ht="24.95" customHeight="1" x14ac:dyDescent="0.25">
      <c r="B82" s="36">
        <f>SUBTOTAL(103,$M$2:M82)</f>
        <v>81</v>
      </c>
      <c r="C82" s="33">
        <v>82</v>
      </c>
      <c r="D82" s="33" t="s">
        <v>79</v>
      </c>
      <c r="E82" s="33" t="s">
        <v>3</v>
      </c>
      <c r="F82" s="33" t="s">
        <v>557</v>
      </c>
      <c r="G82" s="33" t="s">
        <v>2678</v>
      </c>
      <c r="H82" s="33" t="s">
        <v>2900</v>
      </c>
      <c r="I82" s="33" t="s">
        <v>2369</v>
      </c>
      <c r="J82" s="33" t="s">
        <v>2415</v>
      </c>
      <c r="K82" s="42" t="s">
        <v>2020</v>
      </c>
      <c r="L82" s="42" t="s">
        <v>2021</v>
      </c>
      <c r="M82" s="38" t="s">
        <v>2138</v>
      </c>
      <c r="N82" s="33" t="s">
        <v>91</v>
      </c>
      <c r="O82" s="36">
        <v>1</v>
      </c>
      <c r="P82" s="36"/>
      <c r="Q82" s="33" t="s">
        <v>71</v>
      </c>
      <c r="R82" s="33" t="s">
        <v>2642</v>
      </c>
      <c r="S82" s="33" t="s">
        <v>2049</v>
      </c>
      <c r="T82" s="25"/>
      <c r="U82" s="33">
        <v>2016</v>
      </c>
      <c r="V82" s="33"/>
      <c r="W82" s="76"/>
      <c r="X82" s="71"/>
      <c r="Y82" s="71" t="s">
        <v>609</v>
      </c>
      <c r="Z82" s="33" t="s">
        <v>157</v>
      </c>
      <c r="AA82" s="36" t="s">
        <v>602</v>
      </c>
      <c r="AB82" s="36">
        <v>22.2</v>
      </c>
      <c r="AC82" s="25"/>
      <c r="AD82" s="35" t="s">
        <v>77</v>
      </c>
      <c r="AE82" s="25"/>
      <c r="AF82" s="25"/>
      <c r="AG82" s="25" t="s">
        <v>78</v>
      </c>
      <c r="AH82" s="25"/>
      <c r="AI82" s="33" t="s">
        <v>2022</v>
      </c>
      <c r="AJ82" s="33" t="s">
        <v>76</v>
      </c>
      <c r="AK82" s="42" t="s">
        <v>1740</v>
      </c>
      <c r="AL82" s="108" t="s">
        <v>2023</v>
      </c>
      <c r="AM82" s="33" t="s">
        <v>77</v>
      </c>
      <c r="AN82" s="40" t="s">
        <v>413</v>
      </c>
      <c r="AO82" s="73"/>
      <c r="AP82" s="33" t="s">
        <v>2024</v>
      </c>
      <c r="AQ82" s="109" t="s">
        <v>2025</v>
      </c>
      <c r="AR82" s="62"/>
      <c r="AT82" s="18"/>
      <c r="AU82" s="20"/>
      <c r="AV82" s="20"/>
      <c r="AW82" s="17"/>
      <c r="AY82" s="34">
        <v>7140202</v>
      </c>
      <c r="AZ82" s="33">
        <v>456</v>
      </c>
      <c r="BC82" s="38" t="s">
        <v>2138</v>
      </c>
    </row>
    <row r="83" spans="1:67" ht="24.95" customHeight="1" x14ac:dyDescent="0.25">
      <c r="A83" s="18" t="s">
        <v>2862</v>
      </c>
      <c r="B83" s="36">
        <f>SUBTOTAL(103,$M$2:M83)</f>
        <v>82</v>
      </c>
      <c r="C83" s="33">
        <v>1</v>
      </c>
      <c r="D83" s="33" t="s">
        <v>79</v>
      </c>
      <c r="E83" s="33" t="s">
        <v>3</v>
      </c>
      <c r="F83" s="34" t="s">
        <v>557</v>
      </c>
      <c r="G83" s="33" t="s">
        <v>2675</v>
      </c>
      <c r="H83" s="33" t="s">
        <v>2677</v>
      </c>
      <c r="I83" s="33" t="s">
        <v>2369</v>
      </c>
      <c r="J83" s="33" t="s">
        <v>2867</v>
      </c>
      <c r="K83" s="25" t="s">
        <v>338</v>
      </c>
      <c r="L83" s="25" t="s">
        <v>2706</v>
      </c>
      <c r="M83" s="38" t="s">
        <v>2707</v>
      </c>
      <c r="N83" s="33" t="s">
        <v>91</v>
      </c>
      <c r="O83" s="135">
        <v>1</v>
      </c>
      <c r="P83" s="135">
        <v>1</v>
      </c>
      <c r="Q83" s="33" t="s">
        <v>71</v>
      </c>
      <c r="R83" s="36" t="s">
        <v>2642</v>
      </c>
      <c r="S83" s="36" t="s">
        <v>2049</v>
      </c>
      <c r="T83" s="125"/>
      <c r="U83" s="33">
        <v>2021</v>
      </c>
      <c r="V83" s="33"/>
      <c r="W83" s="33"/>
      <c r="X83" s="33"/>
      <c r="Y83" s="33" t="s">
        <v>717</v>
      </c>
      <c r="Z83" s="33" t="s">
        <v>157</v>
      </c>
      <c r="AA83" s="25" t="s">
        <v>773</v>
      </c>
      <c r="AB83" s="33" t="s">
        <v>736</v>
      </c>
      <c r="AC83" s="33" t="s">
        <v>3</v>
      </c>
      <c r="AD83" s="37" t="s">
        <v>77</v>
      </c>
      <c r="AE83" s="25" t="s">
        <v>78</v>
      </c>
      <c r="AF83" s="25" t="s">
        <v>78</v>
      </c>
      <c r="AG83" s="103"/>
      <c r="AH83" s="25"/>
      <c r="AI83" s="33" t="s">
        <v>2027</v>
      </c>
      <c r="AJ83" s="33"/>
      <c r="AK83" s="25"/>
      <c r="AL83" s="43" t="s">
        <v>2708</v>
      </c>
      <c r="AM83" s="36" t="s">
        <v>77</v>
      </c>
      <c r="AN83" s="33" t="s">
        <v>2015</v>
      </c>
      <c r="AP83" s="33" t="s">
        <v>2709</v>
      </c>
      <c r="AQ83" s="43" t="s">
        <v>2710</v>
      </c>
      <c r="AR83" s="25"/>
      <c r="AS83" s="25"/>
      <c r="AT83" s="25"/>
      <c r="AU83" s="18"/>
      <c r="AV83" s="84" t="s">
        <v>5</v>
      </c>
      <c r="AW83" s="17"/>
      <c r="BC83" s="18"/>
      <c r="BN83" s="18"/>
      <c r="BO83" s="18"/>
    </row>
    <row r="84" spans="1:67" ht="24.95" customHeight="1" x14ac:dyDescent="0.25">
      <c r="A84" s="18" t="s">
        <v>2862</v>
      </c>
      <c r="B84" s="36">
        <f>SUBTOTAL(103,$M$2:M84)</f>
        <v>83</v>
      </c>
      <c r="C84" s="33">
        <v>2</v>
      </c>
      <c r="D84" s="33" t="s">
        <v>79</v>
      </c>
      <c r="E84" s="33" t="s">
        <v>3</v>
      </c>
      <c r="F84" s="34" t="s">
        <v>557</v>
      </c>
      <c r="G84" s="33" t="s">
        <v>2675</v>
      </c>
      <c r="H84" s="33" t="s">
        <v>2677</v>
      </c>
      <c r="I84" s="33" t="s">
        <v>2369</v>
      </c>
      <c r="J84" s="33" t="s">
        <v>2868</v>
      </c>
      <c r="K84" s="25" t="s">
        <v>2871</v>
      </c>
      <c r="L84" s="25" t="s">
        <v>290</v>
      </c>
      <c r="M84" s="38" t="s">
        <v>2711</v>
      </c>
      <c r="N84" s="33" t="s">
        <v>91</v>
      </c>
      <c r="O84" s="135">
        <v>1</v>
      </c>
      <c r="P84" s="135">
        <v>1</v>
      </c>
      <c r="Q84" s="33" t="s">
        <v>71</v>
      </c>
      <c r="R84" s="36" t="s">
        <v>2642</v>
      </c>
      <c r="S84" s="36" t="s">
        <v>2049</v>
      </c>
      <c r="T84" s="125"/>
      <c r="U84" s="33">
        <v>2015</v>
      </c>
      <c r="V84" s="33"/>
      <c r="W84" s="33"/>
      <c r="X84" s="33"/>
      <c r="Y84" s="33" t="s">
        <v>695</v>
      </c>
      <c r="Z84" s="33" t="s">
        <v>157</v>
      </c>
      <c r="AA84" s="25" t="s">
        <v>2019</v>
      </c>
      <c r="AB84" s="33" t="s">
        <v>2712</v>
      </c>
      <c r="AC84" s="33" t="s">
        <v>3</v>
      </c>
      <c r="AD84" s="37" t="s">
        <v>77</v>
      </c>
      <c r="AE84" s="25" t="s">
        <v>78</v>
      </c>
      <c r="AF84" s="25" t="s">
        <v>78</v>
      </c>
      <c r="AG84" s="103"/>
      <c r="AH84" s="25"/>
      <c r="AI84" s="33" t="s">
        <v>2713</v>
      </c>
      <c r="AJ84" s="33"/>
      <c r="AK84" s="25"/>
      <c r="AL84" s="43" t="s">
        <v>2714</v>
      </c>
      <c r="AM84" s="36" t="s">
        <v>77</v>
      </c>
      <c r="AN84" s="33" t="s">
        <v>2715</v>
      </c>
      <c r="AP84" s="33" t="s">
        <v>2716</v>
      </c>
      <c r="AQ84" s="43" t="s">
        <v>2717</v>
      </c>
      <c r="AR84" s="25"/>
      <c r="AS84" s="25"/>
      <c r="AT84" s="25"/>
      <c r="AU84" s="18"/>
      <c r="AV84" s="84" t="s">
        <v>5</v>
      </c>
      <c r="AW84" s="17"/>
      <c r="BC84" s="18"/>
      <c r="BN84" s="18"/>
      <c r="BO84" s="18"/>
    </row>
    <row r="85" spans="1:67" ht="24.95" customHeight="1" x14ac:dyDescent="0.25">
      <c r="B85" s="36">
        <f>SUBTOTAL(103,$M$2:M85)</f>
        <v>84</v>
      </c>
      <c r="C85" s="33"/>
      <c r="D85" s="36" t="s">
        <v>79</v>
      </c>
      <c r="E85" s="36" t="s">
        <v>3</v>
      </c>
      <c r="F85" s="36" t="s">
        <v>557</v>
      </c>
      <c r="G85" s="36" t="s">
        <v>2675</v>
      </c>
      <c r="H85" s="36" t="s">
        <v>2677</v>
      </c>
      <c r="I85" s="36" t="s">
        <v>2369</v>
      </c>
      <c r="J85" s="36" t="s">
        <v>2965</v>
      </c>
      <c r="K85" s="84" t="s">
        <v>2914</v>
      </c>
      <c r="L85" s="84" t="s">
        <v>2017</v>
      </c>
      <c r="M85" s="54" t="s">
        <v>2915</v>
      </c>
      <c r="N85" s="36" t="s">
        <v>91</v>
      </c>
      <c r="O85" s="36">
        <v>1</v>
      </c>
      <c r="P85" s="36"/>
      <c r="Q85" s="36" t="s">
        <v>71</v>
      </c>
      <c r="R85" s="36" t="s">
        <v>2642</v>
      </c>
      <c r="S85" s="71" t="s">
        <v>2049</v>
      </c>
      <c r="T85" s="36"/>
      <c r="U85" s="36">
        <v>2025</v>
      </c>
      <c r="V85" s="36"/>
      <c r="W85" s="36"/>
      <c r="X85" s="36"/>
      <c r="Y85" s="36">
        <v>8.1999999999999993</v>
      </c>
      <c r="Z85" s="36" t="s">
        <v>734</v>
      </c>
      <c r="AA85" s="36"/>
      <c r="AB85" s="36"/>
      <c r="AC85" s="25"/>
      <c r="AD85" s="36" t="s">
        <v>77</v>
      </c>
      <c r="AE85" s="84"/>
      <c r="AF85" s="84"/>
      <c r="AG85" s="84"/>
      <c r="AH85" s="84"/>
      <c r="AI85" s="36" t="s">
        <v>2949</v>
      </c>
      <c r="AJ85" s="36"/>
      <c r="AK85" s="64"/>
      <c r="AL85" s="57" t="s">
        <v>2950</v>
      </c>
      <c r="AM85" s="36" t="s">
        <v>77</v>
      </c>
      <c r="AN85" s="84" t="s">
        <v>185</v>
      </c>
      <c r="AO85" s="33"/>
      <c r="AP85" s="36" t="s">
        <v>2951</v>
      </c>
      <c r="AQ85" s="57" t="s">
        <v>2952</v>
      </c>
    </row>
    <row r="86" spans="1:67" ht="24.95" customHeight="1" x14ac:dyDescent="0.25">
      <c r="B86" s="36">
        <f>SUBTOTAL(103,$M$2:M86)</f>
        <v>85</v>
      </c>
      <c r="C86" s="33"/>
      <c r="D86" s="36" t="s">
        <v>79</v>
      </c>
      <c r="E86" s="36" t="s">
        <v>3</v>
      </c>
      <c r="F86" s="36" t="s">
        <v>557</v>
      </c>
      <c r="G86" s="36" t="s">
        <v>2675</v>
      </c>
      <c r="H86" s="36" t="s">
        <v>2677</v>
      </c>
      <c r="I86" s="36" t="s">
        <v>2369</v>
      </c>
      <c r="J86" s="36" t="s">
        <v>2966</v>
      </c>
      <c r="K86" s="84" t="s">
        <v>2916</v>
      </c>
      <c r="L86" s="84" t="s">
        <v>2917</v>
      </c>
      <c r="M86" s="54" t="s">
        <v>2918</v>
      </c>
      <c r="N86" s="36" t="s">
        <v>91</v>
      </c>
      <c r="O86" s="36">
        <v>1</v>
      </c>
      <c r="P86" s="36"/>
      <c r="Q86" s="36" t="s">
        <v>71</v>
      </c>
      <c r="R86" s="36" t="s">
        <v>2642</v>
      </c>
      <c r="S86" s="71" t="s">
        <v>2049</v>
      </c>
      <c r="T86" s="36"/>
      <c r="U86" s="36">
        <v>2021</v>
      </c>
      <c r="V86" s="36"/>
      <c r="W86" s="36"/>
      <c r="X86" s="36"/>
      <c r="Y86" s="36">
        <v>9.9</v>
      </c>
      <c r="Z86" s="36" t="s">
        <v>157</v>
      </c>
      <c r="AA86" s="36"/>
      <c r="AB86" s="36"/>
      <c r="AC86" s="25"/>
      <c r="AD86" s="36" t="s">
        <v>77</v>
      </c>
      <c r="AE86" s="84"/>
      <c r="AF86" s="84"/>
      <c r="AG86" s="84"/>
      <c r="AH86" s="84"/>
      <c r="AI86" s="36" t="s">
        <v>2953</v>
      </c>
      <c r="AJ86" s="36"/>
      <c r="AK86" s="64"/>
      <c r="AL86" s="57" t="s">
        <v>2018</v>
      </c>
      <c r="AM86" s="36"/>
      <c r="AN86" s="84"/>
      <c r="AO86" s="33"/>
      <c r="AP86" s="36"/>
      <c r="AQ86" s="57"/>
    </row>
    <row r="87" spans="1:67" ht="24.95" customHeight="1" x14ac:dyDescent="0.25">
      <c r="B87" s="36">
        <f>SUBTOTAL(103,$M$2:M87)</f>
        <v>86</v>
      </c>
      <c r="C87" s="33"/>
      <c r="D87" s="33" t="s">
        <v>79</v>
      </c>
      <c r="E87" s="33" t="s">
        <v>3</v>
      </c>
      <c r="F87" s="36" t="s">
        <v>557</v>
      </c>
      <c r="G87" s="33" t="s">
        <v>2675</v>
      </c>
      <c r="H87" s="33" t="s">
        <v>2677</v>
      </c>
      <c r="I87" s="36" t="s">
        <v>2369</v>
      </c>
      <c r="J87" s="36" t="s">
        <v>2993</v>
      </c>
      <c r="K87" s="25" t="s">
        <v>2980</v>
      </c>
      <c r="L87" s="42" t="s">
        <v>224</v>
      </c>
      <c r="M87" s="77" t="s">
        <v>2981</v>
      </c>
      <c r="N87" s="36" t="s">
        <v>91</v>
      </c>
      <c r="O87" s="36">
        <v>1</v>
      </c>
      <c r="P87" s="36"/>
      <c r="Q87" s="36" t="s">
        <v>71</v>
      </c>
      <c r="R87" s="71" t="s">
        <v>2642</v>
      </c>
      <c r="S87" s="71" t="s">
        <v>2049</v>
      </c>
      <c r="T87" s="25"/>
      <c r="U87" s="33">
        <v>2018</v>
      </c>
      <c r="V87" s="36"/>
      <c r="W87" s="60"/>
      <c r="X87" s="44"/>
      <c r="Y87" s="33">
        <v>8.1</v>
      </c>
      <c r="Z87" s="44" t="s">
        <v>157</v>
      </c>
      <c r="AA87" s="33" t="s">
        <v>602</v>
      </c>
      <c r="AB87" s="33">
        <v>24.4</v>
      </c>
      <c r="AC87" s="25"/>
      <c r="AD87" s="36" t="s">
        <v>77</v>
      </c>
      <c r="AE87" s="36"/>
      <c r="AF87" s="36"/>
      <c r="AG87" s="25"/>
      <c r="AH87" s="36"/>
      <c r="AI87" s="33" t="s">
        <v>2688</v>
      </c>
      <c r="AJ87" s="33"/>
      <c r="AK87" s="25"/>
      <c r="AL87" s="43" t="s">
        <v>2982</v>
      </c>
      <c r="AM87" s="33" t="s">
        <v>77</v>
      </c>
      <c r="AN87" s="33" t="s">
        <v>2983</v>
      </c>
      <c r="AO87" s="33"/>
      <c r="AP87" s="33" t="s">
        <v>2984</v>
      </c>
      <c r="AQ87" s="43" t="s">
        <v>2985</v>
      </c>
    </row>
    <row r="88" spans="1:67" ht="24.95" customHeight="1" x14ac:dyDescent="0.25">
      <c r="B88" s="36">
        <f>SUBTOTAL(103,$M$2:M88)</f>
        <v>87</v>
      </c>
      <c r="C88" s="37" t="s">
        <v>67</v>
      </c>
      <c r="D88" s="33" t="s">
        <v>79</v>
      </c>
      <c r="E88" s="36" t="s">
        <v>3</v>
      </c>
      <c r="F88" s="33" t="s">
        <v>33</v>
      </c>
      <c r="G88" s="33" t="s">
        <v>2675</v>
      </c>
      <c r="H88" s="33" t="s">
        <v>2677</v>
      </c>
      <c r="I88" s="33" t="s">
        <v>2420</v>
      </c>
      <c r="J88" s="33" t="s">
        <v>2416</v>
      </c>
      <c r="K88" s="25" t="s">
        <v>911</v>
      </c>
      <c r="L88" s="25" t="s">
        <v>912</v>
      </c>
      <c r="M88" s="38" t="s">
        <v>2140</v>
      </c>
      <c r="N88" s="36" t="s">
        <v>70</v>
      </c>
      <c r="O88" s="33">
        <v>0</v>
      </c>
      <c r="P88" s="33"/>
      <c r="Q88" s="36" t="s">
        <v>71</v>
      </c>
      <c r="R88" s="33" t="s">
        <v>2643</v>
      </c>
      <c r="S88" s="33" t="s">
        <v>2032</v>
      </c>
      <c r="T88" s="25" t="s">
        <v>6</v>
      </c>
      <c r="U88" s="33">
        <v>2010</v>
      </c>
      <c r="V88" s="37" t="s">
        <v>74</v>
      </c>
      <c r="W88" s="33" t="s">
        <v>94</v>
      </c>
      <c r="X88" s="33"/>
      <c r="Y88" s="33"/>
      <c r="Z88" s="33"/>
      <c r="AA88" s="37"/>
      <c r="AB88" s="33"/>
      <c r="AC88" s="25"/>
      <c r="AD88" s="51" t="s">
        <v>77</v>
      </c>
      <c r="AE88" s="33" t="s">
        <v>78</v>
      </c>
      <c r="AF88" s="33"/>
      <c r="AG88" s="25"/>
      <c r="AH88" s="80"/>
      <c r="AI88" s="33" t="s">
        <v>913</v>
      </c>
      <c r="AJ88" s="33" t="s">
        <v>76</v>
      </c>
      <c r="AK88" s="25"/>
      <c r="AL88" s="78" t="s">
        <v>914</v>
      </c>
      <c r="AM88" s="36" t="s">
        <v>77</v>
      </c>
      <c r="AN88" s="41" t="s">
        <v>141</v>
      </c>
      <c r="AO88" s="56"/>
      <c r="AP88" s="56" t="s">
        <v>915</v>
      </c>
      <c r="AQ88" s="43" t="s">
        <v>916</v>
      </c>
      <c r="AR88" s="33" t="s">
        <v>85</v>
      </c>
      <c r="AS88" s="20" t="s">
        <v>55</v>
      </c>
      <c r="AT88" s="18" t="s">
        <v>917</v>
      </c>
      <c r="AU88" s="45"/>
      <c r="AV88" s="18"/>
      <c r="AW88" s="17"/>
      <c r="AX88" s="17"/>
      <c r="AY88" s="34">
        <v>7140206</v>
      </c>
      <c r="AZ88" s="33">
        <v>120</v>
      </c>
      <c r="BB88" s="17"/>
      <c r="BC88" s="43" t="s">
        <v>2140</v>
      </c>
      <c r="BD88" s="17"/>
      <c r="BM88" s="46"/>
      <c r="BN88" s="46"/>
      <c r="BO88" s="47"/>
    </row>
    <row r="89" spans="1:67" ht="24.95" customHeight="1" x14ac:dyDescent="0.25">
      <c r="B89" s="36">
        <f>SUBTOTAL(103,$M$2:M89)</f>
        <v>88</v>
      </c>
      <c r="C89" s="37" t="s">
        <v>88</v>
      </c>
      <c r="D89" s="33" t="s">
        <v>79</v>
      </c>
      <c r="E89" s="33" t="s">
        <v>3</v>
      </c>
      <c r="F89" s="33" t="s">
        <v>33</v>
      </c>
      <c r="G89" s="33" t="s">
        <v>2675</v>
      </c>
      <c r="H89" s="33" t="s">
        <v>2677</v>
      </c>
      <c r="I89" s="33" t="s">
        <v>2420</v>
      </c>
      <c r="J89" s="33" t="s">
        <v>2417</v>
      </c>
      <c r="K89" s="25" t="s">
        <v>338</v>
      </c>
      <c r="L89" s="25" t="s">
        <v>262</v>
      </c>
      <c r="M89" s="38" t="s">
        <v>2141</v>
      </c>
      <c r="N89" s="33" t="s">
        <v>91</v>
      </c>
      <c r="O89" s="36">
        <v>1</v>
      </c>
      <c r="P89" s="36">
        <v>1</v>
      </c>
      <c r="Q89" s="33" t="s">
        <v>71</v>
      </c>
      <c r="R89" s="33" t="s">
        <v>2643</v>
      </c>
      <c r="S89" s="33" t="s">
        <v>2032</v>
      </c>
      <c r="T89" s="25" t="s">
        <v>6</v>
      </c>
      <c r="U89" s="33">
        <v>2017</v>
      </c>
      <c r="V89" s="33" t="s">
        <v>157</v>
      </c>
      <c r="W89" s="33" t="s">
        <v>918</v>
      </c>
      <c r="X89" s="33"/>
      <c r="Y89" s="33" t="s">
        <v>171</v>
      </c>
      <c r="Z89" s="33" t="s">
        <v>169</v>
      </c>
      <c r="AA89" s="33"/>
      <c r="AB89" s="33"/>
      <c r="AC89" s="25"/>
      <c r="AD89" s="51" t="s">
        <v>77</v>
      </c>
      <c r="AE89" s="25" t="s">
        <v>78</v>
      </c>
      <c r="AF89" s="25" t="s">
        <v>78</v>
      </c>
      <c r="AG89" s="25"/>
      <c r="AH89" s="25"/>
      <c r="AI89" s="33" t="s">
        <v>919</v>
      </c>
      <c r="AJ89" s="33" t="s">
        <v>76</v>
      </c>
      <c r="AK89" s="25" t="s">
        <v>920</v>
      </c>
      <c r="AL89" s="78" t="s">
        <v>921</v>
      </c>
      <c r="AM89" s="36" t="s">
        <v>77</v>
      </c>
      <c r="AN89" s="40" t="s">
        <v>277</v>
      </c>
      <c r="AO89" s="62"/>
      <c r="AP89" s="33" t="s">
        <v>922</v>
      </c>
      <c r="AQ89" s="43" t="s">
        <v>923</v>
      </c>
      <c r="AR89" s="33" t="s">
        <v>85</v>
      </c>
      <c r="AS89" s="20"/>
      <c r="AT89" s="18" t="s">
        <v>188</v>
      </c>
      <c r="AU89" s="45"/>
      <c r="AV89" s="18"/>
      <c r="AW89" s="17"/>
      <c r="AX89" s="17"/>
      <c r="AY89" s="34">
        <v>7140206</v>
      </c>
      <c r="AZ89" s="33">
        <v>121</v>
      </c>
      <c r="BB89" s="17"/>
      <c r="BC89" s="43" t="s">
        <v>2141</v>
      </c>
      <c r="BD89" s="17"/>
      <c r="BM89" s="46"/>
      <c r="BN89" s="46"/>
      <c r="BO89" s="47"/>
    </row>
    <row r="90" spans="1:67" ht="24.95" customHeight="1" x14ac:dyDescent="0.25">
      <c r="B90" s="36">
        <f>SUBTOTAL(103,$M$2:M90)</f>
        <v>89</v>
      </c>
      <c r="C90" s="37" t="s">
        <v>102</v>
      </c>
      <c r="D90" s="33" t="s">
        <v>79</v>
      </c>
      <c r="E90" s="36" t="s">
        <v>3</v>
      </c>
      <c r="F90" s="37" t="s">
        <v>33</v>
      </c>
      <c r="G90" s="33" t="s">
        <v>2675</v>
      </c>
      <c r="H90" s="33" t="s">
        <v>2677</v>
      </c>
      <c r="I90" s="33" t="s">
        <v>2420</v>
      </c>
      <c r="J90" s="33" t="s">
        <v>2418</v>
      </c>
      <c r="K90" s="48" t="s">
        <v>390</v>
      </c>
      <c r="L90" s="49" t="s">
        <v>924</v>
      </c>
      <c r="M90" s="50" t="s">
        <v>2142</v>
      </c>
      <c r="N90" s="37" t="s">
        <v>91</v>
      </c>
      <c r="O90" s="36">
        <v>1</v>
      </c>
      <c r="P90" s="36"/>
      <c r="Q90" s="37" t="s">
        <v>71</v>
      </c>
      <c r="R90" s="33" t="s">
        <v>2643</v>
      </c>
      <c r="S90" s="33" t="s">
        <v>2032</v>
      </c>
      <c r="T90" s="48" t="s">
        <v>925</v>
      </c>
      <c r="U90" s="37" t="s">
        <v>926</v>
      </c>
      <c r="V90" s="37" t="s">
        <v>74</v>
      </c>
      <c r="W90" s="37" t="s">
        <v>927</v>
      </c>
      <c r="X90" s="37"/>
      <c r="Y90" s="37" t="s">
        <v>928</v>
      </c>
      <c r="Z90" s="37" t="s">
        <v>169</v>
      </c>
      <c r="AA90" s="37"/>
      <c r="AB90" s="37"/>
      <c r="AC90" s="25"/>
      <c r="AD90" s="51" t="s">
        <v>77</v>
      </c>
      <c r="AE90" s="37" t="s">
        <v>78</v>
      </c>
      <c r="AF90" s="37" t="s">
        <v>78</v>
      </c>
      <c r="AG90" s="37"/>
      <c r="AH90" s="37"/>
      <c r="AI90" s="37" t="s">
        <v>149</v>
      </c>
      <c r="AJ90" s="37" t="s">
        <v>76</v>
      </c>
      <c r="AK90" s="37"/>
      <c r="AL90" s="146" t="s">
        <v>929</v>
      </c>
      <c r="AM90" s="37" t="s">
        <v>77</v>
      </c>
      <c r="AN90" s="41" t="s">
        <v>217</v>
      </c>
      <c r="AO90" s="56"/>
      <c r="AP90" s="56" t="s">
        <v>930</v>
      </c>
      <c r="AQ90" s="50" t="s">
        <v>931</v>
      </c>
      <c r="AR90" s="37" t="s">
        <v>550</v>
      </c>
      <c r="AS90" s="20"/>
      <c r="AT90" s="18" t="s">
        <v>87</v>
      </c>
      <c r="AU90" s="45"/>
      <c r="AV90" s="18"/>
      <c r="AW90" s="17"/>
      <c r="AX90" s="17"/>
      <c r="AY90" s="34">
        <v>7140206</v>
      </c>
      <c r="AZ90" s="33">
        <v>122</v>
      </c>
      <c r="BB90" s="17"/>
      <c r="BC90" s="50" t="s">
        <v>2142</v>
      </c>
      <c r="BD90" s="17"/>
      <c r="BM90" s="46"/>
      <c r="BN90" s="46"/>
      <c r="BO90" s="47"/>
    </row>
    <row r="91" spans="1:67" ht="24.95" customHeight="1" x14ac:dyDescent="0.25">
      <c r="B91" s="36">
        <f>SUBTOTAL(103,$M$2:M91)</f>
        <v>90</v>
      </c>
      <c r="C91" s="37" t="s">
        <v>115</v>
      </c>
      <c r="D91" s="33" t="s">
        <v>79</v>
      </c>
      <c r="E91" s="33" t="s">
        <v>3</v>
      </c>
      <c r="F91" s="33" t="s">
        <v>33</v>
      </c>
      <c r="G91" s="33" t="s">
        <v>2675</v>
      </c>
      <c r="H91" s="33" t="s">
        <v>2677</v>
      </c>
      <c r="I91" s="33" t="s">
        <v>2420</v>
      </c>
      <c r="J91" s="33" t="s">
        <v>2419</v>
      </c>
      <c r="K91" s="25" t="s">
        <v>932</v>
      </c>
      <c r="L91" s="25" t="s">
        <v>933</v>
      </c>
      <c r="M91" s="38" t="s">
        <v>2143</v>
      </c>
      <c r="N91" s="33" t="s">
        <v>70</v>
      </c>
      <c r="O91" s="33">
        <v>0</v>
      </c>
      <c r="P91" s="33">
        <v>1</v>
      </c>
      <c r="Q91" s="33" t="s">
        <v>71</v>
      </c>
      <c r="R91" s="33" t="s">
        <v>2643</v>
      </c>
      <c r="S91" s="33" t="s">
        <v>2032</v>
      </c>
      <c r="T91" s="25" t="s">
        <v>6</v>
      </c>
      <c r="U91" s="33">
        <v>2009</v>
      </c>
      <c r="V91" s="33" t="s">
        <v>74</v>
      </c>
      <c r="W91" s="33" t="s">
        <v>934</v>
      </c>
      <c r="X91" s="33"/>
      <c r="Y91" s="33" t="s">
        <v>341</v>
      </c>
      <c r="Z91" s="33" t="s">
        <v>169</v>
      </c>
      <c r="AA91" s="33"/>
      <c r="AB91" s="33"/>
      <c r="AC91" s="25"/>
      <c r="AD91" s="51" t="s">
        <v>77</v>
      </c>
      <c r="AE91" s="25" t="s">
        <v>78</v>
      </c>
      <c r="AF91" s="25" t="s">
        <v>78</v>
      </c>
      <c r="AG91" s="25"/>
      <c r="AH91" s="25"/>
      <c r="AI91" s="33" t="s">
        <v>935</v>
      </c>
      <c r="AJ91" s="33" t="s">
        <v>76</v>
      </c>
      <c r="AK91" s="25"/>
      <c r="AL91" s="78" t="s">
        <v>936</v>
      </c>
      <c r="AM91" s="83" t="s">
        <v>77</v>
      </c>
      <c r="AN91" s="33" t="s">
        <v>286</v>
      </c>
      <c r="AO91" s="25"/>
      <c r="AP91" s="33" t="s">
        <v>937</v>
      </c>
      <c r="AQ91" s="43" t="s">
        <v>938</v>
      </c>
      <c r="AR91" s="33" t="s">
        <v>85</v>
      </c>
      <c r="AS91" s="20"/>
      <c r="AT91" s="63" t="s">
        <v>939</v>
      </c>
      <c r="AU91" s="18"/>
      <c r="AV91" s="18"/>
      <c r="AX91" s="17"/>
      <c r="AY91" s="34">
        <v>7140206</v>
      </c>
      <c r="AZ91" s="33">
        <v>123</v>
      </c>
      <c r="BC91" s="43" t="s">
        <v>2143</v>
      </c>
    </row>
    <row r="92" spans="1:67" ht="24.95" customHeight="1" x14ac:dyDescent="0.25">
      <c r="B92" s="36">
        <f>SUBTOTAL(103,$M$2:M92)</f>
        <v>91</v>
      </c>
      <c r="C92" s="37" t="s">
        <v>67</v>
      </c>
      <c r="D92" s="33" t="s">
        <v>79</v>
      </c>
      <c r="E92" s="36" t="s">
        <v>3</v>
      </c>
      <c r="F92" s="33" t="s">
        <v>33</v>
      </c>
      <c r="G92" s="33" t="s">
        <v>2679</v>
      </c>
      <c r="H92" s="33" t="s">
        <v>2677</v>
      </c>
      <c r="I92" s="33" t="s">
        <v>2422</v>
      </c>
      <c r="J92" s="33" t="s">
        <v>2421</v>
      </c>
      <c r="K92" s="25" t="s">
        <v>103</v>
      </c>
      <c r="L92" s="25" t="s">
        <v>940</v>
      </c>
      <c r="M92" s="38" t="s">
        <v>2144</v>
      </c>
      <c r="N92" s="33" t="s">
        <v>91</v>
      </c>
      <c r="O92" s="36">
        <v>1</v>
      </c>
      <c r="P92" s="36">
        <v>1</v>
      </c>
      <c r="Q92" s="36" t="s">
        <v>71</v>
      </c>
      <c r="R92" s="33" t="s">
        <v>2644</v>
      </c>
      <c r="S92" s="33" t="s">
        <v>2050</v>
      </c>
      <c r="T92" s="25" t="s">
        <v>941</v>
      </c>
      <c r="U92" s="33">
        <v>2002</v>
      </c>
      <c r="V92" s="33" t="s">
        <v>257</v>
      </c>
      <c r="W92" s="33" t="s">
        <v>942</v>
      </c>
      <c r="X92" s="33"/>
      <c r="Y92" s="33" t="s">
        <v>330</v>
      </c>
      <c r="Z92" s="37" t="s">
        <v>74</v>
      </c>
      <c r="AA92" s="37"/>
      <c r="AB92" s="33"/>
      <c r="AC92" s="25"/>
      <c r="AD92" s="51" t="s">
        <v>77</v>
      </c>
      <c r="AE92" s="25" t="s">
        <v>78</v>
      </c>
      <c r="AF92" s="25" t="s">
        <v>78</v>
      </c>
      <c r="AG92" s="25"/>
      <c r="AH92" s="80"/>
      <c r="AI92" s="33" t="s">
        <v>149</v>
      </c>
      <c r="AJ92" s="33" t="s">
        <v>76</v>
      </c>
      <c r="AK92" s="25"/>
      <c r="AL92" s="78" t="s">
        <v>943</v>
      </c>
      <c r="AM92" s="36" t="s">
        <v>77</v>
      </c>
      <c r="AN92" s="41" t="s">
        <v>401</v>
      </c>
      <c r="AO92" s="41"/>
      <c r="AP92" s="37" t="s">
        <v>944</v>
      </c>
      <c r="AQ92" s="43" t="s">
        <v>945</v>
      </c>
      <c r="AR92" s="37" t="s">
        <v>85</v>
      </c>
      <c r="AS92" s="110" t="s">
        <v>416</v>
      </c>
      <c r="AT92" s="18" t="s">
        <v>433</v>
      </c>
      <c r="AU92" s="45"/>
      <c r="AV92" s="18"/>
      <c r="AW92" s="17"/>
      <c r="AX92" s="17"/>
      <c r="AY92" s="34">
        <v>7140209</v>
      </c>
      <c r="AZ92" s="33">
        <v>125</v>
      </c>
      <c r="BB92" s="17"/>
      <c r="BC92" s="43" t="s">
        <v>2144</v>
      </c>
      <c r="BD92" s="17"/>
      <c r="BM92" s="46"/>
      <c r="BN92" s="46"/>
      <c r="BO92" s="47"/>
    </row>
    <row r="93" spans="1:67" ht="24.95" customHeight="1" x14ac:dyDescent="0.25">
      <c r="B93" s="36">
        <f>SUBTOTAL(103,$M$2:M93)</f>
        <v>92</v>
      </c>
      <c r="C93" s="37" t="s">
        <v>88</v>
      </c>
      <c r="D93" s="33" t="s">
        <v>79</v>
      </c>
      <c r="E93" s="33" t="s">
        <v>3</v>
      </c>
      <c r="F93" s="33" t="s">
        <v>33</v>
      </c>
      <c r="G93" s="33" t="s">
        <v>2679</v>
      </c>
      <c r="H93" s="33" t="s">
        <v>2677</v>
      </c>
      <c r="I93" s="33" t="s">
        <v>2422</v>
      </c>
      <c r="J93" s="33" t="s">
        <v>2423</v>
      </c>
      <c r="K93" s="25" t="s">
        <v>390</v>
      </c>
      <c r="L93" s="25" t="s">
        <v>946</v>
      </c>
      <c r="M93" s="38" t="s">
        <v>2145</v>
      </c>
      <c r="N93" s="33" t="s">
        <v>91</v>
      </c>
      <c r="O93" s="36">
        <v>1</v>
      </c>
      <c r="P93" s="36">
        <v>1</v>
      </c>
      <c r="Q93" s="33" t="s">
        <v>71</v>
      </c>
      <c r="R93" s="33" t="s">
        <v>2644</v>
      </c>
      <c r="S93" s="33" t="s">
        <v>2050</v>
      </c>
      <c r="T93" s="25" t="s">
        <v>947</v>
      </c>
      <c r="U93" s="33">
        <v>2009</v>
      </c>
      <c r="V93" s="33" t="s">
        <v>257</v>
      </c>
      <c r="W93" s="33" t="s">
        <v>948</v>
      </c>
      <c r="X93" s="33"/>
      <c r="Y93" s="33" t="s">
        <v>304</v>
      </c>
      <c r="Z93" s="33" t="s">
        <v>74</v>
      </c>
      <c r="AA93" s="37"/>
      <c r="AB93" s="33"/>
      <c r="AC93" s="25"/>
      <c r="AD93" s="51" t="s">
        <v>77</v>
      </c>
      <c r="AE93" s="25" t="s">
        <v>78</v>
      </c>
      <c r="AF93" s="33" t="s">
        <v>78</v>
      </c>
      <c r="AG93" s="33"/>
      <c r="AH93" s="80"/>
      <c r="AI93" s="33" t="s">
        <v>949</v>
      </c>
      <c r="AJ93" s="33" t="s">
        <v>76</v>
      </c>
      <c r="AK93" s="25" t="s">
        <v>950</v>
      </c>
      <c r="AL93" s="78" t="s">
        <v>951</v>
      </c>
      <c r="AM93" s="36" t="s">
        <v>77</v>
      </c>
      <c r="AN93" s="40" t="s">
        <v>952</v>
      </c>
      <c r="AO93" s="62"/>
      <c r="AP93" s="33" t="s">
        <v>953</v>
      </c>
      <c r="AQ93" s="43" t="s">
        <v>954</v>
      </c>
      <c r="AR93" s="33" t="s">
        <v>85</v>
      </c>
      <c r="AS93" s="20" t="s">
        <v>955</v>
      </c>
      <c r="AT93" s="18" t="s">
        <v>367</v>
      </c>
      <c r="AU93" s="45"/>
      <c r="AV93" s="18"/>
      <c r="AW93" s="17"/>
      <c r="AX93" s="17"/>
      <c r="AY93" s="34">
        <v>7140209</v>
      </c>
      <c r="AZ93" s="33">
        <v>126</v>
      </c>
      <c r="BB93" s="17"/>
      <c r="BC93" s="43" t="s">
        <v>2145</v>
      </c>
      <c r="BD93" s="17"/>
      <c r="BM93" s="46"/>
      <c r="BN93" s="46"/>
      <c r="BO93" s="47"/>
    </row>
    <row r="94" spans="1:67" ht="24.95" customHeight="1" x14ac:dyDescent="0.25">
      <c r="B94" s="36">
        <f>SUBTOTAL(103,$M$2:M94)</f>
        <v>93</v>
      </c>
      <c r="C94" s="37" t="s">
        <v>102</v>
      </c>
      <c r="D94" s="33" t="s">
        <v>79</v>
      </c>
      <c r="E94" s="33" t="s">
        <v>3</v>
      </c>
      <c r="F94" s="33" t="s">
        <v>33</v>
      </c>
      <c r="G94" s="33" t="s">
        <v>2679</v>
      </c>
      <c r="H94" s="33" t="s">
        <v>2677</v>
      </c>
      <c r="I94" s="33" t="s">
        <v>2422</v>
      </c>
      <c r="J94" s="33" t="s">
        <v>2424</v>
      </c>
      <c r="K94" s="25" t="s">
        <v>956</v>
      </c>
      <c r="L94" s="25" t="s">
        <v>850</v>
      </c>
      <c r="M94" s="38" t="s">
        <v>2146</v>
      </c>
      <c r="N94" s="33" t="s">
        <v>91</v>
      </c>
      <c r="O94" s="36">
        <v>1</v>
      </c>
      <c r="P94" s="36"/>
      <c r="Q94" s="33" t="s">
        <v>359</v>
      </c>
      <c r="R94" s="33" t="s">
        <v>2644</v>
      </c>
      <c r="S94" s="33" t="s">
        <v>2050</v>
      </c>
      <c r="T94" s="25" t="s">
        <v>957</v>
      </c>
      <c r="U94" s="33">
        <v>2008</v>
      </c>
      <c r="V94" s="33" t="s">
        <v>257</v>
      </c>
      <c r="W94" s="33" t="s">
        <v>958</v>
      </c>
      <c r="X94" s="33"/>
      <c r="Y94" s="33" t="s">
        <v>352</v>
      </c>
      <c r="Z94" s="33" t="s">
        <v>74</v>
      </c>
      <c r="AA94" s="37"/>
      <c r="AB94" s="33"/>
      <c r="AC94" s="25"/>
      <c r="AD94" s="51" t="s">
        <v>77</v>
      </c>
      <c r="AE94" s="25" t="s">
        <v>78</v>
      </c>
      <c r="AF94" s="33" t="s">
        <v>78</v>
      </c>
      <c r="AG94" s="33"/>
      <c r="AH94" s="80"/>
      <c r="AI94" s="37" t="s">
        <v>149</v>
      </c>
      <c r="AJ94" s="33" t="s">
        <v>76</v>
      </c>
      <c r="AK94" s="25"/>
      <c r="AL94" s="78" t="s">
        <v>959</v>
      </c>
      <c r="AM94" s="36" t="s">
        <v>77</v>
      </c>
      <c r="AN94" s="37" t="s">
        <v>260</v>
      </c>
      <c r="AO94" s="37"/>
      <c r="AP94" s="33" t="s">
        <v>960</v>
      </c>
      <c r="AQ94" s="43" t="s">
        <v>961</v>
      </c>
      <c r="AR94" s="33" t="s">
        <v>85</v>
      </c>
      <c r="AS94" s="20"/>
      <c r="AT94" s="18" t="s">
        <v>367</v>
      </c>
      <c r="AU94" s="45"/>
      <c r="AV94" s="18"/>
      <c r="AW94" s="17"/>
      <c r="AX94" s="17"/>
      <c r="AY94" s="34">
        <v>7140209</v>
      </c>
      <c r="AZ94" s="33">
        <v>127</v>
      </c>
      <c r="BB94" s="17"/>
      <c r="BC94" s="43" t="s">
        <v>2146</v>
      </c>
      <c r="BD94" s="17"/>
      <c r="BM94" s="46"/>
      <c r="BN94" s="46"/>
      <c r="BO94" s="47"/>
    </row>
    <row r="95" spans="1:67" ht="24.95" customHeight="1" x14ac:dyDescent="0.25">
      <c r="B95" s="36">
        <f>SUBTOTAL(103,$M$2:M95)</f>
        <v>94</v>
      </c>
      <c r="C95" s="37" t="s">
        <v>115</v>
      </c>
      <c r="D95" s="33" t="s">
        <v>79</v>
      </c>
      <c r="E95" s="36" t="s">
        <v>3</v>
      </c>
      <c r="F95" s="36" t="s">
        <v>33</v>
      </c>
      <c r="G95" s="33" t="s">
        <v>2679</v>
      </c>
      <c r="H95" s="33" t="s">
        <v>2677</v>
      </c>
      <c r="I95" s="33" t="s">
        <v>2422</v>
      </c>
      <c r="J95" s="33" t="s">
        <v>2425</v>
      </c>
      <c r="K95" s="25" t="s">
        <v>125</v>
      </c>
      <c r="L95" s="25" t="s">
        <v>962</v>
      </c>
      <c r="M95" s="54" t="s">
        <v>2147</v>
      </c>
      <c r="N95" s="33" t="s">
        <v>70</v>
      </c>
      <c r="O95" s="33">
        <v>0</v>
      </c>
      <c r="P95" s="33">
        <v>1</v>
      </c>
      <c r="Q95" s="33" t="s">
        <v>71</v>
      </c>
      <c r="R95" s="33" t="s">
        <v>2644</v>
      </c>
      <c r="S95" s="33" t="s">
        <v>2050</v>
      </c>
      <c r="T95" s="25" t="s">
        <v>7</v>
      </c>
      <c r="U95" s="33">
        <v>2011</v>
      </c>
      <c r="V95" s="37" t="s">
        <v>257</v>
      </c>
      <c r="W95" s="36" t="s">
        <v>963</v>
      </c>
      <c r="X95" s="36"/>
      <c r="Y95" s="33"/>
      <c r="Z95" s="37"/>
      <c r="AA95" s="37"/>
      <c r="AB95" s="33"/>
      <c r="AC95" s="25"/>
      <c r="AD95" s="51" t="s">
        <v>77</v>
      </c>
      <c r="AE95" s="33" t="s">
        <v>78</v>
      </c>
      <c r="AF95" s="33"/>
      <c r="AG95" s="25"/>
      <c r="AH95" s="80"/>
      <c r="AI95" s="33" t="s">
        <v>964</v>
      </c>
      <c r="AJ95" s="37" t="s">
        <v>76</v>
      </c>
      <c r="AK95" s="25"/>
      <c r="AL95" s="78" t="s">
        <v>965</v>
      </c>
      <c r="AM95" s="36" t="s">
        <v>77</v>
      </c>
      <c r="AN95" s="41" t="s">
        <v>354</v>
      </c>
      <c r="AO95" s="41"/>
      <c r="AP95" s="33" t="s">
        <v>966</v>
      </c>
      <c r="AQ95" s="43" t="s">
        <v>967</v>
      </c>
      <c r="AR95" s="33" t="s">
        <v>85</v>
      </c>
      <c r="AS95" s="20" t="s">
        <v>659</v>
      </c>
      <c r="AT95" s="18" t="s">
        <v>816</v>
      </c>
      <c r="AU95" s="45"/>
      <c r="AV95" s="18"/>
      <c r="AW95" s="17"/>
      <c r="AX95" s="17"/>
      <c r="AY95" s="34">
        <v>7140209</v>
      </c>
      <c r="AZ95" s="33">
        <v>128</v>
      </c>
      <c r="BB95" s="17"/>
      <c r="BC95" s="57" t="s">
        <v>2147</v>
      </c>
      <c r="BD95" s="17"/>
      <c r="BM95" s="46"/>
      <c r="BN95" s="46"/>
      <c r="BO95" s="47"/>
    </row>
    <row r="96" spans="1:67" ht="24.95" customHeight="1" x14ac:dyDescent="0.25">
      <c r="B96" s="36">
        <f>SUBTOTAL(103,$M$2:M96)</f>
        <v>95</v>
      </c>
      <c r="C96" s="37" t="s">
        <v>124</v>
      </c>
      <c r="D96" s="33" t="s">
        <v>79</v>
      </c>
      <c r="E96" s="36" t="s">
        <v>3</v>
      </c>
      <c r="F96" s="33" t="s">
        <v>34</v>
      </c>
      <c r="G96" s="33" t="s">
        <v>2679</v>
      </c>
      <c r="H96" s="33" t="s">
        <v>2677</v>
      </c>
      <c r="I96" s="33" t="s">
        <v>2422</v>
      </c>
      <c r="J96" s="33" t="s">
        <v>2426</v>
      </c>
      <c r="K96" s="25" t="s">
        <v>390</v>
      </c>
      <c r="L96" s="25" t="s">
        <v>968</v>
      </c>
      <c r="M96" s="38" t="s">
        <v>2148</v>
      </c>
      <c r="N96" s="33" t="s">
        <v>91</v>
      </c>
      <c r="O96" s="36">
        <v>1</v>
      </c>
      <c r="P96" s="36"/>
      <c r="Q96" s="37" t="s">
        <v>71</v>
      </c>
      <c r="R96" s="33" t="s">
        <v>2644</v>
      </c>
      <c r="S96" s="33" t="s">
        <v>2050</v>
      </c>
      <c r="T96" s="25" t="s">
        <v>969</v>
      </c>
      <c r="U96" s="33">
        <v>2011</v>
      </c>
      <c r="V96" s="33" t="s">
        <v>74</v>
      </c>
      <c r="W96" s="33" t="s">
        <v>970</v>
      </c>
      <c r="X96" s="33"/>
      <c r="Y96" s="33"/>
      <c r="Z96" s="33"/>
      <c r="AA96" s="37"/>
      <c r="AB96" s="33"/>
      <c r="AC96" s="25"/>
      <c r="AD96" s="51" t="s">
        <v>77</v>
      </c>
      <c r="AE96" s="33"/>
      <c r="AF96" s="33"/>
      <c r="AG96" s="25"/>
      <c r="AH96" s="80"/>
      <c r="AI96" s="33" t="s">
        <v>149</v>
      </c>
      <c r="AJ96" s="33" t="s">
        <v>76</v>
      </c>
      <c r="AK96" s="25"/>
      <c r="AL96" s="78" t="s">
        <v>971</v>
      </c>
      <c r="AM96" s="36" t="s">
        <v>77</v>
      </c>
      <c r="AN96" s="41" t="s">
        <v>150</v>
      </c>
      <c r="AO96" s="41"/>
      <c r="AP96" s="33" t="s">
        <v>972</v>
      </c>
      <c r="AQ96" s="43" t="s">
        <v>973</v>
      </c>
      <c r="AR96" s="33" t="s">
        <v>85</v>
      </c>
      <c r="AS96" s="20"/>
      <c r="AT96" s="18" t="s">
        <v>816</v>
      </c>
      <c r="AU96" s="45"/>
      <c r="AV96" s="18"/>
      <c r="AW96" s="17"/>
      <c r="AX96" s="17"/>
      <c r="AY96" s="34">
        <v>7140209</v>
      </c>
      <c r="AZ96" s="33">
        <v>129</v>
      </c>
      <c r="BB96" s="17"/>
      <c r="BC96" s="43" t="s">
        <v>2148</v>
      </c>
      <c r="BD96" s="17"/>
      <c r="BM96" s="46"/>
      <c r="BN96" s="46"/>
      <c r="BO96" s="47"/>
    </row>
    <row r="97" spans="1:67" ht="24.95" customHeight="1" x14ac:dyDescent="0.25">
      <c r="B97" s="36">
        <f>SUBTOTAL(103,$M$2:M97)</f>
        <v>96</v>
      </c>
      <c r="C97" s="37" t="s">
        <v>133</v>
      </c>
      <c r="D97" s="33" t="s">
        <v>79</v>
      </c>
      <c r="E97" s="36" t="s">
        <v>3</v>
      </c>
      <c r="F97" s="33" t="s">
        <v>34</v>
      </c>
      <c r="G97" s="33" t="s">
        <v>2679</v>
      </c>
      <c r="H97" s="33" t="s">
        <v>2677</v>
      </c>
      <c r="I97" s="33" t="s">
        <v>2422</v>
      </c>
      <c r="J97" s="33" t="s">
        <v>2427</v>
      </c>
      <c r="K97" s="25" t="s">
        <v>89</v>
      </c>
      <c r="L97" s="25" t="s">
        <v>974</v>
      </c>
      <c r="M97" s="38" t="s">
        <v>2149</v>
      </c>
      <c r="N97" s="33" t="s">
        <v>91</v>
      </c>
      <c r="O97" s="36">
        <v>1</v>
      </c>
      <c r="P97" s="36">
        <v>1</v>
      </c>
      <c r="Q97" s="36" t="s">
        <v>71</v>
      </c>
      <c r="R97" s="33" t="s">
        <v>2644</v>
      </c>
      <c r="S97" s="33" t="s">
        <v>2050</v>
      </c>
      <c r="T97" s="25" t="s">
        <v>10</v>
      </c>
      <c r="U97" s="33">
        <v>2008</v>
      </c>
      <c r="V97" s="33" t="s">
        <v>257</v>
      </c>
      <c r="W97" s="33" t="s">
        <v>975</v>
      </c>
      <c r="X97" s="33"/>
      <c r="Y97" s="33" t="s">
        <v>107</v>
      </c>
      <c r="Z97" s="37" t="s">
        <v>74</v>
      </c>
      <c r="AA97" s="37"/>
      <c r="AB97" s="33"/>
      <c r="AC97" s="25"/>
      <c r="AD97" s="51" t="s">
        <v>77</v>
      </c>
      <c r="AE97" s="25" t="s">
        <v>78</v>
      </c>
      <c r="AF97" s="33" t="s">
        <v>78</v>
      </c>
      <c r="AG97" s="25">
        <v>17</v>
      </c>
      <c r="AH97" s="80"/>
      <c r="AI97" s="37" t="s">
        <v>127</v>
      </c>
      <c r="AJ97" s="33" t="s">
        <v>76</v>
      </c>
      <c r="AK97" s="25"/>
      <c r="AL97" s="78" t="s">
        <v>976</v>
      </c>
      <c r="AM97" s="36" t="s">
        <v>77</v>
      </c>
      <c r="AN97" s="40" t="s">
        <v>307</v>
      </c>
      <c r="AO97" s="52"/>
      <c r="AP97" s="111" t="s">
        <v>977</v>
      </c>
      <c r="AQ97" s="43" t="s">
        <v>978</v>
      </c>
      <c r="AR97" s="33" t="s">
        <v>85</v>
      </c>
      <c r="AS97" s="20"/>
      <c r="AT97" s="18" t="s">
        <v>596</v>
      </c>
      <c r="AU97" s="45"/>
      <c r="AV97" s="18"/>
      <c r="AW97" s="17"/>
      <c r="AX97" s="17"/>
      <c r="AY97" s="34">
        <v>7140209</v>
      </c>
      <c r="AZ97" s="33">
        <v>130</v>
      </c>
      <c r="BB97" s="17"/>
      <c r="BC97" s="43" t="s">
        <v>2149</v>
      </c>
      <c r="BD97" s="17"/>
      <c r="BM97" s="46"/>
      <c r="BN97" s="46"/>
      <c r="BO97" s="47"/>
    </row>
    <row r="98" spans="1:67" ht="24.95" customHeight="1" x14ac:dyDescent="0.25">
      <c r="B98" s="36">
        <f>SUBTOTAL(103,$M$2:M98)</f>
        <v>97</v>
      </c>
      <c r="C98" s="37" t="s">
        <v>146</v>
      </c>
      <c r="D98" s="33" t="s">
        <v>79</v>
      </c>
      <c r="E98" s="36" t="s">
        <v>3</v>
      </c>
      <c r="F98" s="37" t="s">
        <v>34</v>
      </c>
      <c r="G98" s="33" t="s">
        <v>2679</v>
      </c>
      <c r="H98" s="33" t="s">
        <v>2677</v>
      </c>
      <c r="I98" s="33" t="s">
        <v>2422</v>
      </c>
      <c r="J98" s="33" t="s">
        <v>2428</v>
      </c>
      <c r="K98" s="48" t="s">
        <v>979</v>
      </c>
      <c r="L98" s="49" t="s">
        <v>980</v>
      </c>
      <c r="M98" s="50" t="s">
        <v>2150</v>
      </c>
      <c r="N98" s="37" t="s">
        <v>981</v>
      </c>
      <c r="O98" s="36">
        <v>1</v>
      </c>
      <c r="P98" s="36">
        <v>1</v>
      </c>
      <c r="Q98" s="37" t="s">
        <v>71</v>
      </c>
      <c r="R98" s="33" t="s">
        <v>2644</v>
      </c>
      <c r="S98" s="33" t="s">
        <v>2050</v>
      </c>
      <c r="T98" s="48" t="s">
        <v>8</v>
      </c>
      <c r="U98" s="37" t="s">
        <v>73</v>
      </c>
      <c r="V98" s="37" t="s">
        <v>157</v>
      </c>
      <c r="W98" s="37" t="s">
        <v>982</v>
      </c>
      <c r="X98" s="37" t="s">
        <v>983</v>
      </c>
      <c r="Y98" s="37" t="s">
        <v>248</v>
      </c>
      <c r="Z98" s="37" t="s">
        <v>157</v>
      </c>
      <c r="AA98" s="37" t="s">
        <v>984</v>
      </c>
      <c r="AB98" s="37" t="s">
        <v>985</v>
      </c>
      <c r="AC98" s="25"/>
      <c r="AD98" s="51" t="s">
        <v>77</v>
      </c>
      <c r="AE98" s="37" t="s">
        <v>78</v>
      </c>
      <c r="AF98" s="37" t="s">
        <v>78</v>
      </c>
      <c r="AG98" s="37"/>
      <c r="AH98" s="37"/>
      <c r="AI98" s="37" t="s">
        <v>149</v>
      </c>
      <c r="AJ98" s="37" t="s">
        <v>76</v>
      </c>
      <c r="AK98" s="37"/>
      <c r="AL98" s="146" t="s">
        <v>986</v>
      </c>
      <c r="AM98" s="36" t="s">
        <v>77</v>
      </c>
      <c r="AN98" s="41" t="s">
        <v>286</v>
      </c>
      <c r="AO98" s="41"/>
      <c r="AP98" s="37" t="s">
        <v>987</v>
      </c>
      <c r="AQ98" s="50" t="s">
        <v>988</v>
      </c>
      <c r="AR98" s="37" t="s">
        <v>85</v>
      </c>
      <c r="AS98" s="20"/>
      <c r="AT98" s="18" t="s">
        <v>87</v>
      </c>
      <c r="AU98" s="45"/>
      <c r="AV98" s="18"/>
      <c r="AW98" s="17"/>
      <c r="AX98" s="17"/>
      <c r="AY98" s="34">
        <v>7140209</v>
      </c>
      <c r="AZ98" s="33">
        <v>131</v>
      </c>
      <c r="BB98" s="17"/>
      <c r="BC98" s="50" t="s">
        <v>2150</v>
      </c>
      <c r="BD98" s="17"/>
      <c r="BM98" s="46"/>
      <c r="BN98" s="46"/>
      <c r="BO98" s="47"/>
    </row>
    <row r="99" spans="1:67" ht="24.95" customHeight="1" x14ac:dyDescent="0.25">
      <c r="B99" s="36">
        <f>SUBTOTAL(103,$M$2:M99)</f>
        <v>98</v>
      </c>
      <c r="C99" s="37" t="s">
        <v>154</v>
      </c>
      <c r="D99" s="33" t="s">
        <v>79</v>
      </c>
      <c r="E99" s="36" t="s">
        <v>3</v>
      </c>
      <c r="F99" s="37" t="s">
        <v>34</v>
      </c>
      <c r="G99" s="33" t="s">
        <v>2679</v>
      </c>
      <c r="H99" s="33" t="s">
        <v>2677</v>
      </c>
      <c r="I99" s="33" t="s">
        <v>2422</v>
      </c>
      <c r="J99" s="33" t="s">
        <v>2429</v>
      </c>
      <c r="K99" s="48" t="s">
        <v>989</v>
      </c>
      <c r="L99" s="49" t="s">
        <v>426</v>
      </c>
      <c r="M99" s="50" t="s">
        <v>2151</v>
      </c>
      <c r="N99" s="37" t="s">
        <v>91</v>
      </c>
      <c r="O99" s="36">
        <v>1</v>
      </c>
      <c r="P99" s="36">
        <v>1</v>
      </c>
      <c r="Q99" s="37" t="s">
        <v>71</v>
      </c>
      <c r="R99" s="33" t="s">
        <v>2644</v>
      </c>
      <c r="S99" s="33" t="s">
        <v>2050</v>
      </c>
      <c r="T99" s="48" t="s">
        <v>990</v>
      </c>
      <c r="U99" s="37" t="s">
        <v>73</v>
      </c>
      <c r="V99" s="37" t="s">
        <v>157</v>
      </c>
      <c r="W99" s="37" t="s">
        <v>158</v>
      </c>
      <c r="X99" s="37" t="s">
        <v>991</v>
      </c>
      <c r="Y99" s="37" t="s">
        <v>525</v>
      </c>
      <c r="Z99" s="37" t="s">
        <v>157</v>
      </c>
      <c r="AA99" s="37" t="s">
        <v>984</v>
      </c>
      <c r="AB99" s="37" t="s">
        <v>992</v>
      </c>
      <c r="AC99" s="25"/>
      <c r="AD99" s="51" t="s">
        <v>77</v>
      </c>
      <c r="AE99" s="37" t="s">
        <v>78</v>
      </c>
      <c r="AF99" s="37" t="s">
        <v>78</v>
      </c>
      <c r="AG99" s="37"/>
      <c r="AH99" s="37"/>
      <c r="AI99" s="37" t="s">
        <v>149</v>
      </c>
      <c r="AJ99" s="37" t="s">
        <v>76</v>
      </c>
      <c r="AK99" s="37"/>
      <c r="AL99" s="146" t="s">
        <v>993</v>
      </c>
      <c r="AM99" s="37" t="s">
        <v>77</v>
      </c>
      <c r="AN99" s="37" t="s">
        <v>229</v>
      </c>
      <c r="AO99" s="37"/>
      <c r="AP99" s="37" t="s">
        <v>994</v>
      </c>
      <c r="AQ99" s="50" t="s">
        <v>995</v>
      </c>
      <c r="AR99" s="37" t="s">
        <v>85</v>
      </c>
      <c r="AS99" s="20" t="s">
        <v>996</v>
      </c>
      <c r="AT99" s="18" t="s">
        <v>101</v>
      </c>
      <c r="AU99" s="45"/>
      <c r="AV99" s="18"/>
      <c r="AW99" s="17"/>
      <c r="AX99" s="17"/>
      <c r="AY99" s="34">
        <v>7140209</v>
      </c>
      <c r="AZ99" s="33">
        <v>132</v>
      </c>
      <c r="BB99" s="17"/>
      <c r="BC99" s="50" t="s">
        <v>2151</v>
      </c>
      <c r="BD99" s="17"/>
      <c r="BM99" s="46"/>
      <c r="BN99" s="46"/>
      <c r="BO99" s="47"/>
    </row>
    <row r="100" spans="1:67" ht="24.95" customHeight="1" x14ac:dyDescent="0.25">
      <c r="B100" s="36">
        <f>SUBTOTAL(103,$M$2:M100)</f>
        <v>99</v>
      </c>
      <c r="C100" s="37" t="s">
        <v>165</v>
      </c>
      <c r="D100" s="33" t="s">
        <v>79</v>
      </c>
      <c r="E100" s="36" t="s">
        <v>3</v>
      </c>
      <c r="F100" s="33" t="s">
        <v>34</v>
      </c>
      <c r="G100" s="33" t="s">
        <v>2679</v>
      </c>
      <c r="H100" s="33" t="s">
        <v>2677</v>
      </c>
      <c r="I100" s="33" t="s">
        <v>2422</v>
      </c>
      <c r="J100" s="33" t="s">
        <v>2430</v>
      </c>
      <c r="K100" s="25" t="s">
        <v>103</v>
      </c>
      <c r="L100" s="25" t="s">
        <v>692</v>
      </c>
      <c r="M100" s="38" t="s">
        <v>2152</v>
      </c>
      <c r="N100" s="36" t="s">
        <v>91</v>
      </c>
      <c r="O100" s="36">
        <v>1</v>
      </c>
      <c r="P100" s="36">
        <v>1</v>
      </c>
      <c r="Q100" s="36" t="s">
        <v>71</v>
      </c>
      <c r="R100" s="33" t="s">
        <v>2644</v>
      </c>
      <c r="S100" s="33" t="s">
        <v>2050</v>
      </c>
      <c r="T100" s="25" t="s">
        <v>997</v>
      </c>
      <c r="U100" s="33">
        <v>2010</v>
      </c>
      <c r="V100" s="36" t="s">
        <v>157</v>
      </c>
      <c r="W100" s="33" t="s">
        <v>998</v>
      </c>
      <c r="X100" s="33"/>
      <c r="Y100" s="33"/>
      <c r="Z100" s="37"/>
      <c r="AA100" s="37"/>
      <c r="AB100" s="33"/>
      <c r="AC100" s="25"/>
      <c r="AD100" s="51" t="s">
        <v>77</v>
      </c>
      <c r="AE100" s="33"/>
      <c r="AF100" s="33"/>
      <c r="AG100" s="25"/>
      <c r="AH100" s="80"/>
      <c r="AI100" s="37" t="s">
        <v>149</v>
      </c>
      <c r="AJ100" s="33" t="s">
        <v>76</v>
      </c>
      <c r="AK100" s="25" t="s">
        <v>999</v>
      </c>
      <c r="AL100" s="78" t="s">
        <v>1000</v>
      </c>
      <c r="AM100" s="36" t="s">
        <v>77</v>
      </c>
      <c r="AN100" s="41" t="s">
        <v>413</v>
      </c>
      <c r="AO100" s="41"/>
      <c r="AP100" s="37" t="s">
        <v>1001</v>
      </c>
      <c r="AQ100" s="43" t="s">
        <v>1002</v>
      </c>
      <c r="AR100" s="33" t="s">
        <v>85</v>
      </c>
      <c r="AS100" s="20" t="s">
        <v>1003</v>
      </c>
      <c r="AT100" s="18" t="s">
        <v>1004</v>
      </c>
      <c r="AU100" s="45"/>
      <c r="AV100" s="18"/>
      <c r="AW100" s="17"/>
      <c r="AX100" s="17"/>
      <c r="AY100" s="34">
        <v>7140209</v>
      </c>
      <c r="AZ100" s="33">
        <v>133</v>
      </c>
      <c r="BB100" s="17"/>
      <c r="BC100" s="43" t="s">
        <v>2152</v>
      </c>
      <c r="BD100" s="17"/>
      <c r="BM100" s="46"/>
      <c r="BN100" s="46"/>
      <c r="BO100" s="47"/>
    </row>
    <row r="101" spans="1:67" ht="24.95" customHeight="1" x14ac:dyDescent="0.25">
      <c r="B101" s="36">
        <f>SUBTOTAL(103,$M$2:M101)</f>
        <v>100</v>
      </c>
      <c r="C101" s="37" t="s">
        <v>178</v>
      </c>
      <c r="D101" s="33" t="s">
        <v>79</v>
      </c>
      <c r="E101" s="36" t="s">
        <v>3</v>
      </c>
      <c r="F101" s="37" t="s">
        <v>557</v>
      </c>
      <c r="G101" s="33" t="s">
        <v>2679</v>
      </c>
      <c r="H101" s="33" t="s">
        <v>2677</v>
      </c>
      <c r="I101" s="33" t="s">
        <v>2422</v>
      </c>
      <c r="J101" s="37" t="s">
        <v>2431</v>
      </c>
      <c r="K101" s="48" t="s">
        <v>1005</v>
      </c>
      <c r="L101" s="49" t="s">
        <v>592</v>
      </c>
      <c r="M101" s="50" t="s">
        <v>2153</v>
      </c>
      <c r="N101" s="37" t="s">
        <v>91</v>
      </c>
      <c r="O101" s="36">
        <v>1</v>
      </c>
      <c r="P101" s="36">
        <v>1</v>
      </c>
      <c r="Q101" s="37" t="s">
        <v>71</v>
      </c>
      <c r="R101" s="33" t="s">
        <v>2644</v>
      </c>
      <c r="S101" s="33" t="s">
        <v>2050</v>
      </c>
      <c r="T101" s="25"/>
      <c r="U101" s="37" t="s">
        <v>291</v>
      </c>
      <c r="V101" s="37"/>
      <c r="W101" s="37"/>
      <c r="X101" s="37"/>
      <c r="Y101" s="37" t="s">
        <v>601</v>
      </c>
      <c r="Z101" s="37" t="s">
        <v>157</v>
      </c>
      <c r="AA101" s="37" t="s">
        <v>1006</v>
      </c>
      <c r="AB101" s="37" t="s">
        <v>1007</v>
      </c>
      <c r="AC101" s="25"/>
      <c r="AD101" s="51" t="s">
        <v>77</v>
      </c>
      <c r="AE101" s="37" t="s">
        <v>78</v>
      </c>
      <c r="AF101" s="37" t="s">
        <v>78</v>
      </c>
      <c r="AG101" s="37"/>
      <c r="AH101" s="37"/>
      <c r="AI101" s="37" t="s">
        <v>1008</v>
      </c>
      <c r="AJ101" s="37"/>
      <c r="AK101" s="49" t="s">
        <v>1009</v>
      </c>
      <c r="AL101" s="146" t="s">
        <v>1010</v>
      </c>
      <c r="AM101" s="36" t="s">
        <v>77</v>
      </c>
      <c r="AN101" s="41" t="s">
        <v>260</v>
      </c>
      <c r="AO101" s="41"/>
      <c r="AP101" s="37" t="s">
        <v>613</v>
      </c>
      <c r="AQ101" s="50" t="s">
        <v>1011</v>
      </c>
      <c r="AR101" s="37" t="s">
        <v>85</v>
      </c>
      <c r="AS101" s="20"/>
      <c r="AT101" s="18" t="s">
        <v>87</v>
      </c>
      <c r="AU101" s="45"/>
      <c r="AV101" s="18"/>
      <c r="AW101" s="17"/>
      <c r="AX101" s="17"/>
      <c r="AY101" s="34">
        <v>7140209</v>
      </c>
      <c r="AZ101" s="33">
        <v>134</v>
      </c>
      <c r="BB101" s="17"/>
      <c r="BC101" s="50" t="s">
        <v>2153</v>
      </c>
      <c r="BD101" s="17"/>
      <c r="BM101" s="46"/>
      <c r="BN101" s="46"/>
      <c r="BO101" s="47"/>
    </row>
    <row r="102" spans="1:67" ht="24.95" customHeight="1" x14ac:dyDescent="0.25">
      <c r="B102" s="36">
        <f>SUBTOTAL(103,$M$2:M102)</f>
        <v>101</v>
      </c>
      <c r="C102" s="37" t="s">
        <v>189</v>
      </c>
      <c r="D102" s="33" t="s">
        <v>79</v>
      </c>
      <c r="E102" s="36" t="s">
        <v>3</v>
      </c>
      <c r="F102" s="37" t="s">
        <v>557</v>
      </c>
      <c r="G102" s="33" t="s">
        <v>2679</v>
      </c>
      <c r="H102" s="33" t="s">
        <v>2677</v>
      </c>
      <c r="I102" s="33" t="s">
        <v>2422</v>
      </c>
      <c r="J102" s="37" t="s">
        <v>2432</v>
      </c>
      <c r="K102" s="48" t="s">
        <v>1012</v>
      </c>
      <c r="L102" s="49" t="s">
        <v>1013</v>
      </c>
      <c r="M102" s="50" t="s">
        <v>2154</v>
      </c>
      <c r="N102" s="37" t="s">
        <v>91</v>
      </c>
      <c r="O102" s="36">
        <v>1</v>
      </c>
      <c r="P102" s="36">
        <v>1</v>
      </c>
      <c r="Q102" s="37" t="s">
        <v>71</v>
      </c>
      <c r="R102" s="33" t="s">
        <v>2644</v>
      </c>
      <c r="S102" s="33" t="s">
        <v>2050</v>
      </c>
      <c r="T102" s="25"/>
      <c r="U102" s="37" t="s">
        <v>1014</v>
      </c>
      <c r="V102" s="37"/>
      <c r="W102" s="37"/>
      <c r="X102" s="37"/>
      <c r="Y102" s="37" t="s">
        <v>609</v>
      </c>
      <c r="Z102" s="37" t="s">
        <v>157</v>
      </c>
      <c r="AA102" s="37" t="s">
        <v>984</v>
      </c>
      <c r="AB102" s="37" t="s">
        <v>1015</v>
      </c>
      <c r="AC102" s="25"/>
      <c r="AD102" s="51" t="s">
        <v>77</v>
      </c>
      <c r="AE102" s="37" t="s">
        <v>78</v>
      </c>
      <c r="AF102" s="37" t="s">
        <v>78</v>
      </c>
      <c r="AG102" s="37"/>
      <c r="AH102" s="37"/>
      <c r="AI102" s="37" t="s">
        <v>1016</v>
      </c>
      <c r="AJ102" s="37"/>
      <c r="AK102" s="49" t="s">
        <v>1017</v>
      </c>
      <c r="AL102" s="146" t="s">
        <v>1018</v>
      </c>
      <c r="AM102" s="36" t="s">
        <v>77</v>
      </c>
      <c r="AN102" s="41" t="s">
        <v>141</v>
      </c>
      <c r="AO102" s="56"/>
      <c r="AP102" s="56" t="s">
        <v>1019</v>
      </c>
      <c r="AQ102" s="50" t="s">
        <v>1020</v>
      </c>
      <c r="AR102" s="37" t="s">
        <v>85</v>
      </c>
      <c r="AS102" s="20"/>
      <c r="AT102" s="18" t="s">
        <v>87</v>
      </c>
      <c r="AU102" s="45"/>
      <c r="AV102" s="18"/>
      <c r="AW102" s="17"/>
      <c r="AX102" s="17"/>
      <c r="AY102" s="34">
        <v>7140209</v>
      </c>
      <c r="AZ102" s="33">
        <v>135</v>
      </c>
      <c r="BB102" s="17"/>
      <c r="BC102" s="50" t="s">
        <v>2154</v>
      </c>
      <c r="BD102" s="17"/>
      <c r="BM102" s="46"/>
      <c r="BN102" s="46"/>
      <c r="BO102" s="47"/>
    </row>
    <row r="103" spans="1:67" ht="24.95" customHeight="1" x14ac:dyDescent="0.25">
      <c r="B103" s="36">
        <f>SUBTOTAL(103,$M$2:M103)</f>
        <v>102</v>
      </c>
      <c r="C103" s="37" t="s">
        <v>199</v>
      </c>
      <c r="D103" s="33" t="s">
        <v>79</v>
      </c>
      <c r="E103" s="33" t="s">
        <v>3</v>
      </c>
      <c r="F103" s="33" t="s">
        <v>557</v>
      </c>
      <c r="G103" s="33" t="s">
        <v>2679</v>
      </c>
      <c r="H103" s="33" t="s">
        <v>2677</v>
      </c>
      <c r="I103" s="33" t="s">
        <v>2422</v>
      </c>
      <c r="J103" s="37" t="s">
        <v>2433</v>
      </c>
      <c r="K103" s="25" t="s">
        <v>1021</v>
      </c>
      <c r="L103" s="25" t="s">
        <v>1022</v>
      </c>
      <c r="M103" s="38" t="s">
        <v>2155</v>
      </c>
      <c r="N103" s="33" t="s">
        <v>70</v>
      </c>
      <c r="O103" s="33">
        <v>0</v>
      </c>
      <c r="P103" s="33"/>
      <c r="Q103" s="33" t="s">
        <v>71</v>
      </c>
      <c r="R103" s="33" t="s">
        <v>2644</v>
      </c>
      <c r="S103" s="33" t="s">
        <v>2050</v>
      </c>
      <c r="T103" s="25"/>
      <c r="U103" s="33">
        <v>2017</v>
      </c>
      <c r="V103" s="36"/>
      <c r="W103" s="33"/>
      <c r="X103" s="33"/>
      <c r="Y103" s="33" t="s">
        <v>902</v>
      </c>
      <c r="Z103" s="33" t="s">
        <v>157</v>
      </c>
      <c r="AA103" s="37" t="s">
        <v>984</v>
      </c>
      <c r="AB103" s="33" t="s">
        <v>1023</v>
      </c>
      <c r="AC103" s="25"/>
      <c r="AD103" s="51" t="s">
        <v>77</v>
      </c>
      <c r="AE103" s="25" t="s">
        <v>78</v>
      </c>
      <c r="AF103" s="33" t="s">
        <v>78</v>
      </c>
      <c r="AG103" s="33"/>
      <c r="AH103" s="80"/>
      <c r="AI103" s="33" t="s">
        <v>1024</v>
      </c>
      <c r="AJ103" s="33"/>
      <c r="AK103" s="25" t="s">
        <v>1025</v>
      </c>
      <c r="AL103" s="78" t="s">
        <v>1026</v>
      </c>
      <c r="AM103" s="36" t="s">
        <v>77</v>
      </c>
      <c r="AN103" s="40" t="s">
        <v>488</v>
      </c>
      <c r="AO103" s="52"/>
      <c r="AP103" s="111" t="s">
        <v>1027</v>
      </c>
      <c r="AQ103" s="43" t="s">
        <v>1028</v>
      </c>
      <c r="AR103" s="33" t="s">
        <v>85</v>
      </c>
      <c r="AS103" s="20"/>
      <c r="AT103" s="18" t="s">
        <v>367</v>
      </c>
      <c r="AU103" s="45"/>
      <c r="AV103" s="18"/>
      <c r="AW103" s="17"/>
      <c r="AX103" s="17"/>
      <c r="AY103" s="34">
        <v>7140209</v>
      </c>
      <c r="AZ103" s="33">
        <v>136</v>
      </c>
      <c r="BB103" s="17"/>
      <c r="BC103" s="43" t="s">
        <v>2155</v>
      </c>
      <c r="BD103" s="17"/>
      <c r="BM103" s="46"/>
      <c r="BN103" s="46"/>
      <c r="BO103" s="47"/>
    </row>
    <row r="104" spans="1:67" ht="24.95" customHeight="1" x14ac:dyDescent="0.25">
      <c r="B104" s="36">
        <f>SUBTOTAL(103,$M$2:M104)</f>
        <v>103</v>
      </c>
      <c r="C104" s="37" t="s">
        <v>310</v>
      </c>
      <c r="D104" s="33" t="s">
        <v>79</v>
      </c>
      <c r="E104" s="33" t="s">
        <v>3</v>
      </c>
      <c r="F104" s="33" t="s">
        <v>557</v>
      </c>
      <c r="G104" s="33" t="s">
        <v>2679</v>
      </c>
      <c r="H104" s="33" t="s">
        <v>2677</v>
      </c>
      <c r="I104" s="33" t="s">
        <v>2422</v>
      </c>
      <c r="J104" s="37" t="s">
        <v>2434</v>
      </c>
      <c r="K104" s="25" t="s">
        <v>1029</v>
      </c>
      <c r="L104" s="25" t="s">
        <v>391</v>
      </c>
      <c r="M104" s="38" t="s">
        <v>2109</v>
      </c>
      <c r="N104" s="33" t="s">
        <v>91</v>
      </c>
      <c r="O104" s="36">
        <v>1</v>
      </c>
      <c r="P104" s="36"/>
      <c r="Q104" s="33" t="s">
        <v>71</v>
      </c>
      <c r="R104" s="33" t="s">
        <v>2644</v>
      </c>
      <c r="S104" s="33" t="s">
        <v>2050</v>
      </c>
      <c r="T104" s="25"/>
      <c r="U104" s="33">
        <v>2019</v>
      </c>
      <c r="V104" s="36"/>
      <c r="W104" s="33"/>
      <c r="X104" s="33"/>
      <c r="Y104" s="33" t="s">
        <v>717</v>
      </c>
      <c r="Z104" s="37" t="s">
        <v>157</v>
      </c>
      <c r="AA104" s="37" t="s">
        <v>984</v>
      </c>
      <c r="AB104" s="33" t="s">
        <v>1030</v>
      </c>
      <c r="AC104" s="25"/>
      <c r="AD104" s="51" t="s">
        <v>77</v>
      </c>
      <c r="AE104" s="25" t="s">
        <v>78</v>
      </c>
      <c r="AF104" s="33" t="s">
        <v>78</v>
      </c>
      <c r="AG104" s="33"/>
      <c r="AH104" s="80"/>
      <c r="AI104" s="33" t="s">
        <v>1031</v>
      </c>
      <c r="AJ104" s="33"/>
      <c r="AK104" s="25" t="s">
        <v>746</v>
      </c>
      <c r="AL104" s="78" t="s">
        <v>1032</v>
      </c>
      <c r="AM104" s="36" t="s">
        <v>77</v>
      </c>
      <c r="AN104" s="40" t="s">
        <v>229</v>
      </c>
      <c r="AO104" s="62"/>
      <c r="AP104" s="33" t="s">
        <v>1033</v>
      </c>
      <c r="AQ104" s="43" t="s">
        <v>1034</v>
      </c>
      <c r="AR104" s="33" t="s">
        <v>85</v>
      </c>
      <c r="AS104" s="20"/>
      <c r="AT104" s="18" t="s">
        <v>145</v>
      </c>
      <c r="AU104" s="45"/>
      <c r="AV104" s="18"/>
      <c r="AW104" s="17"/>
      <c r="AX104" s="17"/>
      <c r="AY104" s="34">
        <v>7140209</v>
      </c>
      <c r="AZ104" s="33">
        <v>137</v>
      </c>
      <c r="BB104" s="17"/>
      <c r="BC104" s="43" t="s">
        <v>2109</v>
      </c>
      <c r="BD104" s="17"/>
      <c r="BM104" s="46"/>
      <c r="BN104" s="46"/>
      <c r="BO104" s="47"/>
    </row>
    <row r="105" spans="1:67" ht="24.95" customHeight="1" x14ac:dyDescent="0.25">
      <c r="B105" s="36">
        <f>SUBTOTAL(103,$M$2:M105)</f>
        <v>104</v>
      </c>
      <c r="C105" s="37" t="s">
        <v>317</v>
      </c>
      <c r="D105" s="33" t="s">
        <v>79</v>
      </c>
      <c r="E105" s="36" t="s">
        <v>3</v>
      </c>
      <c r="F105" s="37" t="s">
        <v>557</v>
      </c>
      <c r="G105" s="33" t="s">
        <v>2679</v>
      </c>
      <c r="H105" s="33" t="s">
        <v>2677</v>
      </c>
      <c r="I105" s="33" t="s">
        <v>2422</v>
      </c>
      <c r="J105" s="37" t="s">
        <v>2435</v>
      </c>
      <c r="K105" s="48" t="s">
        <v>390</v>
      </c>
      <c r="L105" s="49" t="s">
        <v>262</v>
      </c>
      <c r="M105" s="50" t="s">
        <v>2156</v>
      </c>
      <c r="N105" s="37" t="s">
        <v>91</v>
      </c>
      <c r="O105" s="36">
        <v>1</v>
      </c>
      <c r="P105" s="36">
        <v>1</v>
      </c>
      <c r="Q105" s="37" t="s">
        <v>71</v>
      </c>
      <c r="R105" s="33" t="s">
        <v>2644</v>
      </c>
      <c r="S105" s="33" t="s">
        <v>2050</v>
      </c>
      <c r="T105" s="25"/>
      <c r="U105" s="37" t="s">
        <v>349</v>
      </c>
      <c r="V105" s="37"/>
      <c r="W105" s="37"/>
      <c r="X105" s="37"/>
      <c r="Y105" s="37" t="s">
        <v>695</v>
      </c>
      <c r="Z105" s="37" t="s">
        <v>157</v>
      </c>
      <c r="AA105" s="37" t="s">
        <v>1035</v>
      </c>
      <c r="AB105" s="37" t="s">
        <v>789</v>
      </c>
      <c r="AC105" s="25"/>
      <c r="AD105" s="51" t="s">
        <v>77</v>
      </c>
      <c r="AE105" s="37" t="s">
        <v>78</v>
      </c>
      <c r="AF105" s="37" t="s">
        <v>78</v>
      </c>
      <c r="AG105" s="37"/>
      <c r="AH105" s="37"/>
      <c r="AI105" s="37" t="s">
        <v>1036</v>
      </c>
      <c r="AJ105" s="37"/>
      <c r="AK105" s="49" t="s">
        <v>803</v>
      </c>
      <c r="AL105" s="146" t="s">
        <v>1037</v>
      </c>
      <c r="AM105" s="36" t="s">
        <v>77</v>
      </c>
      <c r="AN105" s="41" t="s">
        <v>413</v>
      </c>
      <c r="AO105" s="56"/>
      <c r="AP105" s="56" t="s">
        <v>1038</v>
      </c>
      <c r="AQ105" s="50" t="s">
        <v>1039</v>
      </c>
      <c r="AR105" s="37" t="s">
        <v>85</v>
      </c>
      <c r="AS105" s="20"/>
      <c r="AT105" s="18" t="s">
        <v>101</v>
      </c>
      <c r="AU105" s="45"/>
      <c r="AV105" s="18"/>
      <c r="AW105" s="17"/>
      <c r="AX105" s="17"/>
      <c r="AY105" s="34">
        <v>7140209</v>
      </c>
      <c r="AZ105" s="33">
        <v>138</v>
      </c>
      <c r="BB105" s="17"/>
      <c r="BC105" s="50" t="s">
        <v>2156</v>
      </c>
      <c r="BD105" s="17"/>
      <c r="BM105" s="46"/>
      <c r="BN105" s="46"/>
      <c r="BO105" s="47"/>
    </row>
    <row r="106" spans="1:67" ht="24.95" customHeight="1" x14ac:dyDescent="0.25">
      <c r="B106" s="36">
        <f>SUBTOTAL(103,$M$2:M106)</f>
        <v>105</v>
      </c>
      <c r="C106" s="37" t="s">
        <v>326</v>
      </c>
      <c r="D106" s="33" t="s">
        <v>79</v>
      </c>
      <c r="E106" s="33" t="s">
        <v>3</v>
      </c>
      <c r="F106" s="33" t="s">
        <v>557</v>
      </c>
      <c r="G106" s="33" t="s">
        <v>2679</v>
      </c>
      <c r="H106" s="33" t="s">
        <v>2677</v>
      </c>
      <c r="I106" s="33" t="s">
        <v>2422</v>
      </c>
      <c r="J106" s="37" t="s">
        <v>2436</v>
      </c>
      <c r="K106" s="25" t="s">
        <v>338</v>
      </c>
      <c r="L106" s="25" t="s">
        <v>262</v>
      </c>
      <c r="M106" s="38" t="s">
        <v>2157</v>
      </c>
      <c r="N106" s="33" t="s">
        <v>91</v>
      </c>
      <c r="O106" s="36">
        <v>1</v>
      </c>
      <c r="P106" s="36">
        <v>1</v>
      </c>
      <c r="Q106" s="33" t="s">
        <v>71</v>
      </c>
      <c r="R106" s="33" t="s">
        <v>2644</v>
      </c>
      <c r="S106" s="33" t="s">
        <v>2050</v>
      </c>
      <c r="T106" s="25"/>
      <c r="U106" s="33">
        <v>2016</v>
      </c>
      <c r="V106" s="36"/>
      <c r="W106" s="33"/>
      <c r="X106" s="33"/>
      <c r="Y106" s="33" t="s">
        <v>525</v>
      </c>
      <c r="Z106" s="33" t="s">
        <v>157</v>
      </c>
      <c r="AA106" s="37" t="s">
        <v>984</v>
      </c>
      <c r="AB106" s="33" t="s">
        <v>1040</v>
      </c>
      <c r="AC106" s="25"/>
      <c r="AD106" s="51" t="s">
        <v>77</v>
      </c>
      <c r="AE106" s="25" t="s">
        <v>78</v>
      </c>
      <c r="AF106" s="25" t="s">
        <v>78</v>
      </c>
      <c r="AG106" s="25"/>
      <c r="AH106" s="80"/>
      <c r="AI106" s="33" t="s">
        <v>1041</v>
      </c>
      <c r="AJ106" s="33"/>
      <c r="AK106" s="25" t="s">
        <v>1042</v>
      </c>
      <c r="AL106" s="78" t="s">
        <v>1043</v>
      </c>
      <c r="AM106" s="36" t="s">
        <v>77</v>
      </c>
      <c r="AN106" s="40" t="s">
        <v>277</v>
      </c>
      <c r="AO106" s="52"/>
      <c r="AP106" s="111" t="s">
        <v>1044</v>
      </c>
      <c r="AQ106" s="43" t="s">
        <v>1045</v>
      </c>
      <c r="AR106" s="33" t="s">
        <v>85</v>
      </c>
      <c r="AS106" s="20"/>
      <c r="AT106" s="58" t="s">
        <v>1046</v>
      </c>
      <c r="AU106" s="45"/>
      <c r="AV106" s="18"/>
      <c r="AW106" s="17"/>
      <c r="AX106" s="17"/>
      <c r="AY106" s="34">
        <v>7140209</v>
      </c>
      <c r="AZ106" s="33">
        <v>139</v>
      </c>
      <c r="BB106" s="17"/>
      <c r="BC106" s="43" t="s">
        <v>2157</v>
      </c>
      <c r="BD106" s="17"/>
      <c r="BM106" s="46"/>
      <c r="BN106" s="46"/>
      <c r="BO106" s="47"/>
    </row>
    <row r="107" spans="1:67" ht="24.95" customHeight="1" x14ac:dyDescent="0.25">
      <c r="A107" s="18" t="s">
        <v>2995</v>
      </c>
      <c r="B107" s="36">
        <f>SUBTOTAL(103,$M$2:M107)</f>
        <v>106</v>
      </c>
      <c r="C107" s="37" t="s">
        <v>334</v>
      </c>
      <c r="D107" s="33" t="s">
        <v>79</v>
      </c>
      <c r="E107" s="33" t="s">
        <v>3</v>
      </c>
      <c r="F107" s="37" t="s">
        <v>557</v>
      </c>
      <c r="G107" s="33" t="s">
        <v>2679</v>
      </c>
      <c r="H107" s="33" t="s">
        <v>2677</v>
      </c>
      <c r="I107" s="33" t="s">
        <v>2422</v>
      </c>
      <c r="J107" s="37" t="s">
        <v>2437</v>
      </c>
      <c r="K107" s="25" t="s">
        <v>1047</v>
      </c>
      <c r="L107" s="25" t="s">
        <v>224</v>
      </c>
      <c r="M107" s="38" t="s">
        <v>2158</v>
      </c>
      <c r="N107" s="33" t="s">
        <v>91</v>
      </c>
      <c r="O107" s="36">
        <v>1</v>
      </c>
      <c r="P107" s="36">
        <v>1</v>
      </c>
      <c r="Q107" s="33" t="s">
        <v>71</v>
      </c>
      <c r="R107" s="33" t="s">
        <v>2644</v>
      </c>
      <c r="S107" s="33" t="s">
        <v>2050</v>
      </c>
      <c r="T107" s="25"/>
      <c r="U107" s="33">
        <v>2023</v>
      </c>
      <c r="V107" s="33"/>
      <c r="W107" s="33"/>
      <c r="X107" s="33"/>
      <c r="Y107" s="33" t="s">
        <v>248</v>
      </c>
      <c r="Z107" s="33" t="s">
        <v>157</v>
      </c>
      <c r="AA107" s="37" t="s">
        <v>1048</v>
      </c>
      <c r="AB107" s="33" t="s">
        <v>1049</v>
      </c>
      <c r="AC107" s="25"/>
      <c r="AD107" s="51" t="s">
        <v>1050</v>
      </c>
      <c r="AE107" s="25" t="s">
        <v>78</v>
      </c>
      <c r="AF107" s="25" t="s">
        <v>78</v>
      </c>
      <c r="AG107" s="36"/>
      <c r="AH107" s="25"/>
      <c r="AI107" s="37" t="s">
        <v>1051</v>
      </c>
      <c r="AJ107" s="33"/>
      <c r="AK107" s="25"/>
      <c r="AL107" s="78" t="s">
        <v>1052</v>
      </c>
      <c r="AM107" s="36" t="s">
        <v>1050</v>
      </c>
      <c r="AN107" s="40" t="s">
        <v>1053</v>
      </c>
      <c r="AO107" s="62"/>
      <c r="AP107" s="33" t="s">
        <v>1054</v>
      </c>
      <c r="AQ107" s="43" t="s">
        <v>1055</v>
      </c>
      <c r="AR107" s="33" t="s">
        <v>85</v>
      </c>
      <c r="AS107" s="20"/>
      <c r="AT107" s="18" t="s">
        <v>1056</v>
      </c>
      <c r="AU107" s="45"/>
      <c r="AV107" s="18"/>
      <c r="AW107" s="17"/>
      <c r="AX107" s="17"/>
      <c r="AY107" s="34">
        <v>7140209</v>
      </c>
      <c r="AZ107" s="33">
        <v>140</v>
      </c>
      <c r="BB107" s="17"/>
      <c r="BC107" s="43" t="s">
        <v>2158</v>
      </c>
      <c r="BD107" s="17"/>
      <c r="BM107" s="46"/>
      <c r="BN107" s="46"/>
      <c r="BO107" s="47"/>
    </row>
    <row r="108" spans="1:67" ht="24.95" customHeight="1" x14ac:dyDescent="0.25">
      <c r="B108" s="36">
        <f>SUBTOTAL(103,$M$2:M108)</f>
        <v>107</v>
      </c>
      <c r="C108" s="37" t="s">
        <v>461</v>
      </c>
      <c r="D108" s="33" t="s">
        <v>79</v>
      </c>
      <c r="E108" s="33" t="s">
        <v>3</v>
      </c>
      <c r="F108" s="33" t="s">
        <v>557</v>
      </c>
      <c r="G108" s="33" t="s">
        <v>2679</v>
      </c>
      <c r="H108" s="33" t="s">
        <v>2677</v>
      </c>
      <c r="I108" s="33" t="s">
        <v>2422</v>
      </c>
      <c r="J108" s="37" t="s">
        <v>2438</v>
      </c>
      <c r="K108" s="25" t="s">
        <v>1057</v>
      </c>
      <c r="L108" s="25" t="s">
        <v>224</v>
      </c>
      <c r="M108" s="38" t="s">
        <v>2159</v>
      </c>
      <c r="N108" s="33" t="s">
        <v>91</v>
      </c>
      <c r="O108" s="36">
        <v>1</v>
      </c>
      <c r="P108" s="36">
        <v>1</v>
      </c>
      <c r="Q108" s="33" t="s">
        <v>71</v>
      </c>
      <c r="R108" s="33" t="s">
        <v>2644</v>
      </c>
      <c r="S108" s="33" t="s">
        <v>2050</v>
      </c>
      <c r="T108" s="25"/>
      <c r="U108" s="33">
        <v>2021</v>
      </c>
      <c r="V108" s="33"/>
      <c r="W108" s="33"/>
      <c r="X108" s="33"/>
      <c r="Y108" s="33" t="s">
        <v>695</v>
      </c>
      <c r="Z108" s="33" t="s">
        <v>157</v>
      </c>
      <c r="AA108" s="37" t="s">
        <v>984</v>
      </c>
      <c r="AB108" s="33" t="s">
        <v>1058</v>
      </c>
      <c r="AC108" s="25"/>
      <c r="AD108" s="51" t="s">
        <v>77</v>
      </c>
      <c r="AE108" s="25" t="s">
        <v>78</v>
      </c>
      <c r="AF108" s="25" t="s">
        <v>78</v>
      </c>
      <c r="AG108" s="36"/>
      <c r="AH108" s="25"/>
      <c r="AI108" s="33" t="s">
        <v>1059</v>
      </c>
      <c r="AJ108" s="33"/>
      <c r="AK108" s="25"/>
      <c r="AL108" s="78" t="s">
        <v>1060</v>
      </c>
      <c r="AM108" s="36" t="s">
        <v>77</v>
      </c>
      <c r="AN108" s="40" t="s">
        <v>267</v>
      </c>
      <c r="AO108" s="62"/>
      <c r="AP108" s="33" t="s">
        <v>1061</v>
      </c>
      <c r="AQ108" s="43" t="s">
        <v>1062</v>
      </c>
      <c r="AR108" s="33" t="s">
        <v>85</v>
      </c>
      <c r="AS108" s="20"/>
      <c r="AT108" s="18" t="s">
        <v>740</v>
      </c>
      <c r="AU108" s="45"/>
      <c r="AV108" s="18"/>
      <c r="AW108" s="17"/>
      <c r="AX108" s="17"/>
      <c r="AY108" s="34">
        <v>7140209</v>
      </c>
      <c r="AZ108" s="33">
        <v>141</v>
      </c>
      <c r="BB108" s="17"/>
      <c r="BC108" s="43" t="s">
        <v>2159</v>
      </c>
      <c r="BD108" s="17"/>
      <c r="BM108" s="46"/>
      <c r="BN108" s="46"/>
      <c r="BO108" s="47"/>
    </row>
    <row r="109" spans="1:67" ht="24.95" customHeight="1" x14ac:dyDescent="0.25">
      <c r="B109" s="36">
        <f>SUBTOTAL(103,$M$2:M109)</f>
        <v>108</v>
      </c>
      <c r="C109" s="37" t="s">
        <v>473</v>
      </c>
      <c r="D109" s="33" t="s">
        <v>79</v>
      </c>
      <c r="E109" s="33" t="s">
        <v>3</v>
      </c>
      <c r="F109" s="33" t="s">
        <v>557</v>
      </c>
      <c r="G109" s="33" t="s">
        <v>2679</v>
      </c>
      <c r="H109" s="33" t="s">
        <v>2677</v>
      </c>
      <c r="I109" s="33" t="s">
        <v>2422</v>
      </c>
      <c r="J109" s="37" t="s">
        <v>2439</v>
      </c>
      <c r="K109" s="25" t="s">
        <v>1063</v>
      </c>
      <c r="L109" s="25" t="s">
        <v>272</v>
      </c>
      <c r="M109" s="38" t="s">
        <v>2160</v>
      </c>
      <c r="N109" s="36" t="s">
        <v>70</v>
      </c>
      <c r="O109" s="33">
        <v>0</v>
      </c>
      <c r="P109" s="33">
        <v>1</v>
      </c>
      <c r="Q109" s="36" t="s">
        <v>71</v>
      </c>
      <c r="R109" s="33" t="s">
        <v>2644</v>
      </c>
      <c r="S109" s="33" t="s">
        <v>2050</v>
      </c>
      <c r="T109" s="25"/>
      <c r="U109" s="33">
        <v>2016</v>
      </c>
      <c r="V109" s="33"/>
      <c r="W109" s="33"/>
      <c r="X109" s="33"/>
      <c r="Y109" s="33" t="s">
        <v>609</v>
      </c>
      <c r="Z109" s="33" t="s">
        <v>157</v>
      </c>
      <c r="AA109" s="37" t="s">
        <v>984</v>
      </c>
      <c r="AB109" s="33" t="s">
        <v>819</v>
      </c>
      <c r="AC109" s="25"/>
      <c r="AD109" s="51" t="s">
        <v>77</v>
      </c>
      <c r="AE109" s="25" t="s">
        <v>78</v>
      </c>
      <c r="AF109" s="37" t="s">
        <v>78</v>
      </c>
      <c r="AG109" s="37"/>
      <c r="AH109" s="25"/>
      <c r="AI109" s="33" t="s">
        <v>835</v>
      </c>
      <c r="AJ109" s="33"/>
      <c r="AK109" s="25"/>
      <c r="AL109" s="101" t="s">
        <v>1064</v>
      </c>
      <c r="AM109" s="36" t="s">
        <v>77</v>
      </c>
      <c r="AN109" s="40" t="s">
        <v>413</v>
      </c>
      <c r="AO109" s="52"/>
      <c r="AP109" s="111" t="s">
        <v>1065</v>
      </c>
      <c r="AQ109" s="82" t="s">
        <v>1066</v>
      </c>
      <c r="AR109" s="40" t="s">
        <v>85</v>
      </c>
      <c r="AS109" s="20"/>
      <c r="AT109" s="18" t="s">
        <v>472</v>
      </c>
      <c r="AU109" s="45"/>
      <c r="AV109" s="18"/>
      <c r="AW109" s="17"/>
      <c r="AX109" s="17"/>
      <c r="AY109" s="34">
        <v>7140209</v>
      </c>
      <c r="AZ109" s="33">
        <v>142</v>
      </c>
      <c r="BB109" s="17"/>
      <c r="BC109" s="43" t="s">
        <v>2160</v>
      </c>
      <c r="BD109" s="17"/>
      <c r="BM109" s="46"/>
      <c r="BN109" s="46"/>
      <c r="BO109" s="47"/>
    </row>
    <row r="110" spans="1:67" ht="24.95" customHeight="1" x14ac:dyDescent="0.25">
      <c r="B110" s="36">
        <f>SUBTOTAL(103,$M$2:M110)</f>
        <v>109</v>
      </c>
      <c r="C110" s="37" t="s">
        <v>481</v>
      </c>
      <c r="D110" s="33" t="s">
        <v>79</v>
      </c>
      <c r="E110" s="36" t="s">
        <v>3</v>
      </c>
      <c r="F110" s="33" t="s">
        <v>557</v>
      </c>
      <c r="G110" s="33" t="s">
        <v>2679</v>
      </c>
      <c r="H110" s="33" t="s">
        <v>2677</v>
      </c>
      <c r="I110" s="33" t="s">
        <v>2422</v>
      </c>
      <c r="J110" s="37" t="s">
        <v>2440</v>
      </c>
      <c r="K110" s="25" t="s">
        <v>1067</v>
      </c>
      <c r="L110" s="25" t="s">
        <v>1068</v>
      </c>
      <c r="M110" s="38" t="s">
        <v>2161</v>
      </c>
      <c r="N110" s="36" t="s">
        <v>91</v>
      </c>
      <c r="O110" s="36">
        <v>1</v>
      </c>
      <c r="P110" s="36">
        <v>1</v>
      </c>
      <c r="Q110" s="36" t="s">
        <v>71</v>
      </c>
      <c r="R110" s="33" t="s">
        <v>2644</v>
      </c>
      <c r="S110" s="33" t="s">
        <v>2050</v>
      </c>
      <c r="T110" s="25"/>
      <c r="U110" s="33">
        <v>2017</v>
      </c>
      <c r="V110" s="36"/>
      <c r="W110" s="33"/>
      <c r="X110" s="33"/>
      <c r="Y110" s="33">
        <v>9</v>
      </c>
      <c r="Z110" s="37" t="s">
        <v>157</v>
      </c>
      <c r="AA110" s="37" t="s">
        <v>1069</v>
      </c>
      <c r="AB110" s="33" t="s">
        <v>1058</v>
      </c>
      <c r="AC110" s="25"/>
      <c r="AD110" s="51" t="s">
        <v>214</v>
      </c>
      <c r="AE110" s="33"/>
      <c r="AF110" s="33" t="s">
        <v>78</v>
      </c>
      <c r="AG110" s="25"/>
      <c r="AH110" s="80"/>
      <c r="AI110" s="37" t="s">
        <v>1070</v>
      </c>
      <c r="AJ110" s="36"/>
      <c r="AK110" s="25" t="s">
        <v>1071</v>
      </c>
      <c r="AL110" s="78" t="s">
        <v>1072</v>
      </c>
      <c r="AM110" s="33" t="s">
        <v>214</v>
      </c>
      <c r="AN110" s="40" t="s">
        <v>748</v>
      </c>
      <c r="AO110" s="62"/>
      <c r="AP110" s="33" t="s">
        <v>749</v>
      </c>
      <c r="AQ110" s="43" t="s">
        <v>1073</v>
      </c>
      <c r="AR110" s="33" t="s">
        <v>85</v>
      </c>
      <c r="AS110" s="42"/>
      <c r="AT110" s="18" t="s">
        <v>1074</v>
      </c>
      <c r="AU110" s="32"/>
      <c r="AV110" s="25"/>
      <c r="AW110" s="33"/>
      <c r="AX110" s="34"/>
      <c r="AY110" s="34">
        <v>7140209</v>
      </c>
      <c r="AZ110" s="33">
        <v>143</v>
      </c>
      <c r="BA110" s="61"/>
      <c r="BB110" s="17"/>
      <c r="BC110" s="43" t="s">
        <v>2161</v>
      </c>
      <c r="BD110" s="17"/>
      <c r="BM110" s="46"/>
      <c r="BN110" s="46"/>
      <c r="BO110" s="47"/>
    </row>
    <row r="111" spans="1:67" ht="24.95" customHeight="1" x14ac:dyDescent="0.25">
      <c r="B111" s="36">
        <f>SUBTOTAL(103,$M$2:M111)</f>
        <v>110</v>
      </c>
      <c r="C111" s="37" t="s">
        <v>490</v>
      </c>
      <c r="D111" s="33" t="s">
        <v>79</v>
      </c>
      <c r="E111" s="36" t="s">
        <v>3</v>
      </c>
      <c r="F111" s="37" t="s">
        <v>557</v>
      </c>
      <c r="G111" s="33" t="s">
        <v>2679</v>
      </c>
      <c r="H111" s="33" t="s">
        <v>2677</v>
      </c>
      <c r="I111" s="33" t="s">
        <v>2422</v>
      </c>
      <c r="J111" s="37" t="s">
        <v>2441</v>
      </c>
      <c r="K111" s="48" t="s">
        <v>1075</v>
      </c>
      <c r="L111" s="49" t="s">
        <v>290</v>
      </c>
      <c r="M111" s="50" t="s">
        <v>2162</v>
      </c>
      <c r="N111" s="37" t="s">
        <v>91</v>
      </c>
      <c r="O111" s="36">
        <v>1</v>
      </c>
      <c r="P111" s="36">
        <v>1</v>
      </c>
      <c r="Q111" s="37" t="s">
        <v>71</v>
      </c>
      <c r="R111" s="33" t="s">
        <v>2644</v>
      </c>
      <c r="S111" s="33" t="s">
        <v>2050</v>
      </c>
      <c r="T111" s="25"/>
      <c r="U111" s="37" t="s">
        <v>291</v>
      </c>
      <c r="V111" s="37"/>
      <c r="W111" s="37"/>
      <c r="X111" s="37"/>
      <c r="Y111" s="37" t="s">
        <v>601</v>
      </c>
      <c r="Z111" s="37" t="s">
        <v>157</v>
      </c>
      <c r="AA111" s="37" t="s">
        <v>1069</v>
      </c>
      <c r="AB111" s="37" t="s">
        <v>1076</v>
      </c>
      <c r="AC111" s="25"/>
      <c r="AD111" s="51" t="s">
        <v>77</v>
      </c>
      <c r="AE111" s="37" t="s">
        <v>78</v>
      </c>
      <c r="AF111" s="37" t="s">
        <v>78</v>
      </c>
      <c r="AG111" s="37"/>
      <c r="AH111" s="37"/>
      <c r="AI111" s="37" t="s">
        <v>1077</v>
      </c>
      <c r="AJ111" s="37"/>
      <c r="AK111" s="49" t="s">
        <v>1078</v>
      </c>
      <c r="AL111" s="146" t="s">
        <v>1079</v>
      </c>
      <c r="AM111" s="36" t="s">
        <v>77</v>
      </c>
      <c r="AN111" s="41" t="s">
        <v>286</v>
      </c>
      <c r="AO111" s="41"/>
      <c r="AP111" s="37" t="s">
        <v>1080</v>
      </c>
      <c r="AQ111" s="50" t="s">
        <v>1081</v>
      </c>
      <c r="AR111" s="37" t="s">
        <v>85</v>
      </c>
      <c r="AS111" s="42"/>
      <c r="AT111" s="18" t="s">
        <v>87</v>
      </c>
      <c r="AU111" s="32"/>
      <c r="AV111" s="25"/>
      <c r="AW111" s="33"/>
      <c r="AX111" s="34"/>
      <c r="AY111" s="34">
        <v>7140209</v>
      </c>
      <c r="AZ111" s="33">
        <v>144</v>
      </c>
      <c r="BA111" s="61"/>
      <c r="BB111" s="17"/>
      <c r="BC111" s="50" t="s">
        <v>2162</v>
      </c>
      <c r="BD111" s="17"/>
      <c r="BM111" s="46"/>
      <c r="BN111" s="46"/>
      <c r="BO111" s="47"/>
    </row>
    <row r="112" spans="1:67" ht="24.95" customHeight="1" x14ac:dyDescent="0.25">
      <c r="B112" s="36">
        <f>SUBTOTAL(103,$M$2:M112)</f>
        <v>111</v>
      </c>
      <c r="C112" s="37" t="s">
        <v>499</v>
      </c>
      <c r="D112" s="33" t="s">
        <v>79</v>
      </c>
      <c r="E112" s="36" t="s">
        <v>3</v>
      </c>
      <c r="F112" s="33" t="s">
        <v>557</v>
      </c>
      <c r="G112" s="33" t="s">
        <v>2679</v>
      </c>
      <c r="H112" s="33" t="s">
        <v>2677</v>
      </c>
      <c r="I112" s="33" t="s">
        <v>2422</v>
      </c>
      <c r="J112" s="37" t="s">
        <v>2442</v>
      </c>
      <c r="K112" s="25" t="s">
        <v>1082</v>
      </c>
      <c r="L112" s="49" t="s">
        <v>474</v>
      </c>
      <c r="M112" s="38" t="s">
        <v>2163</v>
      </c>
      <c r="N112" s="36" t="s">
        <v>91</v>
      </c>
      <c r="O112" s="36">
        <v>1</v>
      </c>
      <c r="P112" s="36">
        <v>1</v>
      </c>
      <c r="Q112" s="36" t="s">
        <v>71</v>
      </c>
      <c r="R112" s="33" t="s">
        <v>2644</v>
      </c>
      <c r="S112" s="33" t="s">
        <v>2050</v>
      </c>
      <c r="T112" s="25"/>
      <c r="U112" s="33">
        <v>2020</v>
      </c>
      <c r="V112" s="36"/>
      <c r="W112" s="33"/>
      <c r="X112" s="33"/>
      <c r="Y112" s="33" t="s">
        <v>601</v>
      </c>
      <c r="Z112" s="37" t="s">
        <v>157</v>
      </c>
      <c r="AA112" s="37" t="s">
        <v>1069</v>
      </c>
      <c r="AB112" s="33" t="s">
        <v>1083</v>
      </c>
      <c r="AC112" s="25"/>
      <c r="AD112" s="51" t="s">
        <v>77</v>
      </c>
      <c r="AE112" s="25" t="s">
        <v>78</v>
      </c>
      <c r="AF112" s="25" t="s">
        <v>78</v>
      </c>
      <c r="AG112" s="25"/>
      <c r="AH112" s="80"/>
      <c r="AI112" s="37" t="s">
        <v>1084</v>
      </c>
      <c r="AJ112" s="33"/>
      <c r="AK112" s="25" t="s">
        <v>746</v>
      </c>
      <c r="AL112" s="78" t="s">
        <v>1085</v>
      </c>
      <c r="AM112" s="36" t="s">
        <v>77</v>
      </c>
      <c r="AN112" s="41" t="s">
        <v>468</v>
      </c>
      <c r="AO112" s="41"/>
      <c r="AP112" s="33" t="s">
        <v>764</v>
      </c>
      <c r="AQ112" s="43" t="s">
        <v>1086</v>
      </c>
      <c r="AR112" s="33" t="s">
        <v>85</v>
      </c>
      <c r="AS112" s="42"/>
      <c r="AT112" s="18" t="s">
        <v>433</v>
      </c>
      <c r="AU112" s="32"/>
      <c r="AV112" s="25"/>
      <c r="AW112" s="33"/>
      <c r="AX112" s="34"/>
      <c r="AY112" s="34">
        <v>7140209</v>
      </c>
      <c r="AZ112" s="33">
        <v>145</v>
      </c>
      <c r="BA112" s="61"/>
      <c r="BB112" s="17"/>
      <c r="BC112" s="43" t="s">
        <v>2163</v>
      </c>
      <c r="BD112" s="17"/>
      <c r="BM112" s="46"/>
      <c r="BN112" s="46"/>
      <c r="BO112" s="47"/>
    </row>
    <row r="113" spans="1:67" ht="24.95" customHeight="1" x14ac:dyDescent="0.25">
      <c r="A113" s="18" t="s">
        <v>2897</v>
      </c>
      <c r="B113" s="36">
        <f>SUBTOTAL(103,$M$2:M113)</f>
        <v>112</v>
      </c>
      <c r="C113" s="37" t="s">
        <v>133</v>
      </c>
      <c r="D113" s="33" t="s">
        <v>79</v>
      </c>
      <c r="E113" s="36" t="s">
        <v>3</v>
      </c>
      <c r="F113" s="33" t="s">
        <v>557</v>
      </c>
      <c r="G113" s="33" t="s">
        <v>2679</v>
      </c>
      <c r="H113" s="33" t="s">
        <v>2677</v>
      </c>
      <c r="I113" s="33" t="s">
        <v>2422</v>
      </c>
      <c r="J113" s="37" t="s">
        <v>2898</v>
      </c>
      <c r="K113" s="25" t="s">
        <v>1113</v>
      </c>
      <c r="L113" s="25" t="s">
        <v>568</v>
      </c>
      <c r="M113" s="38" t="s">
        <v>2170</v>
      </c>
      <c r="N113" s="36" t="s">
        <v>91</v>
      </c>
      <c r="O113" s="36">
        <v>1</v>
      </c>
      <c r="P113" s="36"/>
      <c r="Q113" s="36" t="s">
        <v>71</v>
      </c>
      <c r="R113" s="33" t="s">
        <v>2644</v>
      </c>
      <c r="S113" s="33" t="s">
        <v>2050</v>
      </c>
      <c r="T113" s="25"/>
      <c r="U113" s="33">
        <v>2022</v>
      </c>
      <c r="V113" s="36" t="s">
        <v>74</v>
      </c>
      <c r="W113" s="33" t="s">
        <v>1114</v>
      </c>
      <c r="X113" s="33"/>
      <c r="Y113" s="33" t="s">
        <v>695</v>
      </c>
      <c r="Z113" s="33" t="s">
        <v>157</v>
      </c>
      <c r="AA113" s="33" t="s">
        <v>1115</v>
      </c>
      <c r="AB113" s="33" t="s">
        <v>827</v>
      </c>
      <c r="AC113" s="25"/>
      <c r="AD113" s="51" t="s">
        <v>77</v>
      </c>
      <c r="AE113" s="33" t="s">
        <v>78</v>
      </c>
      <c r="AF113" s="33" t="s">
        <v>78</v>
      </c>
      <c r="AG113" s="25"/>
      <c r="AH113" s="80"/>
      <c r="AI113" s="37" t="s">
        <v>1116</v>
      </c>
      <c r="AJ113" s="33"/>
      <c r="AK113" s="42" t="s">
        <v>202</v>
      </c>
      <c r="AL113" s="78" t="s">
        <v>1117</v>
      </c>
      <c r="AM113" s="36" t="s">
        <v>77</v>
      </c>
      <c r="AN113" s="41" t="s">
        <v>401</v>
      </c>
      <c r="AO113" s="41"/>
      <c r="AP113" s="37" t="s">
        <v>1118</v>
      </c>
      <c r="AQ113" s="43" t="s">
        <v>1119</v>
      </c>
      <c r="AR113" s="33" t="s">
        <v>1120</v>
      </c>
      <c r="AS113" s="42"/>
      <c r="AT113" s="18" t="s">
        <v>1121</v>
      </c>
      <c r="AU113" s="32"/>
      <c r="AV113" s="25"/>
      <c r="AW113" s="33"/>
      <c r="AX113" s="34"/>
      <c r="AY113" s="34">
        <v>7140231</v>
      </c>
      <c r="AZ113" s="33">
        <v>152</v>
      </c>
      <c r="BA113" s="61"/>
      <c r="BB113" s="17"/>
      <c r="BC113" s="43" t="s">
        <v>2170</v>
      </c>
      <c r="BD113" s="17"/>
      <c r="BM113" s="46"/>
      <c r="BN113" s="46"/>
      <c r="BO113" s="47"/>
    </row>
    <row r="114" spans="1:67" ht="24.95" customHeight="1" x14ac:dyDescent="0.25">
      <c r="A114" s="18" t="s">
        <v>2862</v>
      </c>
      <c r="B114" s="36">
        <f>SUBTOTAL(103,$M$2:M114)</f>
        <v>113</v>
      </c>
      <c r="C114" s="33">
        <v>1</v>
      </c>
      <c r="D114" s="33" t="s">
        <v>79</v>
      </c>
      <c r="E114" s="33" t="s">
        <v>3</v>
      </c>
      <c r="F114" s="33" t="s">
        <v>557</v>
      </c>
      <c r="G114" s="33" t="s">
        <v>2675</v>
      </c>
      <c r="H114" s="33" t="s">
        <v>2677</v>
      </c>
      <c r="I114" s="33" t="s">
        <v>2422</v>
      </c>
      <c r="J114" s="33" t="s">
        <v>2863</v>
      </c>
      <c r="K114" s="25" t="s">
        <v>2844</v>
      </c>
      <c r="L114" s="25" t="s">
        <v>592</v>
      </c>
      <c r="M114" s="38" t="s">
        <v>2845</v>
      </c>
      <c r="N114" s="33" t="s">
        <v>70</v>
      </c>
      <c r="O114" s="135">
        <v>0</v>
      </c>
      <c r="P114" s="135"/>
      <c r="Q114" s="33" t="s">
        <v>71</v>
      </c>
      <c r="R114" s="36" t="s">
        <v>2644</v>
      </c>
      <c r="S114" s="36" t="s">
        <v>2050</v>
      </c>
      <c r="T114" s="42"/>
      <c r="U114" s="33">
        <v>2021</v>
      </c>
      <c r="V114" s="33"/>
      <c r="W114" s="33"/>
      <c r="X114" s="33"/>
      <c r="Y114" s="33" t="s">
        <v>609</v>
      </c>
      <c r="Z114" s="33" t="s">
        <v>157</v>
      </c>
      <c r="AA114" s="25" t="s">
        <v>984</v>
      </c>
      <c r="AB114" s="33"/>
      <c r="AC114" s="33" t="s">
        <v>3</v>
      </c>
      <c r="AD114" s="33" t="s">
        <v>77</v>
      </c>
      <c r="AE114" s="25"/>
      <c r="AF114" s="25" t="s">
        <v>78</v>
      </c>
      <c r="AG114" s="103"/>
      <c r="AH114" s="25"/>
      <c r="AI114" s="33" t="s">
        <v>755</v>
      </c>
      <c r="AJ114" s="33"/>
      <c r="AK114" s="25"/>
      <c r="AL114" s="43" t="s">
        <v>2846</v>
      </c>
      <c r="AM114" s="36" t="s">
        <v>77</v>
      </c>
      <c r="AN114" s="33" t="s">
        <v>2766</v>
      </c>
      <c r="AP114" s="33" t="s">
        <v>2847</v>
      </c>
      <c r="AQ114" s="43" t="s">
        <v>2848</v>
      </c>
      <c r="AR114" s="25"/>
      <c r="AS114" s="25"/>
      <c r="AT114" s="25"/>
      <c r="AU114" s="18"/>
      <c r="AV114" s="84" t="s">
        <v>7</v>
      </c>
      <c r="AW114" s="17"/>
    </row>
    <row r="115" spans="1:67" ht="24.95" customHeight="1" x14ac:dyDescent="0.25">
      <c r="B115" s="36">
        <f>SUBTOTAL(103,$M$2:M115)</f>
        <v>114</v>
      </c>
      <c r="C115" s="37" t="s">
        <v>67</v>
      </c>
      <c r="D115" s="33" t="s">
        <v>79</v>
      </c>
      <c r="E115" s="33" t="s">
        <v>3</v>
      </c>
      <c r="F115" s="37" t="s">
        <v>33</v>
      </c>
      <c r="G115" s="37" t="s">
        <v>2675</v>
      </c>
      <c r="H115" s="37" t="s">
        <v>2677</v>
      </c>
      <c r="I115" s="37" t="s">
        <v>2450</v>
      </c>
      <c r="J115" s="37" t="s">
        <v>2443</v>
      </c>
      <c r="K115" s="48" t="s">
        <v>1005</v>
      </c>
      <c r="L115" s="49" t="s">
        <v>339</v>
      </c>
      <c r="M115" s="50" t="s">
        <v>2165</v>
      </c>
      <c r="N115" s="37" t="s">
        <v>91</v>
      </c>
      <c r="O115" s="36">
        <v>1</v>
      </c>
      <c r="P115" s="36">
        <v>1</v>
      </c>
      <c r="Q115" s="37" t="s">
        <v>71</v>
      </c>
      <c r="R115" s="37" t="s">
        <v>2645</v>
      </c>
      <c r="S115" s="37" t="s">
        <v>2052</v>
      </c>
      <c r="T115" s="48" t="s">
        <v>598</v>
      </c>
      <c r="U115" s="37" t="s">
        <v>349</v>
      </c>
      <c r="V115" s="37" t="s">
        <v>74</v>
      </c>
      <c r="W115" s="37" t="s">
        <v>1087</v>
      </c>
      <c r="X115" s="37"/>
      <c r="Y115" s="37" t="s">
        <v>160</v>
      </c>
      <c r="Z115" s="37" t="s">
        <v>74</v>
      </c>
      <c r="AA115" s="37"/>
      <c r="AB115" s="37"/>
      <c r="AC115" s="25"/>
      <c r="AD115" s="51" t="s">
        <v>77</v>
      </c>
      <c r="AE115" s="25" t="s">
        <v>78</v>
      </c>
      <c r="AF115" s="37" t="s">
        <v>78</v>
      </c>
      <c r="AG115" s="25"/>
      <c r="AH115" s="37"/>
      <c r="AI115" s="37" t="s">
        <v>149</v>
      </c>
      <c r="AJ115" s="37" t="s">
        <v>76</v>
      </c>
      <c r="AK115" s="37"/>
      <c r="AL115" s="146" t="s">
        <v>1088</v>
      </c>
      <c r="AM115" s="37" t="s">
        <v>77</v>
      </c>
      <c r="AN115" s="37" t="s">
        <v>332</v>
      </c>
      <c r="AO115" s="37"/>
      <c r="AP115" s="37" t="s">
        <v>333</v>
      </c>
      <c r="AQ115" s="50" t="s">
        <v>1089</v>
      </c>
      <c r="AR115" s="37" t="s">
        <v>85</v>
      </c>
      <c r="AS115" s="42"/>
      <c r="AT115" s="58" t="s">
        <v>288</v>
      </c>
      <c r="AU115" s="32"/>
      <c r="AV115" s="25"/>
      <c r="AW115" s="33"/>
      <c r="AX115" s="34"/>
      <c r="AY115" s="34">
        <v>7140231</v>
      </c>
      <c r="AZ115" s="33">
        <v>147</v>
      </c>
      <c r="BA115" s="61"/>
      <c r="BB115" s="17"/>
      <c r="BC115" s="50" t="s">
        <v>2165</v>
      </c>
      <c r="BD115" s="17"/>
      <c r="BM115" s="46"/>
      <c r="BN115" s="46"/>
      <c r="BO115" s="47"/>
    </row>
    <row r="116" spans="1:67" ht="24.95" customHeight="1" x14ac:dyDescent="0.25">
      <c r="B116" s="36">
        <f>SUBTOTAL(103,$M$2:M116)</f>
        <v>115</v>
      </c>
      <c r="C116" s="37" t="s">
        <v>88</v>
      </c>
      <c r="D116" s="33" t="s">
        <v>79</v>
      </c>
      <c r="E116" s="33" t="s">
        <v>3</v>
      </c>
      <c r="F116" s="33" t="s">
        <v>33</v>
      </c>
      <c r="G116" s="37" t="s">
        <v>2675</v>
      </c>
      <c r="H116" s="37" t="s">
        <v>2677</v>
      </c>
      <c r="I116" s="37" t="s">
        <v>2450</v>
      </c>
      <c r="J116" s="33" t="s">
        <v>2444</v>
      </c>
      <c r="K116" s="25" t="s">
        <v>700</v>
      </c>
      <c r="L116" s="25" t="s">
        <v>358</v>
      </c>
      <c r="M116" s="38" t="s">
        <v>2166</v>
      </c>
      <c r="N116" s="33" t="s">
        <v>91</v>
      </c>
      <c r="O116" s="36">
        <v>1</v>
      </c>
      <c r="P116" s="36">
        <v>1</v>
      </c>
      <c r="Q116" s="33" t="s">
        <v>71</v>
      </c>
      <c r="R116" s="37" t="s">
        <v>2645</v>
      </c>
      <c r="S116" s="37" t="s">
        <v>2052</v>
      </c>
      <c r="T116" s="25" t="s">
        <v>598</v>
      </c>
      <c r="U116" s="33">
        <v>2017</v>
      </c>
      <c r="V116" s="33" t="s">
        <v>74</v>
      </c>
      <c r="W116" s="33"/>
      <c r="X116" s="33"/>
      <c r="Y116" s="33" t="s">
        <v>160</v>
      </c>
      <c r="Z116" s="33" t="s">
        <v>74</v>
      </c>
      <c r="AA116" s="33"/>
      <c r="AB116" s="33"/>
      <c r="AC116" s="25"/>
      <c r="AD116" s="51" t="s">
        <v>77</v>
      </c>
      <c r="AE116" s="25" t="s">
        <v>78</v>
      </c>
      <c r="AF116" s="25" t="s">
        <v>78</v>
      </c>
      <c r="AG116" s="25">
        <v>3</v>
      </c>
      <c r="AH116" s="25"/>
      <c r="AI116" s="33" t="s">
        <v>149</v>
      </c>
      <c r="AJ116" s="33" t="s">
        <v>76</v>
      </c>
      <c r="AK116" s="25"/>
      <c r="AL116" s="78" t="s">
        <v>1090</v>
      </c>
      <c r="AM116" s="36" t="s">
        <v>77</v>
      </c>
      <c r="AN116" s="40" t="s">
        <v>1091</v>
      </c>
      <c r="AO116" s="62"/>
      <c r="AP116" s="33" t="s">
        <v>1092</v>
      </c>
      <c r="AQ116" s="43" t="s">
        <v>1093</v>
      </c>
      <c r="AR116" s="33" t="s">
        <v>85</v>
      </c>
      <c r="AS116" s="42"/>
      <c r="AT116" s="18" t="s">
        <v>740</v>
      </c>
      <c r="AU116" s="32"/>
      <c r="AV116" s="25"/>
      <c r="AW116" s="33"/>
      <c r="AX116" s="34"/>
      <c r="AY116" s="34">
        <v>7140231</v>
      </c>
      <c r="AZ116" s="33">
        <v>148</v>
      </c>
      <c r="BA116" s="61"/>
      <c r="BB116" s="17"/>
      <c r="BC116" s="43" t="s">
        <v>2166</v>
      </c>
      <c r="BD116" s="17"/>
      <c r="BM116" s="46"/>
      <c r="BN116" s="46"/>
      <c r="BO116" s="47"/>
    </row>
    <row r="117" spans="1:67" ht="24.95" customHeight="1" x14ac:dyDescent="0.25">
      <c r="A117" s="18" t="s">
        <v>2862</v>
      </c>
      <c r="B117" s="36">
        <f>SUBTOTAL(103,$M$2:M117)</f>
        <v>116</v>
      </c>
      <c r="C117" s="33">
        <v>1</v>
      </c>
      <c r="D117" s="33" t="s">
        <v>79</v>
      </c>
      <c r="E117" s="33" t="s">
        <v>3</v>
      </c>
      <c r="F117" s="33" t="s">
        <v>33</v>
      </c>
      <c r="G117" s="33" t="s">
        <v>2675</v>
      </c>
      <c r="H117" s="33" t="s">
        <v>2677</v>
      </c>
      <c r="I117" s="33" t="s">
        <v>2450</v>
      </c>
      <c r="J117" s="33" t="s">
        <v>2872</v>
      </c>
      <c r="K117" s="25" t="s">
        <v>89</v>
      </c>
      <c r="L117" s="25" t="s">
        <v>1378</v>
      </c>
      <c r="M117" s="38" t="s">
        <v>2840</v>
      </c>
      <c r="N117" s="33" t="s">
        <v>91</v>
      </c>
      <c r="O117" s="135">
        <v>1</v>
      </c>
      <c r="P117" s="135">
        <v>1</v>
      </c>
      <c r="Q117" s="33" t="s">
        <v>71</v>
      </c>
      <c r="R117" s="33" t="s">
        <v>2645</v>
      </c>
      <c r="S117" s="33" t="s">
        <v>2052</v>
      </c>
      <c r="T117" s="42" t="s">
        <v>598</v>
      </c>
      <c r="U117" s="33">
        <v>2019</v>
      </c>
      <c r="V117" s="33" t="s">
        <v>74</v>
      </c>
      <c r="W117" s="33"/>
      <c r="X117" s="33"/>
      <c r="Y117" s="33" t="s">
        <v>466</v>
      </c>
      <c r="Z117" s="33" t="s">
        <v>74</v>
      </c>
      <c r="AA117" s="25"/>
      <c r="AB117" s="33"/>
      <c r="AC117" s="33" t="s">
        <v>3</v>
      </c>
      <c r="AD117" s="37" t="s">
        <v>77</v>
      </c>
      <c r="AE117" s="25" t="s">
        <v>78</v>
      </c>
      <c r="AF117" s="25" t="s">
        <v>78</v>
      </c>
      <c r="AG117" s="103"/>
      <c r="AH117" s="25"/>
      <c r="AI117" s="33" t="s">
        <v>149</v>
      </c>
      <c r="AJ117" s="33" t="s">
        <v>76</v>
      </c>
      <c r="AK117" s="25"/>
      <c r="AL117" s="43" t="s">
        <v>2841</v>
      </c>
      <c r="AM117" s="33" t="s">
        <v>77</v>
      </c>
      <c r="AN117" s="33" t="s">
        <v>401</v>
      </c>
      <c r="AP117" s="33" t="s">
        <v>2842</v>
      </c>
      <c r="AQ117" s="43" t="s">
        <v>2843</v>
      </c>
      <c r="AR117" s="25"/>
      <c r="AS117" s="25"/>
      <c r="AT117" s="25"/>
      <c r="AU117" s="18"/>
      <c r="AV117" s="25" t="s">
        <v>598</v>
      </c>
      <c r="AW117" s="17"/>
    </row>
    <row r="118" spans="1:67" ht="24.95" customHeight="1" x14ac:dyDescent="0.25">
      <c r="B118" s="36">
        <f>SUBTOTAL(103,$M$2:M118)</f>
        <v>117</v>
      </c>
      <c r="C118" s="37" t="s">
        <v>102</v>
      </c>
      <c r="D118" s="33" t="s">
        <v>79</v>
      </c>
      <c r="E118" s="36" t="s">
        <v>3</v>
      </c>
      <c r="F118" s="33" t="s">
        <v>34</v>
      </c>
      <c r="G118" s="37" t="s">
        <v>2675</v>
      </c>
      <c r="H118" s="37" t="s">
        <v>2677</v>
      </c>
      <c r="I118" s="37" t="s">
        <v>2450</v>
      </c>
      <c r="J118" s="33" t="s">
        <v>2445</v>
      </c>
      <c r="K118" s="25" t="s">
        <v>1094</v>
      </c>
      <c r="L118" s="25" t="s">
        <v>592</v>
      </c>
      <c r="M118" s="38" t="s">
        <v>2167</v>
      </c>
      <c r="N118" s="33" t="s">
        <v>70</v>
      </c>
      <c r="O118" s="33">
        <v>0</v>
      </c>
      <c r="P118" s="33">
        <v>1</v>
      </c>
      <c r="Q118" s="36" t="s">
        <v>71</v>
      </c>
      <c r="R118" s="37" t="s">
        <v>2645</v>
      </c>
      <c r="S118" s="37" t="s">
        <v>2052</v>
      </c>
      <c r="T118" s="25" t="s">
        <v>997</v>
      </c>
      <c r="U118" s="33">
        <v>2020</v>
      </c>
      <c r="V118" s="36" t="s">
        <v>74</v>
      </c>
      <c r="W118" s="33" t="s">
        <v>1095</v>
      </c>
      <c r="X118" s="33"/>
      <c r="Y118" s="33" t="s">
        <v>1096</v>
      </c>
      <c r="Z118" s="37" t="s">
        <v>74</v>
      </c>
      <c r="AA118" s="37"/>
      <c r="AB118" s="33"/>
      <c r="AC118" s="25"/>
      <c r="AD118" s="51" t="s">
        <v>77</v>
      </c>
      <c r="AE118" s="33" t="s">
        <v>78</v>
      </c>
      <c r="AF118" s="33" t="s">
        <v>78</v>
      </c>
      <c r="AG118" s="25"/>
      <c r="AH118" s="80"/>
      <c r="AI118" s="37" t="s">
        <v>149</v>
      </c>
      <c r="AJ118" s="33" t="s">
        <v>76</v>
      </c>
      <c r="AK118" s="25"/>
      <c r="AL118" s="78" t="s">
        <v>1097</v>
      </c>
      <c r="AM118" s="36" t="s">
        <v>77</v>
      </c>
      <c r="AN118" s="37" t="s">
        <v>286</v>
      </c>
      <c r="AO118" s="37"/>
      <c r="AP118" s="37" t="s">
        <v>1098</v>
      </c>
      <c r="AQ118" s="43" t="s">
        <v>1099</v>
      </c>
      <c r="AR118" s="33" t="s">
        <v>550</v>
      </c>
      <c r="AS118" s="42" t="s">
        <v>1100</v>
      </c>
      <c r="AT118" s="18" t="s">
        <v>884</v>
      </c>
      <c r="AU118" s="32"/>
      <c r="AV118" s="25"/>
      <c r="AW118" s="33"/>
      <c r="AX118" s="34"/>
      <c r="AY118" s="34">
        <v>7140231</v>
      </c>
      <c r="AZ118" s="33">
        <v>149</v>
      </c>
      <c r="BA118" s="61"/>
      <c r="BB118" s="17"/>
      <c r="BC118" s="43" t="s">
        <v>2167</v>
      </c>
      <c r="BD118" s="17"/>
      <c r="BM118" s="46"/>
      <c r="BN118" s="46"/>
      <c r="BO118" s="47"/>
    </row>
    <row r="119" spans="1:67" ht="24.95" customHeight="1" x14ac:dyDescent="0.25">
      <c r="B119" s="36">
        <f>SUBTOTAL(103,$M$2:M119)</f>
        <v>118</v>
      </c>
      <c r="C119" s="37" t="s">
        <v>115</v>
      </c>
      <c r="D119" s="33" t="s">
        <v>79</v>
      </c>
      <c r="E119" s="36" t="s">
        <v>3</v>
      </c>
      <c r="F119" s="33" t="s">
        <v>34</v>
      </c>
      <c r="G119" s="37" t="s">
        <v>2675</v>
      </c>
      <c r="H119" s="37" t="s">
        <v>2677</v>
      </c>
      <c r="I119" s="37" t="s">
        <v>2450</v>
      </c>
      <c r="J119" s="33" t="s">
        <v>2446</v>
      </c>
      <c r="K119" s="25" t="s">
        <v>1101</v>
      </c>
      <c r="L119" s="25" t="s">
        <v>946</v>
      </c>
      <c r="M119" s="38" t="s">
        <v>2168</v>
      </c>
      <c r="N119" s="36" t="s">
        <v>91</v>
      </c>
      <c r="O119" s="36">
        <v>1</v>
      </c>
      <c r="P119" s="36">
        <v>1</v>
      </c>
      <c r="Q119" s="36" t="s">
        <v>71</v>
      </c>
      <c r="R119" s="37" t="s">
        <v>2645</v>
      </c>
      <c r="S119" s="37" t="s">
        <v>2052</v>
      </c>
      <c r="T119" s="25" t="s">
        <v>5</v>
      </c>
      <c r="U119" s="33">
        <v>2019</v>
      </c>
      <c r="V119" s="36" t="s">
        <v>74</v>
      </c>
      <c r="W119" s="33" t="s">
        <v>1102</v>
      </c>
      <c r="X119" s="33" t="s">
        <v>1103</v>
      </c>
      <c r="Y119" s="33"/>
      <c r="Z119" s="37"/>
      <c r="AA119" s="37"/>
      <c r="AB119" s="33"/>
      <c r="AC119" s="25"/>
      <c r="AD119" s="51" t="s">
        <v>77</v>
      </c>
      <c r="AE119" s="33" t="s">
        <v>78</v>
      </c>
      <c r="AF119" s="33"/>
      <c r="AG119" s="25">
        <v>4</v>
      </c>
      <c r="AH119" s="80"/>
      <c r="AI119" s="33" t="s">
        <v>149</v>
      </c>
      <c r="AJ119" s="33" t="s">
        <v>76</v>
      </c>
      <c r="AK119" s="25"/>
      <c r="AL119" s="78" t="s">
        <v>1104</v>
      </c>
      <c r="AM119" s="36" t="s">
        <v>77</v>
      </c>
      <c r="AN119" s="37" t="s">
        <v>150</v>
      </c>
      <c r="AO119" s="37"/>
      <c r="AP119" s="33" t="s">
        <v>566</v>
      </c>
      <c r="AQ119" s="43" t="s">
        <v>1105</v>
      </c>
      <c r="AR119" s="44" t="s">
        <v>85</v>
      </c>
      <c r="AS119" s="42" t="s">
        <v>1106</v>
      </c>
      <c r="AT119" s="18" t="s">
        <v>781</v>
      </c>
      <c r="AU119" s="32"/>
      <c r="AV119" s="25"/>
      <c r="AW119" s="33"/>
      <c r="AX119" s="34"/>
      <c r="AY119" s="34">
        <v>7140231</v>
      </c>
      <c r="AZ119" s="33">
        <v>150</v>
      </c>
      <c r="BA119" s="61"/>
      <c r="BB119" s="17"/>
      <c r="BC119" s="43" t="s">
        <v>2168</v>
      </c>
      <c r="BD119" s="17"/>
      <c r="BM119" s="46"/>
      <c r="BN119" s="46"/>
      <c r="BO119" s="47"/>
    </row>
    <row r="120" spans="1:67" ht="24.95" customHeight="1" x14ac:dyDescent="0.25">
      <c r="B120" s="36">
        <f>SUBTOTAL(103,$M$2:M120)</f>
        <v>119</v>
      </c>
      <c r="C120" s="37" t="s">
        <v>124</v>
      </c>
      <c r="D120" s="33" t="s">
        <v>79</v>
      </c>
      <c r="E120" s="36" t="s">
        <v>3</v>
      </c>
      <c r="F120" s="36" t="s">
        <v>34</v>
      </c>
      <c r="G120" s="37" t="s">
        <v>2675</v>
      </c>
      <c r="H120" s="37" t="s">
        <v>2677</v>
      </c>
      <c r="I120" s="37" t="s">
        <v>2450</v>
      </c>
      <c r="J120" s="33" t="s">
        <v>2447</v>
      </c>
      <c r="K120" s="25" t="s">
        <v>1107</v>
      </c>
      <c r="L120" s="25" t="s">
        <v>426</v>
      </c>
      <c r="M120" s="54" t="s">
        <v>2169</v>
      </c>
      <c r="N120" s="33" t="s">
        <v>70</v>
      </c>
      <c r="O120" s="33">
        <v>0</v>
      </c>
      <c r="P120" s="33"/>
      <c r="Q120" s="37" t="s">
        <v>359</v>
      </c>
      <c r="R120" s="37" t="s">
        <v>2645</v>
      </c>
      <c r="S120" s="37" t="s">
        <v>2052</v>
      </c>
      <c r="T120" s="55" t="s">
        <v>7</v>
      </c>
      <c r="U120" s="33">
        <v>2024</v>
      </c>
      <c r="V120" s="37" t="s">
        <v>74</v>
      </c>
      <c r="W120" s="36" t="s">
        <v>626</v>
      </c>
      <c r="X120" s="36" t="s">
        <v>1108</v>
      </c>
      <c r="Y120" s="33" t="s">
        <v>695</v>
      </c>
      <c r="Z120" s="33" t="s">
        <v>157</v>
      </c>
      <c r="AA120" s="37" t="s">
        <v>1035</v>
      </c>
      <c r="AB120" s="33" t="s">
        <v>1109</v>
      </c>
      <c r="AC120" s="25"/>
      <c r="AD120" s="51" t="s">
        <v>77</v>
      </c>
      <c r="AE120" s="33" t="s">
        <v>78</v>
      </c>
      <c r="AF120" s="33" t="s">
        <v>78</v>
      </c>
      <c r="AG120" s="25"/>
      <c r="AH120" s="80"/>
      <c r="AI120" s="37" t="s">
        <v>149</v>
      </c>
      <c r="AJ120" s="37" t="s">
        <v>76</v>
      </c>
      <c r="AK120" s="25"/>
      <c r="AL120" s="107" t="s">
        <v>1110</v>
      </c>
      <c r="AM120" s="36" t="s">
        <v>77</v>
      </c>
      <c r="AN120" s="37" t="s">
        <v>332</v>
      </c>
      <c r="AO120" s="37"/>
      <c r="AP120" s="37" t="s">
        <v>1111</v>
      </c>
      <c r="AQ120" s="43" t="s">
        <v>1112</v>
      </c>
      <c r="AR120" s="33" t="s">
        <v>85</v>
      </c>
      <c r="AS120" s="42"/>
      <c r="AT120" s="18" t="s">
        <v>101</v>
      </c>
      <c r="AU120" s="32"/>
      <c r="AV120" s="25"/>
      <c r="AW120" s="33"/>
      <c r="AX120" s="34"/>
      <c r="AY120" s="34">
        <v>7140231</v>
      </c>
      <c r="AZ120" s="33">
        <v>151</v>
      </c>
      <c r="BA120" s="61"/>
      <c r="BB120" s="17"/>
      <c r="BC120" s="57" t="s">
        <v>2169</v>
      </c>
      <c r="BD120" s="17"/>
      <c r="BM120" s="46"/>
      <c r="BN120" s="46"/>
      <c r="BO120" s="47"/>
    </row>
    <row r="121" spans="1:67" ht="24.95" customHeight="1" x14ac:dyDescent="0.25">
      <c r="B121" s="36">
        <f>SUBTOTAL(103,$M$2:M121)</f>
        <v>120</v>
      </c>
      <c r="C121" s="37" t="s">
        <v>146</v>
      </c>
      <c r="D121" s="33" t="s">
        <v>79</v>
      </c>
      <c r="E121" s="36" t="s">
        <v>3</v>
      </c>
      <c r="F121" s="33" t="s">
        <v>557</v>
      </c>
      <c r="G121" s="37" t="s">
        <v>2675</v>
      </c>
      <c r="H121" s="37" t="s">
        <v>2677</v>
      </c>
      <c r="I121" s="37" t="s">
        <v>2450</v>
      </c>
      <c r="J121" s="33" t="s">
        <v>2448</v>
      </c>
      <c r="K121" s="25" t="s">
        <v>1122</v>
      </c>
      <c r="L121" s="25" t="s">
        <v>1123</v>
      </c>
      <c r="M121" s="38" t="s">
        <v>2171</v>
      </c>
      <c r="N121" s="36" t="s">
        <v>70</v>
      </c>
      <c r="O121" s="33">
        <v>0</v>
      </c>
      <c r="P121" s="33">
        <v>1</v>
      </c>
      <c r="Q121" s="36" t="s">
        <v>71</v>
      </c>
      <c r="R121" s="37" t="s">
        <v>2645</v>
      </c>
      <c r="S121" s="37" t="s">
        <v>2052</v>
      </c>
      <c r="T121" s="25"/>
      <c r="U121" s="33">
        <v>2019</v>
      </c>
      <c r="V121" s="36"/>
      <c r="W121" s="33"/>
      <c r="X121" s="33"/>
      <c r="Y121" s="33" t="s">
        <v>695</v>
      </c>
      <c r="Z121" s="37" t="s">
        <v>157</v>
      </c>
      <c r="AA121" s="37" t="s">
        <v>1124</v>
      </c>
      <c r="AB121" s="33" t="s">
        <v>702</v>
      </c>
      <c r="AC121" s="25"/>
      <c r="AD121" s="51" t="s">
        <v>77</v>
      </c>
      <c r="AE121" s="33" t="s">
        <v>78</v>
      </c>
      <c r="AF121" s="33" t="s">
        <v>78</v>
      </c>
      <c r="AG121" s="25"/>
      <c r="AH121" s="80"/>
      <c r="AI121" s="33" t="s">
        <v>1125</v>
      </c>
      <c r="AJ121" s="33"/>
      <c r="AK121" s="25"/>
      <c r="AL121" s="78" t="s">
        <v>1126</v>
      </c>
      <c r="AM121" s="36" t="s">
        <v>77</v>
      </c>
      <c r="AN121" s="37" t="s">
        <v>150</v>
      </c>
      <c r="AO121" s="37"/>
      <c r="AP121" s="33" t="s">
        <v>1061</v>
      </c>
      <c r="AQ121" s="43" t="s">
        <v>1127</v>
      </c>
      <c r="AR121" s="44" t="s">
        <v>85</v>
      </c>
      <c r="AS121" s="42"/>
      <c r="AT121" s="18" t="s">
        <v>781</v>
      </c>
      <c r="AU121" s="32"/>
      <c r="AV121" s="62"/>
      <c r="AW121" s="33"/>
      <c r="AX121" s="34"/>
      <c r="AY121" s="34">
        <v>7140231</v>
      </c>
      <c r="AZ121" s="33">
        <v>153</v>
      </c>
      <c r="BA121" s="61"/>
      <c r="BB121" s="17"/>
      <c r="BC121" s="43" t="s">
        <v>2171</v>
      </c>
      <c r="BD121" s="17"/>
      <c r="BM121" s="46"/>
      <c r="BN121" s="46"/>
      <c r="BO121" s="47"/>
    </row>
    <row r="122" spans="1:67" ht="24.95" customHeight="1" x14ac:dyDescent="0.25">
      <c r="B122" s="36">
        <f>SUBTOTAL(103,$M$2:M122)</f>
        <v>121</v>
      </c>
      <c r="C122" s="37" t="s">
        <v>154</v>
      </c>
      <c r="D122" s="33" t="s">
        <v>79</v>
      </c>
      <c r="E122" s="36" t="s">
        <v>3</v>
      </c>
      <c r="F122" s="37" t="s">
        <v>557</v>
      </c>
      <c r="G122" s="37" t="s">
        <v>2675</v>
      </c>
      <c r="H122" s="37" t="s">
        <v>2677</v>
      </c>
      <c r="I122" s="37" t="s">
        <v>2450</v>
      </c>
      <c r="J122" s="33" t="s">
        <v>2449</v>
      </c>
      <c r="K122" s="48" t="s">
        <v>1128</v>
      </c>
      <c r="L122" s="49" t="s">
        <v>545</v>
      </c>
      <c r="M122" s="50" t="s">
        <v>2172</v>
      </c>
      <c r="N122" s="37" t="s">
        <v>91</v>
      </c>
      <c r="O122" s="36">
        <v>1</v>
      </c>
      <c r="P122" s="36"/>
      <c r="Q122" s="37" t="s">
        <v>71</v>
      </c>
      <c r="R122" s="37" t="s">
        <v>2645</v>
      </c>
      <c r="S122" s="37" t="s">
        <v>2052</v>
      </c>
      <c r="T122" s="25"/>
      <c r="U122" s="37" t="s">
        <v>1129</v>
      </c>
      <c r="V122" s="37"/>
      <c r="W122" s="37"/>
      <c r="X122" s="37"/>
      <c r="Y122" s="37" t="s">
        <v>695</v>
      </c>
      <c r="Z122" s="37" t="s">
        <v>157</v>
      </c>
      <c r="AA122" s="37" t="s">
        <v>1130</v>
      </c>
      <c r="AB122" s="37" t="s">
        <v>1131</v>
      </c>
      <c r="AC122" s="25"/>
      <c r="AD122" s="51" t="s">
        <v>77</v>
      </c>
      <c r="AE122" s="37" t="s">
        <v>78</v>
      </c>
      <c r="AF122" s="37" t="s">
        <v>78</v>
      </c>
      <c r="AG122" s="37"/>
      <c r="AH122" s="37"/>
      <c r="AI122" s="37" t="s">
        <v>1059</v>
      </c>
      <c r="AJ122" s="37"/>
      <c r="AK122" s="37"/>
      <c r="AL122" s="146" t="s">
        <v>1132</v>
      </c>
      <c r="AM122" s="36" t="s">
        <v>77</v>
      </c>
      <c r="AN122" s="41" t="s">
        <v>150</v>
      </c>
      <c r="AO122" s="41"/>
      <c r="AP122" s="33" t="s">
        <v>738</v>
      </c>
      <c r="AQ122" s="50" t="s">
        <v>1133</v>
      </c>
      <c r="AR122" s="37" t="s">
        <v>85</v>
      </c>
      <c r="AS122" s="42"/>
      <c r="AT122" s="18" t="s">
        <v>87</v>
      </c>
      <c r="AU122" s="32"/>
      <c r="AV122" s="62"/>
      <c r="AW122" s="33"/>
      <c r="AX122" s="34"/>
      <c r="AY122" s="34">
        <v>7140231</v>
      </c>
      <c r="AZ122" s="33">
        <v>154</v>
      </c>
      <c r="BA122" s="61"/>
      <c r="BB122" s="17"/>
      <c r="BC122" s="50" t="s">
        <v>2172</v>
      </c>
      <c r="BD122" s="17"/>
      <c r="BM122" s="46"/>
      <c r="BN122" s="46"/>
      <c r="BO122" s="47"/>
    </row>
    <row r="123" spans="1:67" ht="24.95" customHeight="1" x14ac:dyDescent="0.25">
      <c r="B123" s="36">
        <f>SUBTOTAL(103,$M$2:M123)</f>
        <v>122</v>
      </c>
      <c r="C123" s="37" t="s">
        <v>67</v>
      </c>
      <c r="D123" s="33" t="s">
        <v>79</v>
      </c>
      <c r="E123" s="33" t="s">
        <v>3</v>
      </c>
      <c r="F123" s="33" t="s">
        <v>34</v>
      </c>
      <c r="G123" s="33" t="s">
        <v>2675</v>
      </c>
      <c r="H123" s="33" t="s">
        <v>2677</v>
      </c>
      <c r="I123" s="33" t="s">
        <v>2515</v>
      </c>
      <c r="J123" s="33" t="s">
        <v>2451</v>
      </c>
      <c r="K123" s="25" t="s">
        <v>1134</v>
      </c>
      <c r="L123" s="25" t="s">
        <v>1135</v>
      </c>
      <c r="M123" s="38" t="s">
        <v>2121</v>
      </c>
      <c r="N123" s="33" t="s">
        <v>91</v>
      </c>
      <c r="O123" s="36">
        <v>1</v>
      </c>
      <c r="P123" s="36">
        <v>1</v>
      </c>
      <c r="Q123" s="33" t="s">
        <v>71</v>
      </c>
      <c r="R123" s="36" t="s">
        <v>2646</v>
      </c>
      <c r="S123" s="37" t="s">
        <v>2052</v>
      </c>
      <c r="T123" s="25" t="s">
        <v>8</v>
      </c>
      <c r="U123" s="33">
        <v>2025</v>
      </c>
      <c r="V123" s="33" t="s">
        <v>74</v>
      </c>
      <c r="W123" s="33" t="s">
        <v>1136</v>
      </c>
      <c r="X123" s="33"/>
      <c r="Y123" s="33" t="s">
        <v>203</v>
      </c>
      <c r="Z123" s="33" t="s">
        <v>74</v>
      </c>
      <c r="AA123" s="37"/>
      <c r="AB123" s="33"/>
      <c r="AC123" s="25"/>
      <c r="AD123" s="51" t="s">
        <v>77</v>
      </c>
      <c r="AE123" s="25" t="s">
        <v>78</v>
      </c>
      <c r="AF123" s="25" t="s">
        <v>78</v>
      </c>
      <c r="AG123" s="36"/>
      <c r="AH123" s="25"/>
      <c r="AI123" s="33" t="s">
        <v>149</v>
      </c>
      <c r="AJ123" s="33" t="s">
        <v>76</v>
      </c>
      <c r="AK123" s="25"/>
      <c r="AL123" s="113" t="s">
        <v>1137</v>
      </c>
      <c r="AM123" s="114" t="s">
        <v>77</v>
      </c>
      <c r="AN123" s="105" t="s">
        <v>217</v>
      </c>
      <c r="AO123" s="106"/>
      <c r="AP123" s="105" t="s">
        <v>1138</v>
      </c>
      <c r="AQ123" s="69" t="s">
        <v>1139</v>
      </c>
      <c r="AR123" s="66" t="s">
        <v>85</v>
      </c>
      <c r="AS123" s="20"/>
      <c r="AT123" s="18" t="s">
        <v>740</v>
      </c>
      <c r="AU123" s="45"/>
      <c r="AV123" s="18"/>
      <c r="AW123" s="17"/>
      <c r="AX123" s="17"/>
      <c r="AY123" s="34">
        <v>7220201</v>
      </c>
      <c r="AZ123" s="33">
        <v>156</v>
      </c>
      <c r="BB123" s="17"/>
      <c r="BC123" s="43" t="s">
        <v>2121</v>
      </c>
      <c r="BD123" s="17"/>
      <c r="BM123" s="46"/>
      <c r="BN123" s="46"/>
      <c r="BO123" s="47"/>
    </row>
    <row r="124" spans="1:67" ht="24.95" customHeight="1" x14ac:dyDescent="0.25">
      <c r="B124" s="36">
        <f>SUBTOTAL(103,$M$2:M124)</f>
        <v>123</v>
      </c>
      <c r="C124" s="37" t="s">
        <v>88</v>
      </c>
      <c r="D124" s="33" t="s">
        <v>79</v>
      </c>
      <c r="E124" s="36" t="s">
        <v>3</v>
      </c>
      <c r="F124" s="36" t="s">
        <v>34</v>
      </c>
      <c r="G124" s="33" t="s">
        <v>2675</v>
      </c>
      <c r="H124" s="33" t="s">
        <v>2677</v>
      </c>
      <c r="I124" s="33" t="s">
        <v>2515</v>
      </c>
      <c r="J124" s="33" t="s">
        <v>2452</v>
      </c>
      <c r="K124" s="25" t="s">
        <v>1140</v>
      </c>
      <c r="L124" s="25" t="s">
        <v>592</v>
      </c>
      <c r="M124" s="54" t="s">
        <v>2175</v>
      </c>
      <c r="N124" s="33" t="s">
        <v>70</v>
      </c>
      <c r="O124" s="33">
        <v>0</v>
      </c>
      <c r="P124" s="33">
        <v>1</v>
      </c>
      <c r="Q124" s="37" t="s">
        <v>71</v>
      </c>
      <c r="R124" s="36" t="s">
        <v>2646</v>
      </c>
      <c r="S124" s="37" t="s">
        <v>2052</v>
      </c>
      <c r="T124" s="55" t="s">
        <v>1025</v>
      </c>
      <c r="U124" s="33">
        <v>2024</v>
      </c>
      <c r="V124" s="37" t="s">
        <v>74</v>
      </c>
      <c r="W124" s="36" t="s">
        <v>298</v>
      </c>
      <c r="X124" s="36"/>
      <c r="Y124" s="33" t="s">
        <v>601</v>
      </c>
      <c r="Z124" s="37" t="s">
        <v>157</v>
      </c>
      <c r="AA124" s="37"/>
      <c r="AB124" s="33"/>
      <c r="AC124" s="25"/>
      <c r="AD124" s="51" t="s">
        <v>77</v>
      </c>
      <c r="AE124" s="33" t="s">
        <v>78</v>
      </c>
      <c r="AF124" s="33" t="s">
        <v>78</v>
      </c>
      <c r="AG124" s="25"/>
      <c r="AH124" s="80"/>
      <c r="AI124" s="37" t="s">
        <v>1141</v>
      </c>
      <c r="AJ124" s="37" t="s">
        <v>76</v>
      </c>
      <c r="AK124" s="25"/>
      <c r="AL124" s="113" t="s">
        <v>1142</v>
      </c>
      <c r="AM124" s="114" t="s">
        <v>77</v>
      </c>
      <c r="AN124" s="115" t="s">
        <v>150</v>
      </c>
      <c r="AO124" s="115"/>
      <c r="AP124" s="105" t="s">
        <v>1143</v>
      </c>
      <c r="AQ124" s="69" t="s">
        <v>1144</v>
      </c>
      <c r="AR124" s="66" t="s">
        <v>85</v>
      </c>
      <c r="AS124" s="20"/>
      <c r="AT124" s="18" t="s">
        <v>101</v>
      </c>
      <c r="AU124" s="45"/>
      <c r="AV124" s="18"/>
      <c r="AW124" s="17"/>
      <c r="AX124" s="17"/>
      <c r="AY124" s="34">
        <v>7220201</v>
      </c>
      <c r="AZ124" s="33">
        <v>157</v>
      </c>
      <c r="BB124" s="17"/>
      <c r="BC124" s="57" t="s">
        <v>2175</v>
      </c>
      <c r="BD124" s="17"/>
      <c r="BM124" s="46"/>
      <c r="BN124" s="46"/>
      <c r="BO124" s="47"/>
    </row>
    <row r="125" spans="1:67" ht="24.95" customHeight="1" x14ac:dyDescent="0.25">
      <c r="B125" s="36">
        <f>SUBTOTAL(103,$M$2:M125)</f>
        <v>124</v>
      </c>
      <c r="C125" s="37" t="s">
        <v>102</v>
      </c>
      <c r="D125" s="33" t="s">
        <v>79</v>
      </c>
      <c r="E125" s="36" t="s">
        <v>3</v>
      </c>
      <c r="F125" s="33" t="s">
        <v>34</v>
      </c>
      <c r="G125" s="33" t="s">
        <v>2675</v>
      </c>
      <c r="H125" s="33" t="s">
        <v>2677</v>
      </c>
      <c r="I125" s="33" t="s">
        <v>2515</v>
      </c>
      <c r="J125" s="33" t="s">
        <v>2453</v>
      </c>
      <c r="K125" s="25" t="s">
        <v>1145</v>
      </c>
      <c r="L125" s="25" t="s">
        <v>592</v>
      </c>
      <c r="M125" s="38" t="s">
        <v>2176</v>
      </c>
      <c r="N125" s="36" t="s">
        <v>70</v>
      </c>
      <c r="O125" s="33">
        <v>0</v>
      </c>
      <c r="P125" s="33"/>
      <c r="Q125" s="36" t="s">
        <v>71</v>
      </c>
      <c r="R125" s="36" t="s">
        <v>2646</v>
      </c>
      <c r="S125" s="37" t="s">
        <v>2052</v>
      </c>
      <c r="T125" s="25" t="s">
        <v>1146</v>
      </c>
      <c r="U125" s="33">
        <v>2017</v>
      </c>
      <c r="V125" s="36" t="s">
        <v>169</v>
      </c>
      <c r="W125" s="33"/>
      <c r="X125" s="33" t="s">
        <v>1147</v>
      </c>
      <c r="Y125" s="33" t="s">
        <v>304</v>
      </c>
      <c r="Z125" s="33" t="s">
        <v>169</v>
      </c>
      <c r="AA125" s="33"/>
      <c r="AB125" s="33"/>
      <c r="AC125" s="25"/>
      <c r="AD125" s="51" t="s">
        <v>77</v>
      </c>
      <c r="AE125" s="33" t="s">
        <v>78</v>
      </c>
      <c r="AF125" s="33" t="s">
        <v>78</v>
      </c>
      <c r="AG125" s="25"/>
      <c r="AH125" s="80"/>
      <c r="AI125" s="33" t="s">
        <v>1148</v>
      </c>
      <c r="AJ125" s="33" t="s">
        <v>76</v>
      </c>
      <c r="AK125" s="25"/>
      <c r="AL125" s="118" t="s">
        <v>1149</v>
      </c>
      <c r="AM125" s="116" t="s">
        <v>77</v>
      </c>
      <c r="AN125" s="117" t="s">
        <v>229</v>
      </c>
      <c r="AO125" s="117"/>
      <c r="AP125" s="119" t="s">
        <v>1150</v>
      </c>
      <c r="AQ125" s="118" t="s">
        <v>1151</v>
      </c>
      <c r="AR125" s="119" t="s">
        <v>550</v>
      </c>
      <c r="AS125" s="20"/>
      <c r="AT125" s="18" t="s">
        <v>917</v>
      </c>
      <c r="AU125" s="45"/>
      <c r="AV125" s="18"/>
      <c r="AW125" s="17"/>
      <c r="AX125" s="17"/>
      <c r="AY125" s="34">
        <v>7220201</v>
      </c>
      <c r="AZ125" s="33">
        <v>158</v>
      </c>
      <c r="BB125" s="17"/>
      <c r="BC125" s="43" t="s">
        <v>2176</v>
      </c>
      <c r="BD125" s="17"/>
      <c r="BM125" s="46"/>
      <c r="BN125" s="46"/>
      <c r="BO125" s="47"/>
    </row>
    <row r="126" spans="1:67" ht="24.95" customHeight="1" x14ac:dyDescent="0.25">
      <c r="B126" s="36">
        <f>SUBTOTAL(103,$M$2:M126)</f>
        <v>125</v>
      </c>
      <c r="C126" s="37" t="s">
        <v>115</v>
      </c>
      <c r="D126" s="33" t="s">
        <v>79</v>
      </c>
      <c r="E126" s="33" t="s">
        <v>3</v>
      </c>
      <c r="F126" s="33" t="s">
        <v>34</v>
      </c>
      <c r="G126" s="33" t="s">
        <v>2675</v>
      </c>
      <c r="H126" s="33" t="s">
        <v>2677</v>
      </c>
      <c r="I126" s="33" t="s">
        <v>2515</v>
      </c>
      <c r="J126" s="33" t="s">
        <v>2454</v>
      </c>
      <c r="K126" s="25" t="s">
        <v>1152</v>
      </c>
      <c r="L126" s="25" t="s">
        <v>592</v>
      </c>
      <c r="M126" s="38" t="s">
        <v>2177</v>
      </c>
      <c r="N126" s="33" t="s">
        <v>91</v>
      </c>
      <c r="O126" s="36">
        <v>1</v>
      </c>
      <c r="P126" s="36">
        <v>1</v>
      </c>
      <c r="Q126" s="36" t="s">
        <v>71</v>
      </c>
      <c r="R126" s="36" t="s">
        <v>2646</v>
      </c>
      <c r="S126" s="37" t="s">
        <v>2052</v>
      </c>
      <c r="T126" s="25" t="s">
        <v>18</v>
      </c>
      <c r="U126" s="33">
        <v>2024</v>
      </c>
      <c r="V126" s="36" t="s">
        <v>157</v>
      </c>
      <c r="W126" s="33" t="s">
        <v>1153</v>
      </c>
      <c r="X126" s="33"/>
      <c r="Y126" s="33" t="s">
        <v>248</v>
      </c>
      <c r="Z126" s="33" t="s">
        <v>157</v>
      </c>
      <c r="AA126" s="37"/>
      <c r="AB126" s="33"/>
      <c r="AC126" s="25"/>
      <c r="AD126" s="51" t="s">
        <v>77</v>
      </c>
      <c r="AE126" s="25" t="s">
        <v>78</v>
      </c>
      <c r="AF126" s="33" t="s">
        <v>78</v>
      </c>
      <c r="AG126" s="33"/>
      <c r="AH126" s="80"/>
      <c r="AI126" s="33" t="s">
        <v>1154</v>
      </c>
      <c r="AJ126" s="33" t="s">
        <v>76</v>
      </c>
      <c r="AK126" s="25"/>
      <c r="AL126" s="113" t="s">
        <v>1155</v>
      </c>
      <c r="AM126" s="114" t="s">
        <v>77</v>
      </c>
      <c r="AN126" s="115" t="s">
        <v>150</v>
      </c>
      <c r="AO126" s="115"/>
      <c r="AP126" s="115" t="s">
        <v>1156</v>
      </c>
      <c r="AQ126" s="69" t="s">
        <v>1157</v>
      </c>
      <c r="AR126" s="66" t="s">
        <v>85</v>
      </c>
      <c r="AS126" s="20"/>
      <c r="AT126" s="18" t="s">
        <v>254</v>
      </c>
      <c r="AU126" s="45"/>
      <c r="AV126" s="18"/>
      <c r="AW126" s="17"/>
      <c r="AX126" s="17"/>
      <c r="AY126" s="34">
        <v>7220201</v>
      </c>
      <c r="AZ126" s="33">
        <v>159</v>
      </c>
      <c r="BB126" s="17"/>
      <c r="BC126" s="43" t="s">
        <v>2177</v>
      </c>
      <c r="BD126" s="17"/>
      <c r="BM126" s="46"/>
      <c r="BN126" s="46"/>
      <c r="BO126" s="47"/>
    </row>
    <row r="127" spans="1:67" ht="24.95" customHeight="1" x14ac:dyDescent="0.25">
      <c r="B127" s="36">
        <f>SUBTOTAL(103,$M$2:M127)</f>
        <v>126</v>
      </c>
      <c r="C127" s="37" t="s">
        <v>124</v>
      </c>
      <c r="D127" s="33" t="s">
        <v>79</v>
      </c>
      <c r="E127" s="33" t="s">
        <v>3</v>
      </c>
      <c r="F127" s="33" t="s">
        <v>34</v>
      </c>
      <c r="G127" s="33" t="s">
        <v>2675</v>
      </c>
      <c r="H127" s="33" t="s">
        <v>2677</v>
      </c>
      <c r="I127" s="33" t="s">
        <v>2515</v>
      </c>
      <c r="J127" s="33" t="s">
        <v>2455</v>
      </c>
      <c r="K127" s="25" t="s">
        <v>1158</v>
      </c>
      <c r="L127" s="25" t="s">
        <v>592</v>
      </c>
      <c r="M127" s="38" t="s">
        <v>2178</v>
      </c>
      <c r="N127" s="33" t="s">
        <v>91</v>
      </c>
      <c r="O127" s="36">
        <v>1</v>
      </c>
      <c r="P127" s="36">
        <v>1</v>
      </c>
      <c r="Q127" s="33" t="s">
        <v>71</v>
      </c>
      <c r="R127" s="36" t="s">
        <v>2646</v>
      </c>
      <c r="S127" s="37" t="s">
        <v>2052</v>
      </c>
      <c r="T127" s="25" t="s">
        <v>1159</v>
      </c>
      <c r="U127" s="33">
        <v>2024</v>
      </c>
      <c r="V127" s="33" t="s">
        <v>74</v>
      </c>
      <c r="W127" s="33" t="s">
        <v>1160</v>
      </c>
      <c r="X127" s="33"/>
      <c r="Y127" s="33" t="s">
        <v>695</v>
      </c>
      <c r="Z127" s="37" t="s">
        <v>157</v>
      </c>
      <c r="AA127" s="37"/>
      <c r="AB127" s="33"/>
      <c r="AC127" s="25"/>
      <c r="AD127" s="51" t="s">
        <v>77</v>
      </c>
      <c r="AE127" s="25" t="s">
        <v>78</v>
      </c>
      <c r="AF127" s="33" t="s">
        <v>78</v>
      </c>
      <c r="AG127" s="25"/>
      <c r="AH127" s="80"/>
      <c r="AI127" s="37" t="s">
        <v>1161</v>
      </c>
      <c r="AJ127" s="33" t="s">
        <v>76</v>
      </c>
      <c r="AK127" s="25"/>
      <c r="AL127" s="113" t="s">
        <v>1162</v>
      </c>
      <c r="AM127" s="114" t="s">
        <v>77</v>
      </c>
      <c r="AN127" s="105" t="s">
        <v>150</v>
      </c>
      <c r="AO127" s="106"/>
      <c r="AP127" s="105" t="s">
        <v>1163</v>
      </c>
      <c r="AQ127" s="69" t="s">
        <v>1164</v>
      </c>
      <c r="AR127" s="66" t="s">
        <v>85</v>
      </c>
      <c r="AS127" s="20"/>
      <c r="AT127" s="18" t="s">
        <v>145</v>
      </c>
      <c r="AU127" s="45"/>
      <c r="AV127" s="18"/>
      <c r="AW127" s="17"/>
      <c r="AX127" s="17"/>
      <c r="AY127" s="34">
        <v>7220201</v>
      </c>
      <c r="AZ127" s="33">
        <v>160</v>
      </c>
      <c r="BB127" s="17"/>
      <c r="BC127" s="43" t="s">
        <v>2178</v>
      </c>
      <c r="BD127" s="17"/>
      <c r="BM127" s="46"/>
      <c r="BN127" s="46"/>
      <c r="BO127" s="47"/>
    </row>
    <row r="128" spans="1:67" ht="24.95" customHeight="1" x14ac:dyDescent="0.25">
      <c r="B128" s="36">
        <f>SUBTOTAL(103,$M$2:M128)</f>
        <v>127</v>
      </c>
      <c r="C128" s="37" t="s">
        <v>133</v>
      </c>
      <c r="D128" s="33" t="s">
        <v>79</v>
      </c>
      <c r="E128" s="33" t="s">
        <v>3</v>
      </c>
      <c r="F128" s="33" t="s">
        <v>34</v>
      </c>
      <c r="G128" s="33" t="s">
        <v>2675</v>
      </c>
      <c r="H128" s="33" t="s">
        <v>2677</v>
      </c>
      <c r="I128" s="33" t="s">
        <v>2515</v>
      </c>
      <c r="J128" s="33" t="s">
        <v>2456</v>
      </c>
      <c r="K128" s="25" t="s">
        <v>1165</v>
      </c>
      <c r="L128" s="25" t="s">
        <v>592</v>
      </c>
      <c r="M128" s="38" t="s">
        <v>2179</v>
      </c>
      <c r="N128" s="33" t="s">
        <v>91</v>
      </c>
      <c r="O128" s="36">
        <v>1</v>
      </c>
      <c r="P128" s="36">
        <v>1</v>
      </c>
      <c r="Q128" s="33" t="s">
        <v>71</v>
      </c>
      <c r="R128" s="36" t="s">
        <v>2646</v>
      </c>
      <c r="S128" s="37" t="s">
        <v>2052</v>
      </c>
      <c r="T128" s="25" t="s">
        <v>1166</v>
      </c>
      <c r="U128" s="33">
        <v>2024</v>
      </c>
      <c r="V128" s="33" t="s">
        <v>1167</v>
      </c>
      <c r="W128" s="33" t="s">
        <v>1168</v>
      </c>
      <c r="X128" s="33"/>
      <c r="Y128" s="33" t="s">
        <v>559</v>
      </c>
      <c r="Z128" s="33" t="s">
        <v>157</v>
      </c>
      <c r="AA128" s="37"/>
      <c r="AB128" s="33"/>
      <c r="AC128" s="25"/>
      <c r="AD128" s="51" t="s">
        <v>77</v>
      </c>
      <c r="AE128" s="25" t="s">
        <v>78</v>
      </c>
      <c r="AF128" s="25" t="s">
        <v>78</v>
      </c>
      <c r="AG128" s="25"/>
      <c r="AH128" s="80"/>
      <c r="AI128" s="33" t="s">
        <v>1169</v>
      </c>
      <c r="AJ128" s="33" t="s">
        <v>76</v>
      </c>
      <c r="AK128" s="25"/>
      <c r="AL128" s="107" t="s">
        <v>1170</v>
      </c>
      <c r="AM128" s="19" t="s">
        <v>77</v>
      </c>
      <c r="AN128" s="17" t="s">
        <v>185</v>
      </c>
      <c r="AO128" s="18"/>
      <c r="AP128" s="17" t="s">
        <v>1171</v>
      </c>
      <c r="AQ128" s="107" t="s">
        <v>1172</v>
      </c>
      <c r="AR128" s="17" t="s">
        <v>85</v>
      </c>
      <c r="AS128" s="20"/>
      <c r="AT128" s="58" t="s">
        <v>1046</v>
      </c>
      <c r="AU128" s="45"/>
      <c r="AV128" s="18"/>
      <c r="AW128" s="17"/>
      <c r="AX128" s="17"/>
      <c r="AY128" s="34">
        <v>7220201</v>
      </c>
      <c r="AZ128" s="33">
        <v>161</v>
      </c>
      <c r="BB128" s="17"/>
      <c r="BC128" s="43" t="s">
        <v>2179</v>
      </c>
      <c r="BD128" s="17"/>
      <c r="BM128" s="46"/>
      <c r="BN128" s="46"/>
      <c r="BO128" s="47"/>
    </row>
    <row r="129" spans="2:67" ht="24.95" customHeight="1" x14ac:dyDescent="0.25">
      <c r="B129" s="36">
        <f>SUBTOTAL(103,$M$2:M129)</f>
        <v>128</v>
      </c>
      <c r="C129" s="37" t="s">
        <v>146</v>
      </c>
      <c r="D129" s="33" t="s">
        <v>79</v>
      </c>
      <c r="E129" s="33" t="s">
        <v>3</v>
      </c>
      <c r="F129" s="33" t="s">
        <v>34</v>
      </c>
      <c r="G129" s="33" t="s">
        <v>2675</v>
      </c>
      <c r="H129" s="33" t="s">
        <v>2677</v>
      </c>
      <c r="I129" s="33" t="s">
        <v>2515</v>
      </c>
      <c r="J129" s="33" t="s">
        <v>2457</v>
      </c>
      <c r="K129" s="25" t="s">
        <v>1173</v>
      </c>
      <c r="L129" s="49" t="s">
        <v>592</v>
      </c>
      <c r="M129" s="38" t="s">
        <v>2120</v>
      </c>
      <c r="N129" s="33" t="s">
        <v>91</v>
      </c>
      <c r="O129" s="36">
        <v>1</v>
      </c>
      <c r="P129" s="36">
        <v>1</v>
      </c>
      <c r="Q129" s="33" t="s">
        <v>71</v>
      </c>
      <c r="R129" s="36" t="s">
        <v>2646</v>
      </c>
      <c r="S129" s="37" t="s">
        <v>2052</v>
      </c>
      <c r="T129" s="25" t="s">
        <v>1174</v>
      </c>
      <c r="U129" s="33">
        <v>2024</v>
      </c>
      <c r="V129" s="33" t="s">
        <v>157</v>
      </c>
      <c r="W129" s="33" t="s">
        <v>634</v>
      </c>
      <c r="X129" s="33"/>
      <c r="Y129" s="33" t="s">
        <v>564</v>
      </c>
      <c r="Z129" s="33" t="s">
        <v>157</v>
      </c>
      <c r="AA129" s="37"/>
      <c r="AB129" s="33"/>
      <c r="AC129" s="25"/>
      <c r="AD129" s="51" t="s">
        <v>77</v>
      </c>
      <c r="AE129" s="25" t="s">
        <v>78</v>
      </c>
      <c r="AF129" s="25" t="s">
        <v>78</v>
      </c>
      <c r="AG129" s="36"/>
      <c r="AH129" s="25"/>
      <c r="AI129" s="33" t="s">
        <v>1175</v>
      </c>
      <c r="AJ129" s="33" t="s">
        <v>76</v>
      </c>
      <c r="AK129" s="25"/>
      <c r="AL129" s="113" t="s">
        <v>1176</v>
      </c>
      <c r="AM129" s="65" t="s">
        <v>77</v>
      </c>
      <c r="AN129" s="66" t="s">
        <v>267</v>
      </c>
      <c r="AO129" s="67"/>
      <c r="AP129" s="66" t="s">
        <v>1177</v>
      </c>
      <c r="AQ129" s="69" t="s">
        <v>1178</v>
      </c>
      <c r="AR129" s="66" t="s">
        <v>550</v>
      </c>
      <c r="AS129" s="20"/>
      <c r="AT129" s="18" t="s">
        <v>740</v>
      </c>
      <c r="AU129" s="45"/>
      <c r="AV129" s="18"/>
      <c r="AW129" s="17"/>
      <c r="AX129" s="17"/>
      <c r="AY129" s="34">
        <v>7220201</v>
      </c>
      <c r="AZ129" s="33">
        <v>162</v>
      </c>
      <c r="BB129" s="17"/>
      <c r="BC129" s="43" t="s">
        <v>2120</v>
      </c>
      <c r="BD129" s="17"/>
      <c r="BM129" s="46"/>
      <c r="BN129" s="46"/>
      <c r="BO129" s="47"/>
    </row>
    <row r="130" spans="2:67" ht="24.95" customHeight="1" x14ac:dyDescent="0.25">
      <c r="B130" s="36">
        <f>SUBTOTAL(103,$M$2:M130)</f>
        <v>129</v>
      </c>
      <c r="C130" s="37" t="s">
        <v>154</v>
      </c>
      <c r="D130" s="33" t="s">
        <v>79</v>
      </c>
      <c r="E130" s="33" t="s">
        <v>3</v>
      </c>
      <c r="F130" s="33" t="s">
        <v>34</v>
      </c>
      <c r="G130" s="33" t="s">
        <v>2675</v>
      </c>
      <c r="H130" s="33" t="s">
        <v>2677</v>
      </c>
      <c r="I130" s="33" t="s">
        <v>2515</v>
      </c>
      <c r="J130" s="33" t="s">
        <v>2458</v>
      </c>
      <c r="K130" s="25" t="s">
        <v>1179</v>
      </c>
      <c r="L130" s="25" t="s">
        <v>568</v>
      </c>
      <c r="M130" s="38" t="s">
        <v>2180</v>
      </c>
      <c r="N130" s="33" t="s">
        <v>70</v>
      </c>
      <c r="O130" s="33">
        <v>0</v>
      </c>
      <c r="P130" s="33">
        <v>1</v>
      </c>
      <c r="Q130" s="36" t="s">
        <v>71</v>
      </c>
      <c r="R130" s="36" t="s">
        <v>2646</v>
      </c>
      <c r="S130" s="37" t="s">
        <v>2052</v>
      </c>
      <c r="T130" s="25" t="s">
        <v>1180</v>
      </c>
      <c r="U130" s="33">
        <v>2017</v>
      </c>
      <c r="V130" s="33" t="s">
        <v>74</v>
      </c>
      <c r="W130" s="33" t="s">
        <v>192</v>
      </c>
      <c r="X130" s="33"/>
      <c r="Y130" s="33" t="s">
        <v>203</v>
      </c>
      <c r="Z130" s="33" t="s">
        <v>74</v>
      </c>
      <c r="AA130" s="37"/>
      <c r="AB130" s="33"/>
      <c r="AC130" s="25"/>
      <c r="AD130" s="51" t="s">
        <v>77</v>
      </c>
      <c r="AE130" s="25" t="s">
        <v>78</v>
      </c>
      <c r="AF130" s="33" t="s">
        <v>78</v>
      </c>
      <c r="AG130" s="33"/>
      <c r="AH130" s="80"/>
      <c r="AI130" s="33" t="s">
        <v>1181</v>
      </c>
      <c r="AJ130" s="33" t="s">
        <v>76</v>
      </c>
      <c r="AK130" s="25"/>
      <c r="AL130" s="113" t="s">
        <v>1182</v>
      </c>
      <c r="AM130" s="65" t="s">
        <v>77</v>
      </c>
      <c r="AN130" s="120" t="s">
        <v>641</v>
      </c>
      <c r="AO130" s="120"/>
      <c r="AP130" s="66" t="s">
        <v>1183</v>
      </c>
      <c r="AQ130" s="69" t="s">
        <v>1184</v>
      </c>
      <c r="AR130" s="121" t="s">
        <v>85</v>
      </c>
      <c r="AS130" s="20"/>
      <c r="AT130" s="18" t="s">
        <v>715</v>
      </c>
      <c r="AU130" s="45"/>
      <c r="AV130" s="18"/>
      <c r="AW130" s="17"/>
      <c r="AX130" s="17"/>
      <c r="AY130" s="34">
        <v>7220201</v>
      </c>
      <c r="AZ130" s="33">
        <v>163</v>
      </c>
      <c r="BB130" s="17"/>
      <c r="BC130" s="43" t="s">
        <v>2180</v>
      </c>
      <c r="BD130" s="17"/>
      <c r="BM130" s="46"/>
      <c r="BN130" s="46"/>
      <c r="BO130" s="47"/>
    </row>
    <row r="131" spans="2:67" ht="24.95" customHeight="1" x14ac:dyDescent="0.25">
      <c r="B131" s="36">
        <f>SUBTOTAL(103,$M$2:M131)</f>
        <v>130</v>
      </c>
      <c r="C131" s="37" t="s">
        <v>165</v>
      </c>
      <c r="D131" s="33" t="s">
        <v>79</v>
      </c>
      <c r="E131" s="33" t="s">
        <v>3</v>
      </c>
      <c r="F131" s="33" t="s">
        <v>34</v>
      </c>
      <c r="G131" s="33" t="s">
        <v>2675</v>
      </c>
      <c r="H131" s="33" t="s">
        <v>2677</v>
      </c>
      <c r="I131" s="33" t="s">
        <v>2515</v>
      </c>
      <c r="J131" s="33" t="s">
        <v>2459</v>
      </c>
      <c r="K131" s="25" t="s">
        <v>1185</v>
      </c>
      <c r="L131" s="25" t="s">
        <v>1186</v>
      </c>
      <c r="M131" s="38" t="s">
        <v>2181</v>
      </c>
      <c r="N131" s="33" t="s">
        <v>70</v>
      </c>
      <c r="O131" s="33">
        <v>0</v>
      </c>
      <c r="P131" s="33"/>
      <c r="Q131" s="33" t="s">
        <v>427</v>
      </c>
      <c r="R131" s="36" t="s">
        <v>2646</v>
      </c>
      <c r="S131" s="37" t="s">
        <v>2052</v>
      </c>
      <c r="T131" s="25" t="s">
        <v>12</v>
      </c>
      <c r="U131" s="33">
        <v>2025</v>
      </c>
      <c r="V131" s="33" t="s">
        <v>157</v>
      </c>
      <c r="W131" s="33" t="s">
        <v>609</v>
      </c>
      <c r="X131" s="33" t="s">
        <v>1187</v>
      </c>
      <c r="Y131" s="33" t="s">
        <v>436</v>
      </c>
      <c r="Z131" s="33" t="s">
        <v>74</v>
      </c>
      <c r="AA131" s="33"/>
      <c r="AB131" s="33"/>
      <c r="AC131" s="25"/>
      <c r="AD131" s="51" t="s">
        <v>77</v>
      </c>
      <c r="AE131" s="25" t="s">
        <v>78</v>
      </c>
      <c r="AF131" s="25" t="s">
        <v>78</v>
      </c>
      <c r="AG131" s="25"/>
      <c r="AH131" s="25"/>
      <c r="AI131" s="33" t="s">
        <v>149</v>
      </c>
      <c r="AJ131" s="33" t="s">
        <v>76</v>
      </c>
      <c r="AK131" s="25"/>
      <c r="AL131" s="113" t="s">
        <v>1188</v>
      </c>
      <c r="AM131" s="65" t="s">
        <v>77</v>
      </c>
      <c r="AN131" s="66" t="s">
        <v>110</v>
      </c>
      <c r="AO131" s="67"/>
      <c r="AP131" s="66" t="s">
        <v>1189</v>
      </c>
      <c r="AQ131" s="122" t="s">
        <v>1190</v>
      </c>
      <c r="AR131" s="33" t="s">
        <v>85</v>
      </c>
      <c r="AS131" s="20"/>
      <c r="AT131" s="20" t="s">
        <v>1191</v>
      </c>
      <c r="AU131" s="18"/>
      <c r="AV131" s="18"/>
      <c r="AX131" s="17"/>
      <c r="AY131" s="34">
        <v>7220201</v>
      </c>
      <c r="AZ131" s="33">
        <v>164</v>
      </c>
      <c r="BC131" s="43" t="s">
        <v>2181</v>
      </c>
    </row>
    <row r="132" spans="2:67" ht="24.95" customHeight="1" x14ac:dyDescent="0.25">
      <c r="B132" s="36">
        <f>SUBTOTAL(103,$M$2:M132)</f>
        <v>131</v>
      </c>
      <c r="C132" s="37" t="s">
        <v>178</v>
      </c>
      <c r="D132" s="33" t="s">
        <v>79</v>
      </c>
      <c r="E132" s="33" t="s">
        <v>3</v>
      </c>
      <c r="F132" s="33" t="s">
        <v>34</v>
      </c>
      <c r="G132" s="33" t="s">
        <v>2675</v>
      </c>
      <c r="H132" s="33" t="s">
        <v>2677</v>
      </c>
      <c r="I132" s="33" t="s">
        <v>2515</v>
      </c>
      <c r="J132" s="33" t="s">
        <v>2460</v>
      </c>
      <c r="K132" s="25" t="s">
        <v>1192</v>
      </c>
      <c r="L132" s="25" t="s">
        <v>1193</v>
      </c>
      <c r="M132" s="38" t="s">
        <v>2182</v>
      </c>
      <c r="N132" s="33" t="s">
        <v>70</v>
      </c>
      <c r="O132" s="33">
        <v>0</v>
      </c>
      <c r="P132" s="33">
        <v>1</v>
      </c>
      <c r="Q132" s="33" t="s">
        <v>71</v>
      </c>
      <c r="R132" s="36" t="s">
        <v>2646</v>
      </c>
      <c r="S132" s="37" t="s">
        <v>2052</v>
      </c>
      <c r="T132" s="25" t="s">
        <v>1194</v>
      </c>
      <c r="U132" s="33">
        <v>2009</v>
      </c>
      <c r="V132" s="33" t="s">
        <v>118</v>
      </c>
      <c r="W132" s="33" t="s">
        <v>1195</v>
      </c>
      <c r="X132" s="33"/>
      <c r="Y132" s="33" t="s">
        <v>371</v>
      </c>
      <c r="Z132" s="33" t="s">
        <v>74</v>
      </c>
      <c r="AA132" s="37"/>
      <c r="AB132" s="33"/>
      <c r="AC132" s="25"/>
      <c r="AD132" s="51" t="s">
        <v>77</v>
      </c>
      <c r="AE132" s="25" t="s">
        <v>78</v>
      </c>
      <c r="AF132" s="25" t="s">
        <v>78</v>
      </c>
      <c r="AG132" s="25"/>
      <c r="AH132" s="25"/>
      <c r="AI132" s="33" t="s">
        <v>1196</v>
      </c>
      <c r="AJ132" s="33" t="s">
        <v>76</v>
      </c>
      <c r="AK132" s="25"/>
      <c r="AL132" s="113" t="s">
        <v>1197</v>
      </c>
      <c r="AM132" s="65" t="s">
        <v>77</v>
      </c>
      <c r="AN132" s="66" t="s">
        <v>267</v>
      </c>
      <c r="AO132" s="67"/>
      <c r="AP132" s="66" t="s">
        <v>738</v>
      </c>
      <c r="AQ132" s="122" t="s">
        <v>1198</v>
      </c>
      <c r="AR132" s="33" t="s">
        <v>85</v>
      </c>
      <c r="AS132" s="20"/>
      <c r="AT132" s="18" t="s">
        <v>740</v>
      </c>
      <c r="AU132" s="45"/>
      <c r="AV132" s="18"/>
      <c r="AW132" s="17"/>
      <c r="AX132" s="17"/>
      <c r="AY132" s="34">
        <v>7220201</v>
      </c>
      <c r="AZ132" s="33">
        <v>165</v>
      </c>
      <c r="BB132" s="17"/>
      <c r="BC132" s="43" t="s">
        <v>2182</v>
      </c>
      <c r="BD132" s="17"/>
      <c r="BM132" s="46"/>
      <c r="BN132" s="46"/>
      <c r="BO132" s="47"/>
    </row>
    <row r="133" spans="2:67" ht="24.95" customHeight="1" x14ac:dyDescent="0.25">
      <c r="B133" s="36">
        <f>SUBTOTAL(103,$M$2:M133)</f>
        <v>132</v>
      </c>
      <c r="C133" s="37" t="s">
        <v>189</v>
      </c>
      <c r="D133" s="33" t="s">
        <v>79</v>
      </c>
      <c r="E133" s="33" t="s">
        <v>3</v>
      </c>
      <c r="F133" s="33" t="s">
        <v>34</v>
      </c>
      <c r="G133" s="33" t="s">
        <v>2675</v>
      </c>
      <c r="H133" s="33" t="s">
        <v>2677</v>
      </c>
      <c r="I133" s="33" t="s">
        <v>2515</v>
      </c>
      <c r="J133" s="33" t="s">
        <v>2461</v>
      </c>
      <c r="K133" s="25" t="s">
        <v>442</v>
      </c>
      <c r="L133" s="25" t="s">
        <v>348</v>
      </c>
      <c r="M133" s="38" t="s">
        <v>2183</v>
      </c>
      <c r="N133" s="33" t="s">
        <v>91</v>
      </c>
      <c r="O133" s="36">
        <v>1</v>
      </c>
      <c r="P133" s="36">
        <v>1</v>
      </c>
      <c r="Q133" s="33" t="s">
        <v>71</v>
      </c>
      <c r="R133" s="36" t="s">
        <v>2646</v>
      </c>
      <c r="S133" s="37" t="s">
        <v>2052</v>
      </c>
      <c r="T133" s="25" t="s">
        <v>5</v>
      </c>
      <c r="U133" s="33">
        <v>2016</v>
      </c>
      <c r="V133" s="36" t="s">
        <v>157</v>
      </c>
      <c r="W133" s="33" t="s">
        <v>1199</v>
      </c>
      <c r="X133" s="33" t="s">
        <v>379</v>
      </c>
      <c r="Y133" s="33" t="s">
        <v>436</v>
      </c>
      <c r="Z133" s="37" t="s">
        <v>74</v>
      </c>
      <c r="AA133" s="37"/>
      <c r="AB133" s="33"/>
      <c r="AC133" s="25"/>
      <c r="AD133" s="51" t="s">
        <v>214</v>
      </c>
      <c r="AE133" s="25" t="s">
        <v>78</v>
      </c>
      <c r="AF133" s="33" t="s">
        <v>78</v>
      </c>
      <c r="AG133" s="33"/>
      <c r="AH133" s="80"/>
      <c r="AI133" s="37" t="s">
        <v>149</v>
      </c>
      <c r="AJ133" s="33" t="s">
        <v>76</v>
      </c>
      <c r="AK133" s="25"/>
      <c r="AL133" s="113" t="s">
        <v>1200</v>
      </c>
      <c r="AM133" s="65" t="s">
        <v>77</v>
      </c>
      <c r="AN133" s="66" t="s">
        <v>150</v>
      </c>
      <c r="AO133" s="67"/>
      <c r="AP133" s="66" t="s">
        <v>1201</v>
      </c>
      <c r="AQ133" s="122" t="s">
        <v>1202</v>
      </c>
      <c r="AR133" s="33" t="s">
        <v>85</v>
      </c>
      <c r="AS133" s="20"/>
      <c r="AT133" s="18" t="s">
        <v>367</v>
      </c>
      <c r="AU133" s="45"/>
      <c r="AV133" s="18"/>
      <c r="AW133" s="17"/>
      <c r="AX133" s="17"/>
      <c r="AY133" s="34">
        <v>7220201</v>
      </c>
      <c r="AZ133" s="33">
        <v>166</v>
      </c>
      <c r="BB133" s="17"/>
      <c r="BC133" s="43" t="s">
        <v>2183</v>
      </c>
      <c r="BD133" s="17"/>
      <c r="BM133" s="46"/>
      <c r="BN133" s="46"/>
      <c r="BO133" s="47"/>
    </row>
    <row r="134" spans="2:67" ht="24.95" customHeight="1" x14ac:dyDescent="0.25">
      <c r="B134" s="36">
        <f>SUBTOTAL(103,$M$2:M134)</f>
        <v>133</v>
      </c>
      <c r="C134" s="37" t="s">
        <v>199</v>
      </c>
      <c r="D134" s="33" t="s">
        <v>79</v>
      </c>
      <c r="E134" s="36" t="s">
        <v>3</v>
      </c>
      <c r="F134" s="33" t="s">
        <v>34</v>
      </c>
      <c r="G134" s="33" t="s">
        <v>2675</v>
      </c>
      <c r="H134" s="33" t="s">
        <v>2677</v>
      </c>
      <c r="I134" s="33" t="s">
        <v>2515</v>
      </c>
      <c r="J134" s="33" t="s">
        <v>2462</v>
      </c>
      <c r="K134" s="25" t="s">
        <v>661</v>
      </c>
      <c r="L134" s="25" t="s">
        <v>348</v>
      </c>
      <c r="M134" s="38" t="s">
        <v>2184</v>
      </c>
      <c r="N134" s="36" t="s">
        <v>91</v>
      </c>
      <c r="O134" s="36">
        <v>1</v>
      </c>
      <c r="P134" s="36"/>
      <c r="Q134" s="33" t="s">
        <v>71</v>
      </c>
      <c r="R134" s="36" t="s">
        <v>2646</v>
      </c>
      <c r="S134" s="37" t="s">
        <v>2052</v>
      </c>
      <c r="T134" s="25" t="s">
        <v>1203</v>
      </c>
      <c r="U134" s="33">
        <v>2022</v>
      </c>
      <c r="V134" s="33" t="s">
        <v>74</v>
      </c>
      <c r="W134" s="33" t="s">
        <v>419</v>
      </c>
      <c r="X134" s="33" t="s">
        <v>351</v>
      </c>
      <c r="Y134" s="33" t="s">
        <v>466</v>
      </c>
      <c r="Z134" s="37" t="s">
        <v>74</v>
      </c>
      <c r="AA134" s="37"/>
      <c r="AB134" s="36"/>
      <c r="AC134" s="25"/>
      <c r="AD134" s="51" t="s">
        <v>77</v>
      </c>
      <c r="AE134" s="33" t="s">
        <v>78</v>
      </c>
      <c r="AF134" s="33" t="s">
        <v>78</v>
      </c>
      <c r="AG134" s="25"/>
      <c r="AH134" s="25"/>
      <c r="AI134" s="33" t="s">
        <v>1204</v>
      </c>
      <c r="AJ134" s="33" t="s">
        <v>76</v>
      </c>
      <c r="AK134" s="36"/>
      <c r="AL134" s="113" t="s">
        <v>1205</v>
      </c>
      <c r="AM134" s="66" t="s">
        <v>77</v>
      </c>
      <c r="AN134" s="66" t="s">
        <v>286</v>
      </c>
      <c r="AO134" s="67"/>
      <c r="AP134" s="120" t="s">
        <v>1206</v>
      </c>
      <c r="AQ134" s="69" t="s">
        <v>1207</v>
      </c>
      <c r="AR134" s="66" t="s">
        <v>85</v>
      </c>
      <c r="AS134" s="20"/>
      <c r="AT134" s="18" t="s">
        <v>347</v>
      </c>
      <c r="AU134" s="45"/>
      <c r="AV134" s="18"/>
      <c r="AW134" s="17"/>
      <c r="AX134" s="17"/>
      <c r="AY134" s="34">
        <v>7220201</v>
      </c>
      <c r="AZ134" s="33">
        <v>167</v>
      </c>
      <c r="BB134" s="17"/>
      <c r="BC134" s="43" t="s">
        <v>2184</v>
      </c>
      <c r="BD134" s="17"/>
      <c r="BM134" s="46"/>
      <c r="BN134" s="46"/>
      <c r="BO134" s="47"/>
    </row>
    <row r="135" spans="2:67" ht="24.95" customHeight="1" x14ac:dyDescent="0.25">
      <c r="B135" s="36">
        <f>SUBTOTAL(103,$M$2:M135)</f>
        <v>134</v>
      </c>
      <c r="C135" s="37" t="s">
        <v>310</v>
      </c>
      <c r="D135" s="33" t="s">
        <v>79</v>
      </c>
      <c r="E135" s="33" t="s">
        <v>3</v>
      </c>
      <c r="F135" s="33" t="s">
        <v>34</v>
      </c>
      <c r="G135" s="33" t="s">
        <v>2675</v>
      </c>
      <c r="H135" s="33" t="s">
        <v>2677</v>
      </c>
      <c r="I135" s="33" t="s">
        <v>2515</v>
      </c>
      <c r="J135" s="33" t="s">
        <v>2463</v>
      </c>
      <c r="K135" s="25" t="s">
        <v>1208</v>
      </c>
      <c r="L135" s="25" t="s">
        <v>912</v>
      </c>
      <c r="M135" s="38" t="s">
        <v>2185</v>
      </c>
      <c r="N135" s="33" t="s">
        <v>70</v>
      </c>
      <c r="O135" s="33">
        <v>0</v>
      </c>
      <c r="P135" s="33">
        <v>1</v>
      </c>
      <c r="Q135" s="33" t="s">
        <v>71</v>
      </c>
      <c r="R135" s="36" t="s">
        <v>2646</v>
      </c>
      <c r="S135" s="37" t="s">
        <v>2052</v>
      </c>
      <c r="T135" s="25" t="s">
        <v>7</v>
      </c>
      <c r="U135" s="33">
        <v>2011</v>
      </c>
      <c r="V135" s="33" t="s">
        <v>74</v>
      </c>
      <c r="W135" s="33" t="s">
        <v>501</v>
      </c>
      <c r="X135" s="33"/>
      <c r="Y135" s="33"/>
      <c r="Z135" s="33"/>
      <c r="AA135" s="37"/>
      <c r="AB135" s="33"/>
      <c r="AC135" s="25"/>
      <c r="AD135" s="51" t="s">
        <v>77</v>
      </c>
      <c r="AE135" s="25" t="s">
        <v>78</v>
      </c>
      <c r="AF135" s="25"/>
      <c r="AG135" s="25"/>
      <c r="AH135" s="80"/>
      <c r="AI135" s="33" t="s">
        <v>149</v>
      </c>
      <c r="AJ135" s="33" t="s">
        <v>76</v>
      </c>
      <c r="AK135" s="25"/>
      <c r="AL135" s="113" t="s">
        <v>1209</v>
      </c>
      <c r="AM135" s="65" t="s">
        <v>77</v>
      </c>
      <c r="AN135" s="66" t="s">
        <v>1210</v>
      </c>
      <c r="AO135" s="67"/>
      <c r="AP135" s="66" t="s">
        <v>1211</v>
      </c>
      <c r="AQ135" s="69" t="s">
        <v>1212</v>
      </c>
      <c r="AR135" s="66" t="s">
        <v>1213</v>
      </c>
      <c r="AS135" s="20" t="s">
        <v>1214</v>
      </c>
      <c r="AT135" s="58" t="s">
        <v>1046</v>
      </c>
      <c r="AU135" s="45"/>
      <c r="AV135" s="18"/>
      <c r="AW135" s="17"/>
      <c r="AX135" s="17"/>
      <c r="AY135" s="34">
        <v>7220201</v>
      </c>
      <c r="AZ135" s="33">
        <v>168</v>
      </c>
      <c r="BB135" s="17"/>
      <c r="BC135" s="102" t="s">
        <v>2185</v>
      </c>
      <c r="BD135" s="17"/>
      <c r="BM135" s="46"/>
      <c r="BN135" s="46"/>
      <c r="BO135" s="47"/>
    </row>
    <row r="136" spans="2:67" ht="24.95" customHeight="1" x14ac:dyDescent="0.25">
      <c r="B136" s="36">
        <f>SUBTOTAL(103,$M$2:M136)</f>
        <v>135</v>
      </c>
      <c r="C136" s="37" t="s">
        <v>317</v>
      </c>
      <c r="D136" s="33" t="s">
        <v>79</v>
      </c>
      <c r="E136" s="36" t="s">
        <v>3</v>
      </c>
      <c r="F136" s="33" t="s">
        <v>34</v>
      </c>
      <c r="G136" s="33" t="s">
        <v>2675</v>
      </c>
      <c r="H136" s="33" t="s">
        <v>2677</v>
      </c>
      <c r="I136" s="33" t="s">
        <v>2515</v>
      </c>
      <c r="J136" s="33" t="s">
        <v>2464</v>
      </c>
      <c r="K136" s="25" t="s">
        <v>1215</v>
      </c>
      <c r="L136" s="25" t="s">
        <v>1216</v>
      </c>
      <c r="M136" s="38" t="s">
        <v>2186</v>
      </c>
      <c r="N136" s="36" t="s">
        <v>91</v>
      </c>
      <c r="O136" s="36">
        <v>1</v>
      </c>
      <c r="P136" s="36">
        <v>1</v>
      </c>
      <c r="Q136" s="36" t="s">
        <v>71</v>
      </c>
      <c r="R136" s="36" t="s">
        <v>2646</v>
      </c>
      <c r="S136" s="37" t="s">
        <v>2052</v>
      </c>
      <c r="T136" s="25" t="s">
        <v>18</v>
      </c>
      <c r="U136" s="33">
        <v>2024</v>
      </c>
      <c r="V136" s="33" t="s">
        <v>74</v>
      </c>
      <c r="W136" s="33"/>
      <c r="X136" s="33" t="s">
        <v>1217</v>
      </c>
      <c r="Y136" s="33" t="s">
        <v>107</v>
      </c>
      <c r="Z136" s="37" t="s">
        <v>74</v>
      </c>
      <c r="AA136" s="37"/>
      <c r="AB136" s="33"/>
      <c r="AC136" s="25"/>
      <c r="AD136" s="51" t="s">
        <v>77</v>
      </c>
      <c r="AE136" s="33" t="s">
        <v>78</v>
      </c>
      <c r="AF136" s="33" t="s">
        <v>78</v>
      </c>
      <c r="AG136" s="25"/>
      <c r="AH136" s="80"/>
      <c r="AI136" s="33" t="s">
        <v>215</v>
      </c>
      <c r="AJ136" s="33" t="s">
        <v>76</v>
      </c>
      <c r="AK136" s="25"/>
      <c r="AL136" s="113" t="s">
        <v>1218</v>
      </c>
      <c r="AM136" s="65" t="s">
        <v>77</v>
      </c>
      <c r="AN136" s="120" t="s">
        <v>150</v>
      </c>
      <c r="AO136" s="120"/>
      <c r="AP136" s="66" t="s">
        <v>561</v>
      </c>
      <c r="AQ136" s="69" t="s">
        <v>1219</v>
      </c>
      <c r="AR136" s="66" t="s">
        <v>85</v>
      </c>
      <c r="AS136" s="20"/>
      <c r="AT136" s="18" t="s">
        <v>389</v>
      </c>
      <c r="AU136" s="45"/>
      <c r="AV136" s="18"/>
      <c r="AW136" s="17"/>
      <c r="AX136" s="17"/>
      <c r="AY136" s="34">
        <v>7220201</v>
      </c>
      <c r="AZ136" s="33">
        <v>169</v>
      </c>
      <c r="BB136" s="17"/>
      <c r="BC136" s="43" t="s">
        <v>2186</v>
      </c>
      <c r="BD136" s="17"/>
      <c r="BM136" s="46"/>
      <c r="BN136" s="46"/>
      <c r="BO136" s="47"/>
    </row>
    <row r="137" spans="2:67" ht="24.95" customHeight="1" x14ac:dyDescent="0.25">
      <c r="B137" s="36">
        <f>SUBTOTAL(103,$M$2:M137)</f>
        <v>136</v>
      </c>
      <c r="C137" s="37" t="s">
        <v>326</v>
      </c>
      <c r="D137" s="33" t="s">
        <v>79</v>
      </c>
      <c r="E137" s="33" t="s">
        <v>3</v>
      </c>
      <c r="F137" s="33" t="s">
        <v>34</v>
      </c>
      <c r="G137" s="33" t="s">
        <v>2675</v>
      </c>
      <c r="H137" s="33" t="s">
        <v>2677</v>
      </c>
      <c r="I137" s="33" t="s">
        <v>2515</v>
      </c>
      <c r="J137" s="33" t="s">
        <v>2465</v>
      </c>
      <c r="K137" s="25" t="s">
        <v>1220</v>
      </c>
      <c r="L137" s="25" t="s">
        <v>483</v>
      </c>
      <c r="M137" s="38" t="s">
        <v>2187</v>
      </c>
      <c r="N137" s="33" t="s">
        <v>91</v>
      </c>
      <c r="O137" s="36">
        <v>1</v>
      </c>
      <c r="P137" s="36">
        <v>1</v>
      </c>
      <c r="Q137" s="33" t="s">
        <v>71</v>
      </c>
      <c r="R137" s="36" t="s">
        <v>2646</v>
      </c>
      <c r="S137" s="37" t="s">
        <v>2052</v>
      </c>
      <c r="T137" s="25" t="s">
        <v>5</v>
      </c>
      <c r="U137" s="33">
        <v>2023</v>
      </c>
      <c r="V137" s="33" t="s">
        <v>74</v>
      </c>
      <c r="W137" s="33" t="s">
        <v>1221</v>
      </c>
      <c r="X137" s="33"/>
      <c r="Y137" s="33"/>
      <c r="Z137" s="33"/>
      <c r="AA137" s="37"/>
      <c r="AB137" s="33"/>
      <c r="AC137" s="25"/>
      <c r="AD137" s="51" t="s">
        <v>77</v>
      </c>
      <c r="AE137" s="25" t="s">
        <v>78</v>
      </c>
      <c r="AF137" s="33"/>
      <c r="AG137" s="33"/>
      <c r="AH137" s="80"/>
      <c r="AI137" s="37" t="s">
        <v>149</v>
      </c>
      <c r="AJ137" s="33" t="s">
        <v>3</v>
      </c>
      <c r="AK137" s="25"/>
      <c r="AL137" s="113" t="s">
        <v>1222</v>
      </c>
      <c r="AM137" s="65" t="s">
        <v>77</v>
      </c>
      <c r="AN137" s="66" t="s">
        <v>1223</v>
      </c>
      <c r="AO137" s="67"/>
      <c r="AP137" s="66" t="s">
        <v>1224</v>
      </c>
      <c r="AQ137" s="69" t="s">
        <v>1225</v>
      </c>
      <c r="AR137" s="66" t="s">
        <v>85</v>
      </c>
      <c r="AS137" s="20" t="s">
        <v>1226</v>
      </c>
      <c r="AT137" s="18" t="s">
        <v>367</v>
      </c>
      <c r="AU137" s="45"/>
      <c r="AV137" s="18"/>
      <c r="AW137" s="17"/>
      <c r="AX137" s="17"/>
      <c r="AY137" s="34">
        <v>7220201</v>
      </c>
      <c r="AZ137" s="33">
        <v>170</v>
      </c>
      <c r="BB137" s="17"/>
      <c r="BC137" s="43" t="s">
        <v>2187</v>
      </c>
      <c r="BD137" s="17"/>
      <c r="BM137" s="46"/>
      <c r="BN137" s="46"/>
      <c r="BO137" s="47"/>
    </row>
    <row r="138" spans="2:67" ht="24.95" customHeight="1" x14ac:dyDescent="0.25">
      <c r="B138" s="36">
        <f>SUBTOTAL(103,$M$2:M138)</f>
        <v>137</v>
      </c>
      <c r="C138" s="37" t="s">
        <v>334</v>
      </c>
      <c r="D138" s="33" t="s">
        <v>79</v>
      </c>
      <c r="E138" s="36" t="s">
        <v>3</v>
      </c>
      <c r="F138" s="33" t="s">
        <v>34</v>
      </c>
      <c r="G138" s="33" t="s">
        <v>2675</v>
      </c>
      <c r="H138" s="33" t="s">
        <v>2677</v>
      </c>
      <c r="I138" s="33" t="s">
        <v>2515</v>
      </c>
      <c r="J138" s="33" t="s">
        <v>2466</v>
      </c>
      <c r="K138" s="25" t="s">
        <v>1227</v>
      </c>
      <c r="L138" s="25" t="s">
        <v>1228</v>
      </c>
      <c r="M138" s="38" t="s">
        <v>2188</v>
      </c>
      <c r="N138" s="33" t="s">
        <v>70</v>
      </c>
      <c r="O138" s="33">
        <v>0</v>
      </c>
      <c r="P138" s="33">
        <v>1</v>
      </c>
      <c r="Q138" s="36" t="s">
        <v>359</v>
      </c>
      <c r="R138" s="36" t="s">
        <v>2646</v>
      </c>
      <c r="S138" s="37" t="s">
        <v>2052</v>
      </c>
      <c r="T138" s="25" t="s">
        <v>19</v>
      </c>
      <c r="U138" s="33">
        <v>2015</v>
      </c>
      <c r="V138" s="33" t="s">
        <v>74</v>
      </c>
      <c r="W138" s="33" t="s">
        <v>1229</v>
      </c>
      <c r="X138" s="33" t="s">
        <v>1230</v>
      </c>
      <c r="Y138" s="33" t="s">
        <v>330</v>
      </c>
      <c r="Z138" s="33" t="s">
        <v>74</v>
      </c>
      <c r="AA138" s="37"/>
      <c r="AB138" s="33"/>
      <c r="AC138" s="25"/>
      <c r="AD138" s="51" t="s">
        <v>77</v>
      </c>
      <c r="AE138" s="25" t="s">
        <v>78</v>
      </c>
      <c r="AF138" s="33" t="s">
        <v>78</v>
      </c>
      <c r="AG138" s="25"/>
      <c r="AH138" s="80"/>
      <c r="AI138" s="37" t="s">
        <v>1231</v>
      </c>
      <c r="AJ138" s="33" t="s">
        <v>76</v>
      </c>
      <c r="AK138" s="25"/>
      <c r="AL138" s="113" t="s">
        <v>1232</v>
      </c>
      <c r="AM138" s="65" t="s">
        <v>77</v>
      </c>
      <c r="AN138" s="66" t="s">
        <v>1233</v>
      </c>
      <c r="AO138" s="67"/>
      <c r="AP138" s="66" t="s">
        <v>1234</v>
      </c>
      <c r="AQ138" s="69" t="s">
        <v>1235</v>
      </c>
      <c r="AR138" s="66" t="s">
        <v>85</v>
      </c>
      <c r="AS138" s="20"/>
      <c r="AT138" s="18" t="s">
        <v>1236</v>
      </c>
      <c r="AU138" s="45"/>
      <c r="AV138" s="18"/>
      <c r="AW138" s="17"/>
      <c r="AX138" s="17"/>
      <c r="AY138" s="34">
        <v>7220201</v>
      </c>
      <c r="AZ138" s="33">
        <v>171</v>
      </c>
      <c r="BB138" s="17"/>
      <c r="BC138" s="43" t="s">
        <v>2188</v>
      </c>
      <c r="BD138" s="17"/>
      <c r="BM138" s="46"/>
      <c r="BN138" s="46"/>
      <c r="BO138" s="47"/>
    </row>
    <row r="139" spans="2:67" ht="24.95" customHeight="1" x14ac:dyDescent="0.25">
      <c r="B139" s="36">
        <f>SUBTOTAL(103,$M$2:M139)</f>
        <v>138</v>
      </c>
      <c r="C139" s="37" t="s">
        <v>461</v>
      </c>
      <c r="D139" s="33" t="s">
        <v>79</v>
      </c>
      <c r="E139" s="33" t="s">
        <v>3</v>
      </c>
      <c r="F139" s="33" t="s">
        <v>34</v>
      </c>
      <c r="G139" s="33" t="s">
        <v>2675</v>
      </c>
      <c r="H139" s="33" t="s">
        <v>2677</v>
      </c>
      <c r="I139" s="33" t="s">
        <v>2515</v>
      </c>
      <c r="J139" s="33" t="s">
        <v>2467</v>
      </c>
      <c r="K139" s="25" t="s">
        <v>134</v>
      </c>
      <c r="L139" s="25" t="s">
        <v>1237</v>
      </c>
      <c r="M139" s="38" t="s">
        <v>2189</v>
      </c>
      <c r="N139" s="33" t="s">
        <v>70</v>
      </c>
      <c r="O139" s="33">
        <v>0</v>
      </c>
      <c r="P139" s="33">
        <v>1</v>
      </c>
      <c r="Q139" s="33" t="s">
        <v>71</v>
      </c>
      <c r="R139" s="36" t="s">
        <v>2646</v>
      </c>
      <c r="S139" s="37" t="s">
        <v>2052</v>
      </c>
      <c r="T139" s="25" t="s">
        <v>1238</v>
      </c>
      <c r="U139" s="33">
        <v>2010</v>
      </c>
      <c r="V139" s="33" t="s">
        <v>157</v>
      </c>
      <c r="W139" s="33" t="s">
        <v>998</v>
      </c>
      <c r="X139" s="33"/>
      <c r="Y139" s="33" t="s">
        <v>330</v>
      </c>
      <c r="Z139" s="33" t="s">
        <v>74</v>
      </c>
      <c r="AA139" s="33"/>
      <c r="AB139" s="33"/>
      <c r="AC139" s="25"/>
      <c r="AD139" s="51" t="s">
        <v>77</v>
      </c>
      <c r="AE139" s="25" t="s">
        <v>78</v>
      </c>
      <c r="AF139" s="25" t="s">
        <v>78</v>
      </c>
      <c r="AG139" s="25"/>
      <c r="AH139" s="25"/>
      <c r="AI139" s="33" t="s">
        <v>149</v>
      </c>
      <c r="AJ139" s="33" t="s">
        <v>76</v>
      </c>
      <c r="AK139" s="25"/>
      <c r="AL139" s="113" t="s">
        <v>1239</v>
      </c>
      <c r="AM139" s="65" t="s">
        <v>77</v>
      </c>
      <c r="AN139" s="66" t="s">
        <v>141</v>
      </c>
      <c r="AO139" s="67"/>
      <c r="AP139" s="66" t="s">
        <v>1240</v>
      </c>
      <c r="AQ139" s="69" t="s">
        <v>1241</v>
      </c>
      <c r="AR139" s="66" t="s">
        <v>85</v>
      </c>
      <c r="AS139" s="20"/>
      <c r="AT139" s="63" t="s">
        <v>325</v>
      </c>
      <c r="AU139" s="18"/>
      <c r="AV139" s="18"/>
      <c r="AX139" s="17"/>
      <c r="AY139" s="34">
        <v>7220201</v>
      </c>
      <c r="AZ139" s="33">
        <v>172</v>
      </c>
      <c r="BC139" s="43" t="s">
        <v>2189</v>
      </c>
    </row>
    <row r="140" spans="2:67" ht="24.95" customHeight="1" x14ac:dyDescent="0.25">
      <c r="B140" s="36">
        <f>SUBTOTAL(103,$M$2:M140)</f>
        <v>139</v>
      </c>
      <c r="C140" s="37" t="s">
        <v>473</v>
      </c>
      <c r="D140" s="33" t="s">
        <v>79</v>
      </c>
      <c r="E140" s="33" t="s">
        <v>3</v>
      </c>
      <c r="F140" s="33" t="s">
        <v>34</v>
      </c>
      <c r="G140" s="33" t="s">
        <v>2675</v>
      </c>
      <c r="H140" s="33" t="s">
        <v>2677</v>
      </c>
      <c r="I140" s="33" t="s">
        <v>2515</v>
      </c>
      <c r="J140" s="33" t="s">
        <v>2468</v>
      </c>
      <c r="K140" s="25" t="s">
        <v>103</v>
      </c>
      <c r="L140" s="25" t="s">
        <v>358</v>
      </c>
      <c r="M140" s="38" t="s">
        <v>2190</v>
      </c>
      <c r="N140" s="33" t="s">
        <v>91</v>
      </c>
      <c r="O140" s="36">
        <v>1</v>
      </c>
      <c r="P140" s="36">
        <v>1</v>
      </c>
      <c r="Q140" s="33" t="s">
        <v>71</v>
      </c>
      <c r="R140" s="36" t="s">
        <v>2646</v>
      </c>
      <c r="S140" s="37" t="s">
        <v>2052</v>
      </c>
      <c r="T140" s="25" t="s">
        <v>7</v>
      </c>
      <c r="U140" s="33">
        <v>2007</v>
      </c>
      <c r="V140" s="33" t="s">
        <v>74</v>
      </c>
      <c r="W140" s="33" t="s">
        <v>1242</v>
      </c>
      <c r="X140" s="33"/>
      <c r="Y140" s="33"/>
      <c r="Z140" s="33"/>
      <c r="AA140" s="37"/>
      <c r="AB140" s="33"/>
      <c r="AC140" s="25"/>
      <c r="AD140" s="51" t="s">
        <v>77</v>
      </c>
      <c r="AE140" s="25" t="s">
        <v>78</v>
      </c>
      <c r="AF140" s="25"/>
      <c r="AG140" s="25"/>
      <c r="AH140" s="80"/>
      <c r="AI140" s="33" t="s">
        <v>149</v>
      </c>
      <c r="AJ140" s="33" t="s">
        <v>76</v>
      </c>
      <c r="AK140" s="25"/>
      <c r="AL140" s="113" t="s">
        <v>1243</v>
      </c>
      <c r="AM140" s="65" t="s">
        <v>77</v>
      </c>
      <c r="AN140" s="66" t="s">
        <v>110</v>
      </c>
      <c r="AO140" s="67"/>
      <c r="AP140" s="66" t="s">
        <v>1244</v>
      </c>
      <c r="AQ140" s="69" t="s">
        <v>1245</v>
      </c>
      <c r="AR140" s="66" t="s">
        <v>1213</v>
      </c>
      <c r="AS140" s="20" t="s">
        <v>1246</v>
      </c>
      <c r="AT140" s="58" t="s">
        <v>288</v>
      </c>
      <c r="AU140" s="45"/>
      <c r="AV140" s="18"/>
      <c r="AW140" s="17"/>
      <c r="AX140" s="17"/>
      <c r="AY140" s="34">
        <v>7220201</v>
      </c>
      <c r="AZ140" s="33">
        <v>173</v>
      </c>
      <c r="BB140" s="17"/>
      <c r="BC140" s="43" t="s">
        <v>2190</v>
      </c>
      <c r="BD140" s="17"/>
      <c r="BM140" s="46"/>
      <c r="BN140" s="46"/>
      <c r="BO140" s="47"/>
    </row>
    <row r="141" spans="2:67" ht="24.95" customHeight="1" x14ac:dyDescent="0.25">
      <c r="B141" s="36">
        <f>SUBTOTAL(103,$M$2:M141)</f>
        <v>140</v>
      </c>
      <c r="C141" s="37" t="s">
        <v>481</v>
      </c>
      <c r="D141" s="33" t="s">
        <v>79</v>
      </c>
      <c r="E141" s="33" t="s">
        <v>3</v>
      </c>
      <c r="F141" s="33" t="s">
        <v>34</v>
      </c>
      <c r="G141" s="33" t="s">
        <v>2675</v>
      </c>
      <c r="H141" s="33" t="s">
        <v>2677</v>
      </c>
      <c r="I141" s="33" t="s">
        <v>2515</v>
      </c>
      <c r="J141" s="33" t="s">
        <v>2469</v>
      </c>
      <c r="K141" s="25" t="s">
        <v>1247</v>
      </c>
      <c r="L141" s="25" t="s">
        <v>358</v>
      </c>
      <c r="M141" s="38" t="s">
        <v>2191</v>
      </c>
      <c r="N141" s="33" t="s">
        <v>91</v>
      </c>
      <c r="O141" s="36">
        <v>1</v>
      </c>
      <c r="P141" s="36">
        <v>1</v>
      </c>
      <c r="Q141" s="33" t="s">
        <v>71</v>
      </c>
      <c r="R141" s="36" t="s">
        <v>2646</v>
      </c>
      <c r="S141" s="37" t="s">
        <v>2052</v>
      </c>
      <c r="T141" s="25" t="s">
        <v>22</v>
      </c>
      <c r="U141" s="33">
        <v>2004</v>
      </c>
      <c r="V141" s="33" t="s">
        <v>169</v>
      </c>
      <c r="W141" s="33" t="s">
        <v>1248</v>
      </c>
      <c r="X141" s="33"/>
      <c r="Y141" s="33" t="s">
        <v>436</v>
      </c>
      <c r="Z141" s="33" t="s">
        <v>74</v>
      </c>
      <c r="AA141" s="37"/>
      <c r="AB141" s="33"/>
      <c r="AC141" s="25"/>
      <c r="AD141" s="51" t="s">
        <v>1050</v>
      </c>
      <c r="AE141" s="25" t="s">
        <v>78</v>
      </c>
      <c r="AF141" s="25" t="s">
        <v>78</v>
      </c>
      <c r="AG141" s="25"/>
      <c r="AH141" s="25"/>
      <c r="AI141" s="33" t="s">
        <v>127</v>
      </c>
      <c r="AJ141" s="33" t="s">
        <v>1249</v>
      </c>
      <c r="AK141" s="25"/>
      <c r="AL141" s="113" t="s">
        <v>1250</v>
      </c>
      <c r="AM141" s="65" t="s">
        <v>1050</v>
      </c>
      <c r="AN141" s="66" t="s">
        <v>1053</v>
      </c>
      <c r="AO141" s="67"/>
      <c r="AP141" s="66" t="s">
        <v>1251</v>
      </c>
      <c r="AQ141" s="69" t="s">
        <v>1252</v>
      </c>
      <c r="AR141" s="66" t="s">
        <v>85</v>
      </c>
      <c r="AS141" s="20"/>
      <c r="AT141" s="63" t="s">
        <v>325</v>
      </c>
      <c r="AU141" s="18"/>
      <c r="AV141" s="18"/>
      <c r="AX141" s="17"/>
      <c r="AY141" s="34">
        <v>7220201</v>
      </c>
      <c r="AZ141" s="33">
        <v>174</v>
      </c>
      <c r="BC141" s="43" t="s">
        <v>2191</v>
      </c>
    </row>
    <row r="142" spans="2:67" ht="24.95" customHeight="1" x14ac:dyDescent="0.25">
      <c r="B142" s="36">
        <f>SUBTOTAL(103,$M$2:M142)</f>
        <v>141</v>
      </c>
      <c r="C142" s="37" t="s">
        <v>490</v>
      </c>
      <c r="D142" s="33" t="s">
        <v>79</v>
      </c>
      <c r="E142" s="33" t="s">
        <v>3</v>
      </c>
      <c r="F142" s="37" t="s">
        <v>34</v>
      </c>
      <c r="G142" s="33" t="s">
        <v>2675</v>
      </c>
      <c r="H142" s="33" t="s">
        <v>2677</v>
      </c>
      <c r="I142" s="33" t="s">
        <v>2515</v>
      </c>
      <c r="J142" s="33" t="s">
        <v>2470</v>
      </c>
      <c r="K142" s="48" t="s">
        <v>1253</v>
      </c>
      <c r="L142" s="49" t="s">
        <v>69</v>
      </c>
      <c r="M142" s="50" t="s">
        <v>2192</v>
      </c>
      <c r="N142" s="37" t="s">
        <v>70</v>
      </c>
      <c r="O142" s="33">
        <v>0</v>
      </c>
      <c r="P142" s="33">
        <v>1</v>
      </c>
      <c r="Q142" s="37" t="s">
        <v>71</v>
      </c>
      <c r="R142" s="36" t="s">
        <v>2646</v>
      </c>
      <c r="S142" s="37" t="s">
        <v>2052</v>
      </c>
      <c r="T142" s="48" t="s">
        <v>1254</v>
      </c>
      <c r="U142" s="37" t="s">
        <v>73</v>
      </c>
      <c r="V142" s="37" t="s">
        <v>169</v>
      </c>
      <c r="W142" s="37" t="s">
        <v>1255</v>
      </c>
      <c r="X142" s="37"/>
      <c r="Y142" s="37" t="s">
        <v>466</v>
      </c>
      <c r="Z142" s="37" t="s">
        <v>74</v>
      </c>
      <c r="AA142" s="37"/>
      <c r="AB142" s="37"/>
      <c r="AC142" s="25"/>
      <c r="AD142" s="51" t="s">
        <v>77</v>
      </c>
      <c r="AE142" s="25" t="s">
        <v>78</v>
      </c>
      <c r="AF142" s="37" t="s">
        <v>78</v>
      </c>
      <c r="AG142" s="37"/>
      <c r="AH142" s="37"/>
      <c r="AI142" s="37" t="s">
        <v>1256</v>
      </c>
      <c r="AJ142" s="37" t="s">
        <v>76</v>
      </c>
      <c r="AK142" s="37"/>
      <c r="AL142" s="151" t="s">
        <v>1257</v>
      </c>
      <c r="AM142" s="65" t="s">
        <v>77</v>
      </c>
      <c r="AN142" s="66" t="s">
        <v>150</v>
      </c>
      <c r="AO142" s="67"/>
      <c r="AP142" s="66" t="s">
        <v>1258</v>
      </c>
      <c r="AQ142" s="69" t="s">
        <v>1259</v>
      </c>
      <c r="AR142" s="66" t="s">
        <v>85</v>
      </c>
      <c r="AS142" s="20"/>
      <c r="AT142" s="58" t="s">
        <v>288</v>
      </c>
      <c r="AU142" s="45"/>
      <c r="AV142" s="18"/>
      <c r="AW142" s="17"/>
      <c r="AX142" s="17"/>
      <c r="AY142" s="34">
        <v>7220201</v>
      </c>
      <c r="AZ142" s="33">
        <v>175</v>
      </c>
      <c r="BB142" s="17"/>
      <c r="BC142" s="50" t="s">
        <v>2192</v>
      </c>
      <c r="BD142" s="17"/>
      <c r="BM142" s="46"/>
      <c r="BN142" s="46"/>
      <c r="BO142" s="47"/>
    </row>
    <row r="143" spans="2:67" ht="24.95" customHeight="1" x14ac:dyDescent="0.25">
      <c r="B143" s="36">
        <f>SUBTOTAL(103,$M$2:M143)</f>
        <v>142</v>
      </c>
      <c r="C143" s="37" t="s">
        <v>499</v>
      </c>
      <c r="D143" s="33" t="s">
        <v>79</v>
      </c>
      <c r="E143" s="33" t="s">
        <v>3</v>
      </c>
      <c r="F143" s="33" t="s">
        <v>34</v>
      </c>
      <c r="G143" s="33" t="s">
        <v>2675</v>
      </c>
      <c r="H143" s="33" t="s">
        <v>2677</v>
      </c>
      <c r="I143" s="33" t="s">
        <v>2515</v>
      </c>
      <c r="J143" s="33" t="s">
        <v>2471</v>
      </c>
      <c r="K143" s="25" t="s">
        <v>234</v>
      </c>
      <c r="L143" s="25" t="s">
        <v>742</v>
      </c>
      <c r="M143" s="38" t="s">
        <v>2193</v>
      </c>
      <c r="N143" s="33" t="s">
        <v>91</v>
      </c>
      <c r="O143" s="36">
        <v>1</v>
      </c>
      <c r="P143" s="36">
        <v>1</v>
      </c>
      <c r="Q143" s="36" t="s">
        <v>71</v>
      </c>
      <c r="R143" s="36" t="s">
        <v>2646</v>
      </c>
      <c r="S143" s="37" t="s">
        <v>2052</v>
      </c>
      <c r="T143" s="25" t="s">
        <v>19</v>
      </c>
      <c r="U143" s="33">
        <v>2015</v>
      </c>
      <c r="V143" s="33" t="s">
        <v>257</v>
      </c>
      <c r="W143" s="33" t="s">
        <v>1260</v>
      </c>
      <c r="X143" s="33"/>
      <c r="Y143" s="33" t="s">
        <v>570</v>
      </c>
      <c r="Z143" s="37" t="s">
        <v>169</v>
      </c>
      <c r="AA143" s="37"/>
      <c r="AB143" s="33"/>
      <c r="AC143" s="25"/>
      <c r="AD143" s="51" t="s">
        <v>77</v>
      </c>
      <c r="AE143" s="25" t="s">
        <v>78</v>
      </c>
      <c r="AF143" s="33" t="s">
        <v>78</v>
      </c>
      <c r="AG143" s="33"/>
      <c r="AH143" s="80"/>
      <c r="AI143" s="37" t="s">
        <v>149</v>
      </c>
      <c r="AJ143" s="33" t="s">
        <v>76</v>
      </c>
      <c r="AK143" s="25"/>
      <c r="AL143" s="113" t="s">
        <v>1261</v>
      </c>
      <c r="AM143" s="19" t="s">
        <v>77</v>
      </c>
      <c r="AN143" s="120" t="s">
        <v>150</v>
      </c>
      <c r="AO143" s="120"/>
      <c r="AP143" s="120" t="s">
        <v>1163</v>
      </c>
      <c r="AQ143" s="69" t="s">
        <v>1262</v>
      </c>
      <c r="AR143" s="66" t="s">
        <v>85</v>
      </c>
      <c r="AS143" s="20"/>
      <c r="AT143" s="18" t="s">
        <v>715</v>
      </c>
      <c r="AU143" s="45"/>
      <c r="AV143" s="18"/>
      <c r="AW143" s="17"/>
      <c r="AX143" s="17"/>
      <c r="AY143" s="34">
        <v>7220201</v>
      </c>
      <c r="AZ143" s="33">
        <v>176</v>
      </c>
      <c r="BB143" s="17"/>
      <c r="BC143" s="43" t="s">
        <v>2193</v>
      </c>
      <c r="BD143" s="17"/>
      <c r="BM143" s="46"/>
      <c r="BN143" s="46"/>
      <c r="BO143" s="47"/>
    </row>
    <row r="144" spans="2:67" ht="24.95" customHeight="1" x14ac:dyDescent="0.25">
      <c r="B144" s="36">
        <f>SUBTOTAL(103,$M$2:M144)</f>
        <v>143</v>
      </c>
      <c r="C144" s="37" t="s">
        <v>506</v>
      </c>
      <c r="D144" s="33" t="s">
        <v>79</v>
      </c>
      <c r="E144" s="33" t="s">
        <v>3</v>
      </c>
      <c r="F144" s="33" t="s">
        <v>34</v>
      </c>
      <c r="G144" s="33" t="s">
        <v>2675</v>
      </c>
      <c r="H144" s="33" t="s">
        <v>2677</v>
      </c>
      <c r="I144" s="33" t="s">
        <v>2515</v>
      </c>
      <c r="J144" s="33" t="s">
        <v>2472</v>
      </c>
      <c r="K144" s="25" t="s">
        <v>89</v>
      </c>
      <c r="L144" s="25" t="s">
        <v>1263</v>
      </c>
      <c r="M144" s="38" t="s">
        <v>2194</v>
      </c>
      <c r="N144" s="33" t="s">
        <v>91</v>
      </c>
      <c r="O144" s="36">
        <v>1</v>
      </c>
      <c r="P144" s="36">
        <v>1</v>
      </c>
      <c r="Q144" s="33" t="s">
        <v>71</v>
      </c>
      <c r="R144" s="36" t="s">
        <v>2646</v>
      </c>
      <c r="S144" s="37" t="s">
        <v>2052</v>
      </c>
      <c r="T144" s="25" t="s">
        <v>19</v>
      </c>
      <c r="U144" s="33">
        <v>2015</v>
      </c>
      <c r="V144" s="33" t="s">
        <v>257</v>
      </c>
      <c r="W144" s="33" t="s">
        <v>258</v>
      </c>
      <c r="X144" s="33"/>
      <c r="Y144" s="33"/>
      <c r="Z144" s="33"/>
      <c r="AA144" s="75"/>
      <c r="AB144" s="33"/>
      <c r="AC144" s="25"/>
      <c r="AD144" s="51" t="s">
        <v>77</v>
      </c>
      <c r="AE144" s="25"/>
      <c r="AF144" s="25"/>
      <c r="AG144" s="25"/>
      <c r="AH144" s="25"/>
      <c r="AI144" s="33" t="s">
        <v>149</v>
      </c>
      <c r="AJ144" s="33" t="s">
        <v>76</v>
      </c>
      <c r="AK144" s="25"/>
      <c r="AL144" s="113" t="s">
        <v>1264</v>
      </c>
      <c r="AM144" s="65" t="s">
        <v>77</v>
      </c>
      <c r="AN144" s="66" t="s">
        <v>150</v>
      </c>
      <c r="AO144" s="67"/>
      <c r="AP144" s="66" t="s">
        <v>1265</v>
      </c>
      <c r="AQ144" s="123" t="s">
        <v>1266</v>
      </c>
      <c r="AR144" s="66" t="s">
        <v>85</v>
      </c>
      <c r="AS144" s="20" t="s">
        <v>1267</v>
      </c>
      <c r="AT144" s="63" t="s">
        <v>325</v>
      </c>
      <c r="AU144" s="18" t="s">
        <v>2044</v>
      </c>
      <c r="AV144" s="18"/>
      <c r="AX144" s="17"/>
      <c r="AY144" s="34">
        <v>7220201</v>
      </c>
      <c r="AZ144" s="33">
        <v>177</v>
      </c>
      <c r="BC144" s="43" t="s">
        <v>2194</v>
      </c>
    </row>
    <row r="145" spans="2:67" ht="24.95" customHeight="1" x14ac:dyDescent="0.25">
      <c r="B145" s="36">
        <f>SUBTOTAL(103,$M$2:M145)</f>
        <v>144</v>
      </c>
      <c r="C145" s="37" t="s">
        <v>512</v>
      </c>
      <c r="D145" s="33" t="s">
        <v>79</v>
      </c>
      <c r="E145" s="36" t="s">
        <v>3</v>
      </c>
      <c r="F145" s="33" t="s">
        <v>34</v>
      </c>
      <c r="G145" s="33" t="s">
        <v>2675</v>
      </c>
      <c r="H145" s="33" t="s">
        <v>2677</v>
      </c>
      <c r="I145" s="33" t="s">
        <v>2515</v>
      </c>
      <c r="J145" s="33" t="s">
        <v>2473</v>
      </c>
      <c r="K145" s="25" t="s">
        <v>1268</v>
      </c>
      <c r="L145" s="25" t="s">
        <v>1269</v>
      </c>
      <c r="M145" s="38" t="s">
        <v>2195</v>
      </c>
      <c r="N145" s="36" t="s">
        <v>91</v>
      </c>
      <c r="O145" s="36">
        <v>1</v>
      </c>
      <c r="P145" s="36">
        <v>1</v>
      </c>
      <c r="Q145" s="36" t="s">
        <v>71</v>
      </c>
      <c r="R145" s="36" t="s">
        <v>2646</v>
      </c>
      <c r="S145" s="37" t="s">
        <v>2052</v>
      </c>
      <c r="T145" s="25" t="s">
        <v>1270</v>
      </c>
      <c r="U145" s="33">
        <v>2015</v>
      </c>
      <c r="V145" s="36" t="s">
        <v>257</v>
      </c>
      <c r="W145" s="33" t="s">
        <v>599</v>
      </c>
      <c r="X145" s="33"/>
      <c r="Y145" s="33" t="s">
        <v>160</v>
      </c>
      <c r="Z145" s="37" t="s">
        <v>74</v>
      </c>
      <c r="AA145" s="37"/>
      <c r="AB145" s="33"/>
      <c r="AC145" s="25"/>
      <c r="AD145" s="51" t="s">
        <v>77</v>
      </c>
      <c r="AE145" s="33" t="s">
        <v>78</v>
      </c>
      <c r="AF145" s="33" t="s">
        <v>78</v>
      </c>
      <c r="AG145" s="25"/>
      <c r="AH145" s="80"/>
      <c r="AI145" s="33" t="s">
        <v>1271</v>
      </c>
      <c r="AJ145" s="33" t="s">
        <v>76</v>
      </c>
      <c r="AK145" s="25"/>
      <c r="AL145" s="113" t="s">
        <v>1272</v>
      </c>
      <c r="AM145" s="65" t="s">
        <v>77</v>
      </c>
      <c r="AN145" s="120" t="s">
        <v>401</v>
      </c>
      <c r="AO145" s="120"/>
      <c r="AP145" s="120" t="s">
        <v>458</v>
      </c>
      <c r="AQ145" s="69" t="s">
        <v>1273</v>
      </c>
      <c r="AR145" s="66" t="s">
        <v>85</v>
      </c>
      <c r="AS145" s="20"/>
      <c r="AT145" s="18" t="s">
        <v>1274</v>
      </c>
      <c r="AU145" s="45"/>
      <c r="AV145" s="18"/>
      <c r="AW145" s="17"/>
      <c r="AX145" s="17"/>
      <c r="AY145" s="34">
        <v>7220201</v>
      </c>
      <c r="AZ145" s="33">
        <v>178</v>
      </c>
      <c r="BB145" s="17"/>
      <c r="BC145" s="43" t="s">
        <v>2195</v>
      </c>
      <c r="BD145" s="17"/>
      <c r="BM145" s="46"/>
      <c r="BN145" s="46"/>
      <c r="BO145" s="47"/>
    </row>
    <row r="146" spans="2:67" ht="24.95" customHeight="1" x14ac:dyDescent="0.25">
      <c r="B146" s="36">
        <f>SUBTOTAL(103,$M$2:M146)</f>
        <v>145</v>
      </c>
      <c r="C146" s="37" t="s">
        <v>517</v>
      </c>
      <c r="D146" s="33" t="s">
        <v>79</v>
      </c>
      <c r="E146" s="33" t="s">
        <v>3</v>
      </c>
      <c r="F146" s="33" t="s">
        <v>34</v>
      </c>
      <c r="G146" s="33" t="s">
        <v>2675</v>
      </c>
      <c r="H146" s="33" t="s">
        <v>2677</v>
      </c>
      <c r="I146" s="33" t="s">
        <v>2515</v>
      </c>
      <c r="J146" s="33" t="s">
        <v>2474</v>
      </c>
      <c r="K146" s="25" t="s">
        <v>1275</v>
      </c>
      <c r="L146" s="25" t="s">
        <v>1276</v>
      </c>
      <c r="M146" s="38" t="s">
        <v>2196</v>
      </c>
      <c r="N146" s="33" t="s">
        <v>70</v>
      </c>
      <c r="O146" s="33">
        <v>0</v>
      </c>
      <c r="P146" s="33"/>
      <c r="Q146" s="33" t="s">
        <v>71</v>
      </c>
      <c r="R146" s="36" t="s">
        <v>2646</v>
      </c>
      <c r="S146" s="37" t="s">
        <v>2052</v>
      </c>
      <c r="T146" s="25" t="s">
        <v>1277</v>
      </c>
      <c r="U146" s="33">
        <v>2006</v>
      </c>
      <c r="V146" s="36" t="s">
        <v>257</v>
      </c>
      <c r="W146" s="33" t="s">
        <v>1278</v>
      </c>
      <c r="X146" s="33"/>
      <c r="Y146" s="33"/>
      <c r="Z146" s="37"/>
      <c r="AA146" s="37"/>
      <c r="AB146" s="33"/>
      <c r="AC146" s="25"/>
      <c r="AD146" s="51" t="s">
        <v>77</v>
      </c>
      <c r="AE146" s="25" t="s">
        <v>78</v>
      </c>
      <c r="AF146" s="25"/>
      <c r="AG146" s="25"/>
      <c r="AH146" s="80"/>
      <c r="AI146" s="33" t="s">
        <v>1148</v>
      </c>
      <c r="AJ146" s="33" t="s">
        <v>76</v>
      </c>
      <c r="AK146" s="25"/>
      <c r="AL146" s="113" t="s">
        <v>1279</v>
      </c>
      <c r="AM146" s="65" t="s">
        <v>77</v>
      </c>
      <c r="AN146" s="66" t="s">
        <v>150</v>
      </c>
      <c r="AO146" s="67"/>
      <c r="AP146" s="66" t="s">
        <v>1163</v>
      </c>
      <c r="AQ146" s="69" t="s">
        <v>1280</v>
      </c>
      <c r="AR146" s="66" t="s">
        <v>85</v>
      </c>
      <c r="AS146" s="20" t="s">
        <v>55</v>
      </c>
      <c r="AT146" s="18" t="s">
        <v>145</v>
      </c>
      <c r="AU146" s="45"/>
      <c r="AV146" s="18"/>
      <c r="AW146" s="17"/>
      <c r="AX146" s="17"/>
      <c r="AY146" s="34">
        <v>7220201</v>
      </c>
      <c r="AZ146" s="33">
        <v>179</v>
      </c>
      <c r="BB146" s="17"/>
      <c r="BC146" s="43" t="s">
        <v>2196</v>
      </c>
      <c r="BD146" s="17"/>
      <c r="BM146" s="46"/>
      <c r="BN146" s="46"/>
      <c r="BO146" s="47"/>
    </row>
    <row r="147" spans="2:67" ht="24.95" customHeight="1" x14ac:dyDescent="0.25">
      <c r="B147" s="36">
        <f>SUBTOTAL(103,$M$2:M147)</f>
        <v>146</v>
      </c>
      <c r="C147" s="37" t="s">
        <v>523</v>
      </c>
      <c r="D147" s="33" t="s">
        <v>79</v>
      </c>
      <c r="E147" s="36" t="s">
        <v>3</v>
      </c>
      <c r="F147" s="36" t="s">
        <v>34</v>
      </c>
      <c r="G147" s="33" t="s">
        <v>2675</v>
      </c>
      <c r="H147" s="33" t="s">
        <v>2677</v>
      </c>
      <c r="I147" s="33" t="s">
        <v>2515</v>
      </c>
      <c r="J147" s="33" t="s">
        <v>2475</v>
      </c>
      <c r="K147" s="25" t="s">
        <v>155</v>
      </c>
      <c r="L147" s="25" t="s">
        <v>391</v>
      </c>
      <c r="M147" s="54" t="s">
        <v>2197</v>
      </c>
      <c r="N147" s="33" t="s">
        <v>91</v>
      </c>
      <c r="O147" s="36">
        <v>1</v>
      </c>
      <c r="P147" s="36"/>
      <c r="Q147" s="37" t="s">
        <v>71</v>
      </c>
      <c r="R147" s="36" t="s">
        <v>2646</v>
      </c>
      <c r="S147" s="37" t="s">
        <v>2052</v>
      </c>
      <c r="T147" s="55" t="s">
        <v>16</v>
      </c>
      <c r="U147" s="33">
        <v>2022</v>
      </c>
      <c r="V147" s="33" t="s">
        <v>1167</v>
      </c>
      <c r="W147" s="36" t="s">
        <v>1281</v>
      </c>
      <c r="X147" s="36" t="s">
        <v>1282</v>
      </c>
      <c r="Y147" s="33" t="s">
        <v>564</v>
      </c>
      <c r="Z147" s="37" t="s">
        <v>157</v>
      </c>
      <c r="AA147" s="37"/>
      <c r="AB147" s="33"/>
      <c r="AC147" s="25"/>
      <c r="AD147" s="51" t="s">
        <v>77</v>
      </c>
      <c r="AE147" s="33" t="s">
        <v>78</v>
      </c>
      <c r="AF147" s="33" t="s">
        <v>78</v>
      </c>
      <c r="AG147" s="25"/>
      <c r="AH147" s="80"/>
      <c r="AI147" s="37" t="s">
        <v>205</v>
      </c>
      <c r="AJ147" s="37" t="s">
        <v>76</v>
      </c>
      <c r="AK147" s="25"/>
      <c r="AL147" s="113" t="s">
        <v>1283</v>
      </c>
      <c r="AM147" s="65" t="s">
        <v>77</v>
      </c>
      <c r="AN147" s="120" t="s">
        <v>307</v>
      </c>
      <c r="AO147" s="120"/>
      <c r="AP147" s="65" t="s">
        <v>1284</v>
      </c>
      <c r="AQ147" s="69" t="s">
        <v>1285</v>
      </c>
      <c r="AR147" s="66" t="s">
        <v>85</v>
      </c>
      <c r="AS147" s="20"/>
      <c r="AT147" s="18" t="s">
        <v>101</v>
      </c>
      <c r="AU147" s="45"/>
      <c r="AV147" s="18"/>
      <c r="AW147" s="17"/>
      <c r="AX147" s="17"/>
      <c r="AY147" s="34">
        <v>7220201</v>
      </c>
      <c r="AZ147" s="33">
        <v>180</v>
      </c>
      <c r="BB147" s="17"/>
      <c r="BC147" s="57" t="s">
        <v>2197</v>
      </c>
      <c r="BD147" s="17"/>
      <c r="BM147" s="46"/>
      <c r="BN147" s="46"/>
      <c r="BO147" s="47"/>
    </row>
    <row r="148" spans="2:67" ht="24.95" customHeight="1" x14ac:dyDescent="0.25">
      <c r="B148" s="36">
        <f>SUBTOTAL(103,$M$2:M148)</f>
        <v>147</v>
      </c>
      <c r="C148" s="37" t="s">
        <v>532</v>
      </c>
      <c r="D148" s="33" t="s">
        <v>79</v>
      </c>
      <c r="E148" s="33" t="s">
        <v>3</v>
      </c>
      <c r="F148" s="33" t="s">
        <v>34</v>
      </c>
      <c r="G148" s="33" t="s">
        <v>2675</v>
      </c>
      <c r="H148" s="33" t="s">
        <v>2677</v>
      </c>
      <c r="I148" s="33" t="s">
        <v>2515</v>
      </c>
      <c r="J148" s="33" t="s">
        <v>2476</v>
      </c>
      <c r="K148" s="25" t="s">
        <v>103</v>
      </c>
      <c r="L148" s="25" t="s">
        <v>391</v>
      </c>
      <c r="M148" s="38" t="s">
        <v>2198</v>
      </c>
      <c r="N148" s="33" t="s">
        <v>91</v>
      </c>
      <c r="O148" s="36">
        <v>1</v>
      </c>
      <c r="P148" s="36">
        <v>1</v>
      </c>
      <c r="Q148" s="36" t="s">
        <v>71</v>
      </c>
      <c r="R148" s="36" t="s">
        <v>2646</v>
      </c>
      <c r="S148" s="37" t="s">
        <v>2052</v>
      </c>
      <c r="T148" s="25" t="s">
        <v>19</v>
      </c>
      <c r="U148" s="33">
        <v>2017</v>
      </c>
      <c r="V148" s="36" t="s">
        <v>257</v>
      </c>
      <c r="W148" s="33" t="s">
        <v>1286</v>
      </c>
      <c r="X148" s="33"/>
      <c r="Y148" s="33" t="s">
        <v>341</v>
      </c>
      <c r="Z148" s="33" t="s">
        <v>169</v>
      </c>
      <c r="AA148" s="37"/>
      <c r="AB148" s="33"/>
      <c r="AC148" s="25"/>
      <c r="AD148" s="51" t="s">
        <v>77</v>
      </c>
      <c r="AE148" s="25" t="s">
        <v>78</v>
      </c>
      <c r="AF148" s="33" t="s">
        <v>78</v>
      </c>
      <c r="AG148" s="33"/>
      <c r="AH148" s="80"/>
      <c r="AI148" s="33" t="s">
        <v>149</v>
      </c>
      <c r="AJ148" s="33" t="s">
        <v>76</v>
      </c>
      <c r="AK148" s="25"/>
      <c r="AL148" s="113" t="s">
        <v>1287</v>
      </c>
      <c r="AM148" s="65" t="s">
        <v>77</v>
      </c>
      <c r="AN148" s="120" t="s">
        <v>150</v>
      </c>
      <c r="AO148" s="120"/>
      <c r="AP148" s="120" t="s">
        <v>407</v>
      </c>
      <c r="AQ148" s="69" t="s">
        <v>1288</v>
      </c>
      <c r="AR148" s="66" t="s">
        <v>85</v>
      </c>
      <c r="AS148" s="20"/>
      <c r="AT148" s="18" t="s">
        <v>254</v>
      </c>
      <c r="AU148" s="45"/>
      <c r="AV148" s="18"/>
      <c r="AW148" s="17"/>
      <c r="AX148" s="17"/>
      <c r="AY148" s="34">
        <v>7220201</v>
      </c>
      <c r="AZ148" s="33">
        <v>181</v>
      </c>
      <c r="BB148" s="17"/>
      <c r="BC148" s="43" t="s">
        <v>2198</v>
      </c>
      <c r="BD148" s="17"/>
      <c r="BM148" s="46"/>
      <c r="BN148" s="46"/>
      <c r="BO148" s="47"/>
    </row>
    <row r="149" spans="2:67" ht="24.95" customHeight="1" x14ac:dyDescent="0.25">
      <c r="B149" s="36">
        <f>SUBTOTAL(103,$M$2:M149)</f>
        <v>148</v>
      </c>
      <c r="C149" s="37" t="s">
        <v>536</v>
      </c>
      <c r="D149" s="33" t="s">
        <v>79</v>
      </c>
      <c r="E149" s="33" t="s">
        <v>3</v>
      </c>
      <c r="F149" s="33" t="s">
        <v>34</v>
      </c>
      <c r="G149" s="33" t="s">
        <v>2675</v>
      </c>
      <c r="H149" s="33" t="s">
        <v>2677</v>
      </c>
      <c r="I149" s="33" t="s">
        <v>2515</v>
      </c>
      <c r="J149" s="33" t="s">
        <v>2477</v>
      </c>
      <c r="K149" s="25" t="s">
        <v>1145</v>
      </c>
      <c r="L149" s="25" t="s">
        <v>1289</v>
      </c>
      <c r="M149" s="38" t="s">
        <v>2199</v>
      </c>
      <c r="N149" s="33" t="s">
        <v>70</v>
      </c>
      <c r="O149" s="33">
        <v>0</v>
      </c>
      <c r="P149" s="33"/>
      <c r="Q149" s="33" t="s">
        <v>71</v>
      </c>
      <c r="R149" s="36" t="s">
        <v>2646</v>
      </c>
      <c r="S149" s="37" t="s">
        <v>2052</v>
      </c>
      <c r="T149" s="25" t="s">
        <v>1290</v>
      </c>
      <c r="U149" s="33">
        <v>2010</v>
      </c>
      <c r="V149" s="33" t="s">
        <v>257</v>
      </c>
      <c r="W149" s="33" t="s">
        <v>1291</v>
      </c>
      <c r="X149" s="33"/>
      <c r="Y149" s="33" t="s">
        <v>320</v>
      </c>
      <c r="Z149" s="33" t="s">
        <v>169</v>
      </c>
      <c r="AA149" s="33"/>
      <c r="AB149" s="33"/>
      <c r="AC149" s="25"/>
      <c r="AD149" s="51" t="s">
        <v>77</v>
      </c>
      <c r="AE149" s="25"/>
      <c r="AF149" s="25" t="s">
        <v>78</v>
      </c>
      <c r="AG149" s="25"/>
      <c r="AH149" s="25"/>
      <c r="AI149" s="33" t="s">
        <v>127</v>
      </c>
      <c r="AJ149" s="33" t="s">
        <v>1249</v>
      </c>
      <c r="AK149" s="25"/>
      <c r="AL149" s="113" t="s">
        <v>1292</v>
      </c>
      <c r="AM149" s="65" t="s">
        <v>77</v>
      </c>
      <c r="AN149" s="66" t="s">
        <v>250</v>
      </c>
      <c r="AO149" s="67"/>
      <c r="AP149" s="66" t="s">
        <v>1293</v>
      </c>
      <c r="AQ149" s="69" t="s">
        <v>1294</v>
      </c>
      <c r="AR149" s="66" t="s">
        <v>85</v>
      </c>
      <c r="AS149" s="20" t="s">
        <v>54</v>
      </c>
      <c r="AT149" s="63"/>
      <c r="AU149" s="18"/>
      <c r="AV149" s="18"/>
      <c r="AX149" s="17"/>
      <c r="AY149" s="34">
        <v>7220201</v>
      </c>
      <c r="AZ149" s="33">
        <v>182</v>
      </c>
      <c r="BC149" s="43" t="s">
        <v>2199</v>
      </c>
    </row>
    <row r="150" spans="2:67" ht="24.95" customHeight="1" x14ac:dyDescent="0.25">
      <c r="B150" s="36">
        <f>SUBTOTAL(103,$M$2:M150)</f>
        <v>149</v>
      </c>
      <c r="C150" s="37" t="s">
        <v>551</v>
      </c>
      <c r="D150" s="33" t="s">
        <v>79</v>
      </c>
      <c r="E150" s="33" t="s">
        <v>3</v>
      </c>
      <c r="F150" s="33" t="s">
        <v>34</v>
      </c>
      <c r="G150" s="33" t="s">
        <v>2675</v>
      </c>
      <c r="H150" s="33" t="s">
        <v>2677</v>
      </c>
      <c r="I150" s="33" t="s">
        <v>2515</v>
      </c>
      <c r="J150" s="33" t="s">
        <v>2478</v>
      </c>
      <c r="K150" s="25" t="s">
        <v>1301</v>
      </c>
      <c r="L150" s="25" t="s">
        <v>1302</v>
      </c>
      <c r="M150" s="38" t="s">
        <v>2201</v>
      </c>
      <c r="N150" s="33" t="s">
        <v>91</v>
      </c>
      <c r="O150" s="36">
        <v>1</v>
      </c>
      <c r="P150" s="36"/>
      <c r="Q150" s="33" t="s">
        <v>71</v>
      </c>
      <c r="R150" s="36" t="s">
        <v>2646</v>
      </c>
      <c r="S150" s="37" t="s">
        <v>2052</v>
      </c>
      <c r="T150" s="25" t="s">
        <v>4</v>
      </c>
      <c r="U150" s="33">
        <v>2009</v>
      </c>
      <c r="V150" s="33" t="s">
        <v>74</v>
      </c>
      <c r="W150" s="33" t="s">
        <v>693</v>
      </c>
      <c r="X150" s="33"/>
      <c r="Y150" s="33" t="s">
        <v>371</v>
      </c>
      <c r="Z150" s="33" t="s">
        <v>74</v>
      </c>
      <c r="AA150" s="33"/>
      <c r="AB150" s="33"/>
      <c r="AC150" s="25"/>
      <c r="AD150" s="51" t="s">
        <v>77</v>
      </c>
      <c r="AE150" s="25" t="s">
        <v>78</v>
      </c>
      <c r="AF150" s="25" t="s">
        <v>78</v>
      </c>
      <c r="AG150" s="25"/>
      <c r="AH150" s="25"/>
      <c r="AI150" s="33" t="s">
        <v>149</v>
      </c>
      <c r="AJ150" s="33" t="s">
        <v>76</v>
      </c>
      <c r="AK150" s="25"/>
      <c r="AL150" s="113" t="s">
        <v>1303</v>
      </c>
      <c r="AM150" s="65" t="s">
        <v>77</v>
      </c>
      <c r="AN150" s="66" t="s">
        <v>82</v>
      </c>
      <c r="AO150" s="67"/>
      <c r="AP150" s="66" t="s">
        <v>1304</v>
      </c>
      <c r="AQ150" s="69" t="s">
        <v>1305</v>
      </c>
      <c r="AR150" s="66" t="s">
        <v>85</v>
      </c>
      <c r="AS150" s="20"/>
      <c r="AT150" s="63"/>
      <c r="AU150" s="18"/>
      <c r="AV150" s="18"/>
      <c r="AX150" s="17"/>
      <c r="AY150" s="34">
        <v>7220201</v>
      </c>
      <c r="AZ150" s="33">
        <v>184</v>
      </c>
      <c r="BC150" s="43" t="s">
        <v>2201</v>
      </c>
    </row>
    <row r="151" spans="2:67" ht="24.95" customHeight="1" x14ac:dyDescent="0.25">
      <c r="B151" s="36">
        <f>SUBTOTAL(103,$M$2:M151)</f>
        <v>150</v>
      </c>
      <c r="C151" s="37" t="s">
        <v>556</v>
      </c>
      <c r="D151" s="33" t="s">
        <v>79</v>
      </c>
      <c r="E151" s="36" t="s">
        <v>3</v>
      </c>
      <c r="F151" s="33" t="s">
        <v>34</v>
      </c>
      <c r="G151" s="33" t="s">
        <v>2675</v>
      </c>
      <c r="H151" s="33" t="s">
        <v>2677</v>
      </c>
      <c r="I151" s="33" t="s">
        <v>2515</v>
      </c>
      <c r="J151" s="33" t="s">
        <v>2479</v>
      </c>
      <c r="K151" s="25" t="s">
        <v>1306</v>
      </c>
      <c r="L151" s="25" t="s">
        <v>224</v>
      </c>
      <c r="M151" s="38" t="s">
        <v>2202</v>
      </c>
      <c r="N151" s="36" t="s">
        <v>70</v>
      </c>
      <c r="O151" s="33">
        <v>0</v>
      </c>
      <c r="P151" s="33">
        <v>1</v>
      </c>
      <c r="Q151" s="36" t="s">
        <v>71</v>
      </c>
      <c r="R151" s="36" t="s">
        <v>2646</v>
      </c>
      <c r="S151" s="37" t="s">
        <v>2052</v>
      </c>
      <c r="T151" s="48" t="s">
        <v>1307</v>
      </c>
      <c r="U151" s="33">
        <v>2012</v>
      </c>
      <c r="V151" s="36" t="s">
        <v>74</v>
      </c>
      <c r="W151" s="33" t="s">
        <v>1308</v>
      </c>
      <c r="X151" s="33"/>
      <c r="Y151" s="33" t="s">
        <v>94</v>
      </c>
      <c r="Z151" s="37" t="s">
        <v>74</v>
      </c>
      <c r="AA151" s="37"/>
      <c r="AB151" s="33"/>
      <c r="AC151" s="25"/>
      <c r="AD151" s="51" t="s">
        <v>77</v>
      </c>
      <c r="AE151" s="33" t="s">
        <v>78</v>
      </c>
      <c r="AF151" s="33" t="s">
        <v>78</v>
      </c>
      <c r="AG151" s="25"/>
      <c r="AH151" s="80"/>
      <c r="AI151" s="37" t="s">
        <v>1309</v>
      </c>
      <c r="AJ151" s="33" t="s">
        <v>76</v>
      </c>
      <c r="AK151" s="25"/>
      <c r="AL151" s="113" t="s">
        <v>1310</v>
      </c>
      <c r="AM151" s="65" t="s">
        <v>77</v>
      </c>
      <c r="AN151" s="120" t="s">
        <v>401</v>
      </c>
      <c r="AO151" s="120"/>
      <c r="AP151" s="120" t="s">
        <v>1311</v>
      </c>
      <c r="AQ151" s="69" t="s">
        <v>1312</v>
      </c>
      <c r="AR151" s="66" t="s">
        <v>85</v>
      </c>
      <c r="AS151" s="20"/>
      <c r="AT151" s="18" t="s">
        <v>389</v>
      </c>
      <c r="AU151" s="45"/>
      <c r="AV151" s="18"/>
      <c r="AW151" s="17"/>
      <c r="AX151" s="17"/>
      <c r="AY151" s="34">
        <v>7220201</v>
      </c>
      <c r="AZ151" s="33">
        <v>185</v>
      </c>
      <c r="BB151" s="17"/>
      <c r="BC151" s="43" t="s">
        <v>2202</v>
      </c>
      <c r="BD151" s="17"/>
      <c r="BM151" s="46"/>
      <c r="BN151" s="46"/>
      <c r="BO151" s="47"/>
    </row>
    <row r="152" spans="2:67" ht="24.95" customHeight="1" x14ac:dyDescent="0.25">
      <c r="B152" s="36">
        <f>SUBTOTAL(103,$M$2:M152)</f>
        <v>151</v>
      </c>
      <c r="C152" s="37" t="s">
        <v>558</v>
      </c>
      <c r="D152" s="33" t="s">
        <v>79</v>
      </c>
      <c r="E152" s="33" t="s">
        <v>3</v>
      </c>
      <c r="F152" s="33" t="s">
        <v>34</v>
      </c>
      <c r="G152" s="33" t="s">
        <v>2675</v>
      </c>
      <c r="H152" s="33" t="s">
        <v>2677</v>
      </c>
      <c r="I152" s="33" t="s">
        <v>2515</v>
      </c>
      <c r="J152" s="33" t="s">
        <v>2480</v>
      </c>
      <c r="K152" s="25" t="s">
        <v>1313</v>
      </c>
      <c r="L152" s="25" t="s">
        <v>224</v>
      </c>
      <c r="M152" s="38" t="s">
        <v>2203</v>
      </c>
      <c r="N152" s="33" t="s">
        <v>91</v>
      </c>
      <c r="O152" s="36">
        <v>1</v>
      </c>
      <c r="P152" s="36"/>
      <c r="Q152" s="33" t="s">
        <v>71</v>
      </c>
      <c r="R152" s="36" t="s">
        <v>2646</v>
      </c>
      <c r="S152" s="37" t="s">
        <v>2052</v>
      </c>
      <c r="T152" s="25" t="s">
        <v>1314</v>
      </c>
      <c r="U152" s="33">
        <v>2022</v>
      </c>
      <c r="V152" s="36" t="s">
        <v>74</v>
      </c>
      <c r="W152" s="33" t="s">
        <v>1315</v>
      </c>
      <c r="X152" s="33" t="s">
        <v>1316</v>
      </c>
      <c r="Y152" s="33" t="s">
        <v>609</v>
      </c>
      <c r="Z152" s="37" t="s">
        <v>157</v>
      </c>
      <c r="AA152" s="37"/>
      <c r="AB152" s="33"/>
      <c r="AC152" s="25"/>
      <c r="AD152" s="51" t="s">
        <v>77</v>
      </c>
      <c r="AE152" s="25" t="s">
        <v>78</v>
      </c>
      <c r="AF152" s="33" t="s">
        <v>78</v>
      </c>
      <c r="AG152" s="25"/>
      <c r="AH152" s="80"/>
      <c r="AI152" s="37" t="s">
        <v>1317</v>
      </c>
      <c r="AJ152" s="33" t="s">
        <v>76</v>
      </c>
      <c r="AK152" s="25"/>
      <c r="AL152" s="113" t="s">
        <v>1318</v>
      </c>
      <c r="AM152" s="65" t="s">
        <v>77</v>
      </c>
      <c r="AN152" s="66" t="s">
        <v>150</v>
      </c>
      <c r="AO152" s="67"/>
      <c r="AP152" s="66" t="s">
        <v>1201</v>
      </c>
      <c r="AQ152" s="69" t="s">
        <v>1319</v>
      </c>
      <c r="AR152" s="66" t="s">
        <v>85</v>
      </c>
      <c r="AS152" s="20"/>
      <c r="AT152" s="18" t="s">
        <v>145</v>
      </c>
      <c r="AU152" s="45"/>
      <c r="AV152" s="18"/>
      <c r="AW152" s="17"/>
      <c r="AX152" s="17"/>
      <c r="AY152" s="34">
        <v>7220201</v>
      </c>
      <c r="AZ152" s="33">
        <v>186</v>
      </c>
      <c r="BB152" s="17"/>
      <c r="BC152" s="43" t="s">
        <v>2203</v>
      </c>
      <c r="BD152" s="17"/>
      <c r="BM152" s="46"/>
      <c r="BN152" s="46"/>
      <c r="BO152" s="47"/>
    </row>
    <row r="153" spans="2:67" ht="24.95" customHeight="1" x14ac:dyDescent="0.25">
      <c r="B153" s="36">
        <f>SUBTOTAL(103,$M$2:M153)</f>
        <v>152</v>
      </c>
      <c r="C153" s="37" t="s">
        <v>562</v>
      </c>
      <c r="D153" s="33" t="s">
        <v>79</v>
      </c>
      <c r="E153" s="36" t="s">
        <v>3</v>
      </c>
      <c r="F153" s="36" t="s">
        <v>34</v>
      </c>
      <c r="G153" s="33" t="s">
        <v>2675</v>
      </c>
      <c r="H153" s="33" t="s">
        <v>2677</v>
      </c>
      <c r="I153" s="33" t="s">
        <v>2515</v>
      </c>
      <c r="J153" s="33" t="s">
        <v>2481</v>
      </c>
      <c r="K153" s="25" t="s">
        <v>390</v>
      </c>
      <c r="L153" s="25" t="s">
        <v>418</v>
      </c>
      <c r="M153" s="54" t="s">
        <v>2204</v>
      </c>
      <c r="N153" s="36" t="s">
        <v>91</v>
      </c>
      <c r="O153" s="36">
        <v>1</v>
      </c>
      <c r="P153" s="36">
        <v>1</v>
      </c>
      <c r="Q153" s="36" t="s">
        <v>71</v>
      </c>
      <c r="R153" s="36" t="s">
        <v>2646</v>
      </c>
      <c r="S153" s="37" t="s">
        <v>2052</v>
      </c>
      <c r="T153" s="55" t="s">
        <v>30</v>
      </c>
      <c r="U153" s="36">
        <v>2018</v>
      </c>
      <c r="V153" s="36" t="s">
        <v>74</v>
      </c>
      <c r="W153" s="60"/>
      <c r="X153" s="60" t="s">
        <v>1320</v>
      </c>
      <c r="Y153" s="36" t="s">
        <v>203</v>
      </c>
      <c r="Z153" s="37" t="s">
        <v>74</v>
      </c>
      <c r="AA153" s="37"/>
      <c r="AB153" s="36"/>
      <c r="AC153" s="25"/>
      <c r="AD153" s="51" t="s">
        <v>77</v>
      </c>
      <c r="AE153" s="33" t="s">
        <v>78</v>
      </c>
      <c r="AF153" s="33" t="s">
        <v>78</v>
      </c>
      <c r="AG153" s="42"/>
      <c r="AH153" s="25"/>
      <c r="AI153" s="33" t="s">
        <v>1321</v>
      </c>
      <c r="AJ153" s="37" t="s">
        <v>76</v>
      </c>
      <c r="AK153" s="36"/>
      <c r="AL153" s="152" t="s">
        <v>1322</v>
      </c>
      <c r="AM153" s="19" t="s">
        <v>77</v>
      </c>
      <c r="AN153" s="88" t="s">
        <v>141</v>
      </c>
      <c r="AO153" s="88"/>
      <c r="AP153" s="88" t="s">
        <v>1323</v>
      </c>
      <c r="AQ153" s="107" t="s">
        <v>1324</v>
      </c>
      <c r="AR153" s="66" t="s">
        <v>85</v>
      </c>
      <c r="AS153" s="20"/>
      <c r="AT153" s="18" t="s">
        <v>1325</v>
      </c>
      <c r="AU153" s="45"/>
      <c r="AV153" s="18"/>
      <c r="AW153" s="17"/>
      <c r="AX153" s="17"/>
      <c r="AY153" s="34">
        <v>7220201</v>
      </c>
      <c r="AZ153" s="33">
        <v>187</v>
      </c>
      <c r="BB153" s="17"/>
      <c r="BC153" s="91" t="s">
        <v>2204</v>
      </c>
      <c r="BD153" s="17"/>
      <c r="BM153" s="46"/>
      <c r="BN153" s="46"/>
      <c r="BO153" s="47"/>
    </row>
    <row r="154" spans="2:67" ht="24.95" customHeight="1" x14ac:dyDescent="0.25">
      <c r="B154" s="36">
        <f>SUBTOTAL(103,$M$2:M154)</f>
        <v>153</v>
      </c>
      <c r="C154" s="37" t="s">
        <v>807</v>
      </c>
      <c r="D154" s="33" t="s">
        <v>79</v>
      </c>
      <c r="E154" s="33" t="s">
        <v>3</v>
      </c>
      <c r="F154" s="33" t="s">
        <v>34</v>
      </c>
      <c r="G154" s="33" t="s">
        <v>2675</v>
      </c>
      <c r="H154" s="33" t="s">
        <v>2677</v>
      </c>
      <c r="I154" s="33" t="s">
        <v>2515</v>
      </c>
      <c r="J154" s="33" t="s">
        <v>2482</v>
      </c>
      <c r="K154" s="25" t="s">
        <v>338</v>
      </c>
      <c r="L154" s="25" t="s">
        <v>418</v>
      </c>
      <c r="M154" s="38" t="s">
        <v>2205</v>
      </c>
      <c r="N154" s="33" t="s">
        <v>91</v>
      </c>
      <c r="O154" s="36">
        <v>1</v>
      </c>
      <c r="P154" s="36">
        <v>1</v>
      </c>
      <c r="Q154" s="33" t="s">
        <v>71</v>
      </c>
      <c r="R154" s="36" t="s">
        <v>2646</v>
      </c>
      <c r="S154" s="37" t="s">
        <v>2052</v>
      </c>
      <c r="T154" s="25" t="s">
        <v>5</v>
      </c>
      <c r="U154" s="33">
        <v>2017</v>
      </c>
      <c r="V154" s="36" t="s">
        <v>157</v>
      </c>
      <c r="W154" s="33" t="s">
        <v>1326</v>
      </c>
      <c r="X154" s="33"/>
      <c r="Y154" s="33" t="s">
        <v>183</v>
      </c>
      <c r="Z154" s="37" t="s">
        <v>74</v>
      </c>
      <c r="AA154" s="37"/>
      <c r="AB154" s="33"/>
      <c r="AC154" s="25"/>
      <c r="AD154" s="51" t="s">
        <v>77</v>
      </c>
      <c r="AE154" s="25" t="s">
        <v>78</v>
      </c>
      <c r="AF154" s="33" t="s">
        <v>78</v>
      </c>
      <c r="AG154" s="33"/>
      <c r="AH154" s="80"/>
      <c r="AI154" s="37" t="s">
        <v>127</v>
      </c>
      <c r="AJ154" s="33" t="s">
        <v>3</v>
      </c>
      <c r="AK154" s="25" t="s">
        <v>1327</v>
      </c>
      <c r="AL154" s="113" t="s">
        <v>1328</v>
      </c>
      <c r="AM154" s="66" t="s">
        <v>77</v>
      </c>
      <c r="AN154" s="66" t="s">
        <v>150</v>
      </c>
      <c r="AO154" s="68"/>
      <c r="AP154" s="66" t="s">
        <v>1329</v>
      </c>
      <c r="AQ154" s="69" t="s">
        <v>1330</v>
      </c>
      <c r="AR154" s="66" t="s">
        <v>85</v>
      </c>
      <c r="AS154" s="20"/>
      <c r="AT154" s="18" t="s">
        <v>198</v>
      </c>
      <c r="AU154" s="45"/>
      <c r="AV154" s="18"/>
      <c r="AW154" s="17"/>
      <c r="AX154" s="17"/>
      <c r="AY154" s="34">
        <v>7220201</v>
      </c>
      <c r="AZ154" s="33">
        <v>188</v>
      </c>
      <c r="BB154" s="17"/>
      <c r="BC154" s="43" t="s">
        <v>2205</v>
      </c>
      <c r="BD154" s="17"/>
      <c r="BM154" s="46"/>
      <c r="BN154" s="46"/>
      <c r="BO154" s="47"/>
    </row>
    <row r="155" spans="2:67" ht="24.95" customHeight="1" x14ac:dyDescent="0.25">
      <c r="B155" s="36">
        <f>SUBTOTAL(103,$M$2:M155)</f>
        <v>154</v>
      </c>
      <c r="C155" s="37" t="s">
        <v>817</v>
      </c>
      <c r="D155" s="33" t="s">
        <v>79</v>
      </c>
      <c r="E155" s="33" t="s">
        <v>3</v>
      </c>
      <c r="F155" s="33" t="s">
        <v>34</v>
      </c>
      <c r="G155" s="33" t="s">
        <v>2675</v>
      </c>
      <c r="H155" s="33" t="s">
        <v>2677</v>
      </c>
      <c r="I155" s="33" t="s">
        <v>2515</v>
      </c>
      <c r="J155" s="33" t="s">
        <v>2483</v>
      </c>
      <c r="K155" s="25" t="s">
        <v>1331</v>
      </c>
      <c r="L155" s="25" t="s">
        <v>924</v>
      </c>
      <c r="M155" s="38" t="s">
        <v>2206</v>
      </c>
      <c r="N155" s="33" t="s">
        <v>70</v>
      </c>
      <c r="O155" s="33">
        <v>0</v>
      </c>
      <c r="P155" s="33"/>
      <c r="Q155" s="33" t="s">
        <v>359</v>
      </c>
      <c r="R155" s="36" t="s">
        <v>2646</v>
      </c>
      <c r="S155" s="37" t="s">
        <v>2052</v>
      </c>
      <c r="T155" s="25" t="s">
        <v>12</v>
      </c>
      <c r="U155" s="33">
        <v>2025</v>
      </c>
      <c r="V155" s="33" t="s">
        <v>1332</v>
      </c>
      <c r="W155" s="33" t="s">
        <v>1333</v>
      </c>
      <c r="X155" s="33" t="s">
        <v>1334</v>
      </c>
      <c r="Y155" s="33" t="s">
        <v>1096</v>
      </c>
      <c r="Z155" s="33" t="s">
        <v>74</v>
      </c>
      <c r="AA155" s="75"/>
      <c r="AB155" s="33"/>
      <c r="AC155" s="25"/>
      <c r="AD155" s="51" t="s">
        <v>77</v>
      </c>
      <c r="AE155" s="25" t="s">
        <v>78</v>
      </c>
      <c r="AF155" s="25" t="s">
        <v>78</v>
      </c>
      <c r="AG155" s="25"/>
      <c r="AH155" s="25"/>
      <c r="AI155" s="33" t="s">
        <v>149</v>
      </c>
      <c r="AJ155" s="33" t="s">
        <v>76</v>
      </c>
      <c r="AK155" s="25"/>
      <c r="AL155" s="107" t="s">
        <v>1335</v>
      </c>
      <c r="AM155" s="19" t="s">
        <v>77</v>
      </c>
      <c r="AN155" s="17" t="s">
        <v>110</v>
      </c>
      <c r="AO155" s="18"/>
      <c r="AP155" s="17" t="s">
        <v>1244</v>
      </c>
      <c r="AQ155" s="107" t="s">
        <v>1336</v>
      </c>
      <c r="AR155" s="66" t="s">
        <v>85</v>
      </c>
      <c r="AS155" s="20"/>
      <c r="AT155" s="63" t="s">
        <v>325</v>
      </c>
      <c r="AU155" s="18"/>
      <c r="AV155" s="18"/>
      <c r="AX155" s="17"/>
      <c r="AY155" s="34">
        <v>7220201</v>
      </c>
      <c r="AZ155" s="33">
        <v>189</v>
      </c>
      <c r="BC155" s="43" t="s">
        <v>2206</v>
      </c>
    </row>
    <row r="156" spans="2:67" ht="24.95" customHeight="1" x14ac:dyDescent="0.25">
      <c r="B156" s="36">
        <f>SUBTOTAL(103,$M$2:M156)</f>
        <v>155</v>
      </c>
      <c r="C156" s="37" t="s">
        <v>826</v>
      </c>
      <c r="D156" s="33" t="s">
        <v>79</v>
      </c>
      <c r="E156" s="36" t="s">
        <v>3</v>
      </c>
      <c r="F156" s="36" t="s">
        <v>34</v>
      </c>
      <c r="G156" s="33" t="s">
        <v>2675</v>
      </c>
      <c r="H156" s="33" t="s">
        <v>2677</v>
      </c>
      <c r="I156" s="33" t="s">
        <v>2515</v>
      </c>
      <c r="J156" s="33" t="s">
        <v>2484</v>
      </c>
      <c r="K156" s="25" t="s">
        <v>390</v>
      </c>
      <c r="L156" s="25" t="s">
        <v>1337</v>
      </c>
      <c r="M156" s="54" t="s">
        <v>2207</v>
      </c>
      <c r="N156" s="36" t="s">
        <v>91</v>
      </c>
      <c r="O156" s="36">
        <v>1</v>
      </c>
      <c r="P156" s="36"/>
      <c r="Q156" s="36" t="s">
        <v>71</v>
      </c>
      <c r="R156" s="36" t="s">
        <v>2646</v>
      </c>
      <c r="S156" s="37" t="s">
        <v>2052</v>
      </c>
      <c r="T156" s="59" t="s">
        <v>5</v>
      </c>
      <c r="U156" s="36">
        <v>2003</v>
      </c>
      <c r="V156" s="36" t="s">
        <v>74</v>
      </c>
      <c r="W156" s="60" t="s">
        <v>1338</v>
      </c>
      <c r="X156" s="60"/>
      <c r="Y156" s="36"/>
      <c r="Z156" s="37"/>
      <c r="AA156" s="37"/>
      <c r="AB156" s="33"/>
      <c r="AC156" s="25"/>
      <c r="AD156" s="51" t="s">
        <v>77</v>
      </c>
      <c r="AE156" s="33" t="s">
        <v>78</v>
      </c>
      <c r="AF156" s="33"/>
      <c r="AG156" s="42"/>
      <c r="AH156" s="25"/>
      <c r="AI156" s="33" t="s">
        <v>437</v>
      </c>
      <c r="AJ156" s="37" t="s">
        <v>76</v>
      </c>
      <c r="AK156" s="36" t="s">
        <v>1339</v>
      </c>
      <c r="AL156" s="113" t="s">
        <v>1340</v>
      </c>
      <c r="AM156" s="65" t="s">
        <v>77</v>
      </c>
      <c r="AN156" s="66" t="s">
        <v>364</v>
      </c>
      <c r="AO156" s="67"/>
      <c r="AP156" s="66" t="s">
        <v>447</v>
      </c>
      <c r="AQ156" s="69" t="s">
        <v>1341</v>
      </c>
      <c r="AR156" s="66" t="s">
        <v>85</v>
      </c>
      <c r="AS156" s="20" t="s">
        <v>1342</v>
      </c>
      <c r="AT156" s="18" t="s">
        <v>1325</v>
      </c>
      <c r="AU156" s="45"/>
      <c r="AV156" s="18"/>
      <c r="AW156" s="17"/>
      <c r="AX156" s="17"/>
      <c r="AY156" s="34">
        <v>7220201</v>
      </c>
      <c r="AZ156" s="33">
        <v>190</v>
      </c>
      <c r="BB156" s="17"/>
      <c r="BC156" s="57" t="s">
        <v>2207</v>
      </c>
      <c r="BD156" s="17"/>
      <c r="BM156" s="46"/>
      <c r="BN156" s="46"/>
      <c r="BO156" s="47"/>
    </row>
    <row r="157" spans="2:67" ht="24.95" customHeight="1" x14ac:dyDescent="0.25">
      <c r="B157" s="36">
        <f>SUBTOTAL(103,$M$2:M157)</f>
        <v>156</v>
      </c>
      <c r="C157" s="37" t="s">
        <v>833</v>
      </c>
      <c r="D157" s="33" t="s">
        <v>79</v>
      </c>
      <c r="E157" s="36" t="s">
        <v>3</v>
      </c>
      <c r="F157" s="33" t="s">
        <v>34</v>
      </c>
      <c r="G157" s="33" t="s">
        <v>2675</v>
      </c>
      <c r="H157" s="33" t="s">
        <v>2677</v>
      </c>
      <c r="I157" s="33" t="s">
        <v>2515</v>
      </c>
      <c r="J157" s="33" t="s">
        <v>2485</v>
      </c>
      <c r="K157" s="25" t="s">
        <v>1343</v>
      </c>
      <c r="L157" s="25" t="s">
        <v>1337</v>
      </c>
      <c r="M157" s="38" t="s">
        <v>2208</v>
      </c>
      <c r="N157" s="36" t="s">
        <v>70</v>
      </c>
      <c r="O157" s="33">
        <v>0</v>
      </c>
      <c r="P157" s="33">
        <v>1</v>
      </c>
      <c r="Q157" s="36" t="s">
        <v>71</v>
      </c>
      <c r="R157" s="36" t="s">
        <v>2646</v>
      </c>
      <c r="S157" s="37" t="s">
        <v>2052</v>
      </c>
      <c r="T157" s="25" t="s">
        <v>1344</v>
      </c>
      <c r="U157" s="33">
        <v>2006</v>
      </c>
      <c r="V157" s="36" t="s">
        <v>257</v>
      </c>
      <c r="W157" s="33" t="s">
        <v>1345</v>
      </c>
      <c r="X157" s="33"/>
      <c r="Y157" s="33" t="s">
        <v>304</v>
      </c>
      <c r="Z157" s="33" t="s">
        <v>74</v>
      </c>
      <c r="AA157" s="33"/>
      <c r="AB157" s="33"/>
      <c r="AC157" s="25"/>
      <c r="AD157" s="51" t="s">
        <v>77</v>
      </c>
      <c r="AE157" s="33" t="s">
        <v>78</v>
      </c>
      <c r="AF157" s="33" t="s">
        <v>78</v>
      </c>
      <c r="AG157" s="25"/>
      <c r="AH157" s="80"/>
      <c r="AI157" s="33" t="s">
        <v>149</v>
      </c>
      <c r="AJ157" s="33" t="s">
        <v>76</v>
      </c>
      <c r="AK157" s="25"/>
      <c r="AL157" s="113" t="s">
        <v>1346</v>
      </c>
      <c r="AM157" s="65" t="s">
        <v>77</v>
      </c>
      <c r="AN157" s="120" t="s">
        <v>150</v>
      </c>
      <c r="AO157" s="120"/>
      <c r="AP157" s="66" t="s">
        <v>738</v>
      </c>
      <c r="AQ157" s="69" t="s">
        <v>1347</v>
      </c>
      <c r="AR157" s="66" t="s">
        <v>550</v>
      </c>
      <c r="AS157" s="20"/>
      <c r="AT157" s="18" t="s">
        <v>1121</v>
      </c>
      <c r="AU157" s="45"/>
      <c r="AV157" s="18"/>
      <c r="AW157" s="17"/>
      <c r="AX157" s="17"/>
      <c r="AY157" s="34">
        <v>7220201</v>
      </c>
      <c r="AZ157" s="33">
        <v>191</v>
      </c>
      <c r="BB157" s="17"/>
      <c r="BC157" s="43" t="s">
        <v>2208</v>
      </c>
      <c r="BD157" s="17"/>
      <c r="BM157" s="46"/>
      <c r="BN157" s="46"/>
      <c r="BO157" s="47"/>
    </row>
    <row r="158" spans="2:67" ht="24.95" customHeight="1" x14ac:dyDescent="0.25">
      <c r="B158" s="36">
        <f>SUBTOTAL(103,$M$2:M158)</f>
        <v>157</v>
      </c>
      <c r="C158" s="37" t="s">
        <v>840</v>
      </c>
      <c r="D158" s="33" t="s">
        <v>79</v>
      </c>
      <c r="E158" s="33" t="s">
        <v>3</v>
      </c>
      <c r="F158" s="33" t="s">
        <v>34</v>
      </c>
      <c r="G158" s="33" t="s">
        <v>2675</v>
      </c>
      <c r="H158" s="33" t="s">
        <v>2677</v>
      </c>
      <c r="I158" s="33" t="s">
        <v>2515</v>
      </c>
      <c r="J158" s="33" t="s">
        <v>2486</v>
      </c>
      <c r="K158" s="25" t="s">
        <v>1348</v>
      </c>
      <c r="L158" s="25" t="s">
        <v>1337</v>
      </c>
      <c r="M158" s="38" t="s">
        <v>2209</v>
      </c>
      <c r="N158" s="33" t="s">
        <v>91</v>
      </c>
      <c r="O158" s="36">
        <v>1</v>
      </c>
      <c r="P158" s="36">
        <v>1</v>
      </c>
      <c r="Q158" s="33" t="s">
        <v>71</v>
      </c>
      <c r="R158" s="36" t="s">
        <v>2646</v>
      </c>
      <c r="S158" s="37" t="s">
        <v>2052</v>
      </c>
      <c r="T158" s="25" t="s">
        <v>1349</v>
      </c>
      <c r="U158" s="33">
        <v>2022</v>
      </c>
      <c r="V158" s="33" t="s">
        <v>169</v>
      </c>
      <c r="W158" s="33"/>
      <c r="X158" s="33"/>
      <c r="Y158" s="33" t="s">
        <v>525</v>
      </c>
      <c r="Z158" s="33" t="s">
        <v>157</v>
      </c>
      <c r="AA158" s="33"/>
      <c r="AB158" s="33"/>
      <c r="AC158" s="25"/>
      <c r="AD158" s="51" t="s">
        <v>77</v>
      </c>
      <c r="AE158" s="25" t="s">
        <v>78</v>
      </c>
      <c r="AF158" s="25" t="s">
        <v>78</v>
      </c>
      <c r="AG158" s="25"/>
      <c r="AH158" s="25"/>
      <c r="AI158" s="17" t="s">
        <v>1350</v>
      </c>
      <c r="AJ158" s="33"/>
      <c r="AK158" s="25"/>
      <c r="AL158" s="113" t="s">
        <v>1351</v>
      </c>
      <c r="AM158" s="65" t="s">
        <v>77</v>
      </c>
      <c r="AN158" s="66" t="s">
        <v>628</v>
      </c>
      <c r="AO158" s="67"/>
      <c r="AP158" s="66" t="s">
        <v>1352</v>
      </c>
      <c r="AQ158" s="69" t="s">
        <v>1353</v>
      </c>
      <c r="AR158" s="66" t="s">
        <v>85</v>
      </c>
      <c r="AS158" s="20"/>
      <c r="AT158" s="18" t="s">
        <v>188</v>
      </c>
      <c r="AU158" s="45"/>
      <c r="AV158" s="18"/>
      <c r="AW158" s="17"/>
      <c r="AX158" s="17"/>
      <c r="AY158" s="34">
        <v>7220201</v>
      </c>
      <c r="AZ158" s="33">
        <v>192</v>
      </c>
      <c r="BB158" s="17"/>
      <c r="BC158" s="43" t="s">
        <v>2209</v>
      </c>
      <c r="BD158" s="17"/>
      <c r="BM158" s="46"/>
      <c r="BN158" s="46"/>
      <c r="BO158" s="47"/>
    </row>
    <row r="159" spans="2:67" ht="24.95" customHeight="1" x14ac:dyDescent="0.25">
      <c r="B159" s="36">
        <f>SUBTOTAL(103,$M$2:M159)</f>
        <v>158</v>
      </c>
      <c r="C159" s="37" t="s">
        <v>848</v>
      </c>
      <c r="D159" s="33" t="s">
        <v>79</v>
      </c>
      <c r="E159" s="36" t="s">
        <v>3</v>
      </c>
      <c r="F159" s="36" t="s">
        <v>34</v>
      </c>
      <c r="G159" s="33" t="s">
        <v>2675</v>
      </c>
      <c r="H159" s="33" t="s">
        <v>2677</v>
      </c>
      <c r="I159" s="33" t="s">
        <v>2515</v>
      </c>
      <c r="J159" s="33" t="s">
        <v>2487</v>
      </c>
      <c r="K159" s="25" t="s">
        <v>103</v>
      </c>
      <c r="L159" s="25" t="s">
        <v>1354</v>
      </c>
      <c r="M159" s="54" t="s">
        <v>2210</v>
      </c>
      <c r="N159" s="36" t="s">
        <v>91</v>
      </c>
      <c r="O159" s="36">
        <v>1</v>
      </c>
      <c r="P159" s="36">
        <v>1</v>
      </c>
      <c r="Q159" s="36" t="s">
        <v>71</v>
      </c>
      <c r="R159" s="36" t="s">
        <v>2646</v>
      </c>
      <c r="S159" s="37" t="s">
        <v>2052</v>
      </c>
      <c r="T159" s="25" t="s">
        <v>5</v>
      </c>
      <c r="U159" s="36">
        <v>2023</v>
      </c>
      <c r="V159" s="36" t="s">
        <v>74</v>
      </c>
      <c r="W159" s="60" t="s">
        <v>1355</v>
      </c>
      <c r="X159" s="60" t="s">
        <v>1356</v>
      </c>
      <c r="Y159" s="36"/>
      <c r="Z159" s="37"/>
      <c r="AA159" s="37"/>
      <c r="AB159" s="36"/>
      <c r="AC159" s="25"/>
      <c r="AD159" s="51" t="s">
        <v>77</v>
      </c>
      <c r="AE159" s="33" t="s">
        <v>78</v>
      </c>
      <c r="AF159" s="33"/>
      <c r="AG159" s="42"/>
      <c r="AH159" s="25"/>
      <c r="AI159" s="33" t="s">
        <v>1357</v>
      </c>
      <c r="AJ159" s="37" t="s">
        <v>3</v>
      </c>
      <c r="AK159" s="36" t="s">
        <v>1358</v>
      </c>
      <c r="AL159" s="113" t="s">
        <v>1359</v>
      </c>
      <c r="AM159" s="65" t="s">
        <v>77</v>
      </c>
      <c r="AN159" s="66" t="s">
        <v>364</v>
      </c>
      <c r="AO159" s="67"/>
      <c r="AP159" s="66" t="s">
        <v>447</v>
      </c>
      <c r="AQ159" s="69" t="s">
        <v>1360</v>
      </c>
      <c r="AR159" s="66" t="s">
        <v>85</v>
      </c>
      <c r="AS159" s="20" t="s">
        <v>55</v>
      </c>
      <c r="AT159" s="18" t="s">
        <v>1325</v>
      </c>
      <c r="AU159" s="45"/>
      <c r="AV159" s="18"/>
      <c r="AW159" s="17"/>
      <c r="AX159" s="17"/>
      <c r="AY159" s="34">
        <v>7220201</v>
      </c>
      <c r="AZ159" s="33">
        <v>193</v>
      </c>
      <c r="BB159" s="17"/>
      <c r="BC159" s="57" t="s">
        <v>2210</v>
      </c>
      <c r="BD159" s="17"/>
      <c r="BM159" s="46"/>
      <c r="BN159" s="46"/>
      <c r="BO159" s="47"/>
    </row>
    <row r="160" spans="2:67" ht="24.95" customHeight="1" x14ac:dyDescent="0.25">
      <c r="B160" s="36">
        <f>SUBTOTAL(103,$M$2:M160)</f>
        <v>159</v>
      </c>
      <c r="C160" s="37" t="s">
        <v>858</v>
      </c>
      <c r="D160" s="33" t="s">
        <v>79</v>
      </c>
      <c r="E160" s="36" t="s">
        <v>3</v>
      </c>
      <c r="F160" s="33" t="s">
        <v>34</v>
      </c>
      <c r="G160" s="33" t="s">
        <v>2675</v>
      </c>
      <c r="H160" s="33" t="s">
        <v>2677</v>
      </c>
      <c r="I160" s="33" t="s">
        <v>2515</v>
      </c>
      <c r="J160" s="33" t="s">
        <v>2488</v>
      </c>
      <c r="K160" s="25" t="s">
        <v>1361</v>
      </c>
      <c r="L160" s="25" t="s">
        <v>646</v>
      </c>
      <c r="M160" s="38" t="s">
        <v>2211</v>
      </c>
      <c r="N160" s="33" t="s">
        <v>91</v>
      </c>
      <c r="O160" s="36">
        <v>1</v>
      </c>
      <c r="P160" s="36">
        <v>1</v>
      </c>
      <c r="Q160" s="33" t="s">
        <v>71</v>
      </c>
      <c r="R160" s="36" t="s">
        <v>2646</v>
      </c>
      <c r="S160" s="37" t="s">
        <v>2052</v>
      </c>
      <c r="T160" s="25" t="s">
        <v>19</v>
      </c>
      <c r="U160" s="33">
        <v>2025</v>
      </c>
      <c r="V160" s="33" t="s">
        <v>74</v>
      </c>
      <c r="W160" s="33" t="s">
        <v>398</v>
      </c>
      <c r="X160" s="33"/>
      <c r="Y160" s="33" t="s">
        <v>501</v>
      </c>
      <c r="Z160" s="33" t="s">
        <v>74</v>
      </c>
      <c r="AA160" s="33"/>
      <c r="AB160" s="33"/>
      <c r="AC160" s="25"/>
      <c r="AD160" s="51" t="s">
        <v>77</v>
      </c>
      <c r="AE160" s="25" t="s">
        <v>78</v>
      </c>
      <c r="AF160" s="25" t="s">
        <v>78</v>
      </c>
      <c r="AG160" s="25"/>
      <c r="AH160" s="80"/>
      <c r="AI160" s="17" t="s">
        <v>149</v>
      </c>
      <c r="AJ160" s="33" t="s">
        <v>76</v>
      </c>
      <c r="AK160" s="25"/>
      <c r="AL160" s="113" t="s">
        <v>1362</v>
      </c>
      <c r="AM160" s="65" t="s">
        <v>77</v>
      </c>
      <c r="AN160" s="66" t="s">
        <v>1091</v>
      </c>
      <c r="AO160" s="67"/>
      <c r="AP160" s="66" t="s">
        <v>1363</v>
      </c>
      <c r="AQ160" s="69" t="s">
        <v>1364</v>
      </c>
      <c r="AR160" s="66" t="s">
        <v>85</v>
      </c>
      <c r="AS160" s="20"/>
      <c r="AT160" s="18" t="s">
        <v>145</v>
      </c>
      <c r="AU160" s="45"/>
      <c r="AV160" s="18"/>
      <c r="AW160" s="17"/>
      <c r="AX160" s="17"/>
      <c r="AY160" s="34">
        <v>7220201</v>
      </c>
      <c r="AZ160" s="33">
        <v>194</v>
      </c>
      <c r="BB160" s="17"/>
      <c r="BC160" s="43" t="s">
        <v>2211</v>
      </c>
      <c r="BD160" s="17"/>
      <c r="BM160" s="46"/>
      <c r="BN160" s="46"/>
      <c r="BO160" s="47"/>
    </row>
    <row r="161" spans="2:67" ht="24.95" customHeight="1" x14ac:dyDescent="0.25">
      <c r="B161" s="36">
        <f>SUBTOTAL(103,$M$2:M161)</f>
        <v>160</v>
      </c>
      <c r="C161" s="37" t="s">
        <v>864</v>
      </c>
      <c r="D161" s="33" t="s">
        <v>79</v>
      </c>
      <c r="E161" s="33" t="s">
        <v>3</v>
      </c>
      <c r="F161" s="33" t="s">
        <v>34</v>
      </c>
      <c r="G161" s="33" t="s">
        <v>2675</v>
      </c>
      <c r="H161" s="33" t="s">
        <v>2677</v>
      </c>
      <c r="I161" s="33" t="s">
        <v>2515</v>
      </c>
      <c r="J161" s="33" t="s">
        <v>2489</v>
      </c>
      <c r="K161" s="25" t="s">
        <v>103</v>
      </c>
      <c r="L161" s="25" t="s">
        <v>1365</v>
      </c>
      <c r="M161" s="38" t="s">
        <v>2212</v>
      </c>
      <c r="N161" s="33" t="s">
        <v>91</v>
      </c>
      <c r="O161" s="36">
        <v>1</v>
      </c>
      <c r="P161" s="36">
        <v>1</v>
      </c>
      <c r="Q161" s="33" t="s">
        <v>71</v>
      </c>
      <c r="R161" s="36" t="s">
        <v>2646</v>
      </c>
      <c r="S161" s="37" t="s">
        <v>2052</v>
      </c>
      <c r="T161" s="25" t="s">
        <v>1366</v>
      </c>
      <c r="U161" s="33">
        <v>2012</v>
      </c>
      <c r="V161" s="33" t="s">
        <v>74</v>
      </c>
      <c r="W161" s="33" t="s">
        <v>1333</v>
      </c>
      <c r="X161" s="33" t="s">
        <v>1367</v>
      </c>
      <c r="Y161" s="100" t="s">
        <v>160</v>
      </c>
      <c r="Z161" s="33" t="s">
        <v>74</v>
      </c>
      <c r="AA161" s="33"/>
      <c r="AB161" s="33"/>
      <c r="AC161" s="25"/>
      <c r="AD161" s="51" t="s">
        <v>77</v>
      </c>
      <c r="AE161" s="25" t="s">
        <v>78</v>
      </c>
      <c r="AF161" s="25" t="s">
        <v>78</v>
      </c>
      <c r="AG161" s="25"/>
      <c r="AH161" s="25"/>
      <c r="AI161" s="33" t="s">
        <v>1368</v>
      </c>
      <c r="AJ161" s="33" t="s">
        <v>76</v>
      </c>
      <c r="AK161" s="25"/>
      <c r="AL161" s="113" t="s">
        <v>1369</v>
      </c>
      <c r="AM161" s="65" t="s">
        <v>77</v>
      </c>
      <c r="AN161" s="66" t="s">
        <v>185</v>
      </c>
      <c r="AO161" s="67"/>
      <c r="AP161" s="66" t="s">
        <v>515</v>
      </c>
      <c r="AQ161" s="69" t="s">
        <v>1370</v>
      </c>
      <c r="AR161" s="66" t="s">
        <v>85</v>
      </c>
      <c r="AS161" s="20"/>
      <c r="AT161" s="18" t="s">
        <v>1371</v>
      </c>
      <c r="AU161" s="45"/>
      <c r="AV161" s="18"/>
      <c r="AW161" s="17"/>
      <c r="AX161" s="17"/>
      <c r="AY161" s="34">
        <v>7220201</v>
      </c>
      <c r="AZ161" s="33">
        <v>195</v>
      </c>
      <c r="BB161" s="17"/>
      <c r="BC161" s="43" t="s">
        <v>2212</v>
      </c>
      <c r="BD161" s="17"/>
      <c r="BM161" s="46"/>
      <c r="BN161" s="46"/>
      <c r="BO161" s="47"/>
    </row>
    <row r="162" spans="2:67" ht="24.95" customHeight="1" x14ac:dyDescent="0.25">
      <c r="B162" s="36">
        <f>SUBTOTAL(103,$M$2:M162)</f>
        <v>161</v>
      </c>
      <c r="C162" s="37" t="s">
        <v>870</v>
      </c>
      <c r="D162" s="33" t="s">
        <v>79</v>
      </c>
      <c r="E162" s="33" t="s">
        <v>3</v>
      </c>
      <c r="F162" s="33" t="s">
        <v>34</v>
      </c>
      <c r="G162" s="33" t="s">
        <v>2675</v>
      </c>
      <c r="H162" s="33" t="s">
        <v>2677</v>
      </c>
      <c r="I162" s="33" t="s">
        <v>2515</v>
      </c>
      <c r="J162" s="33" t="s">
        <v>2490</v>
      </c>
      <c r="K162" s="25" t="s">
        <v>1372</v>
      </c>
      <c r="L162" s="25" t="s">
        <v>1365</v>
      </c>
      <c r="M162" s="38" t="s">
        <v>2213</v>
      </c>
      <c r="N162" s="33" t="s">
        <v>91</v>
      </c>
      <c r="O162" s="36">
        <v>1</v>
      </c>
      <c r="P162" s="36">
        <v>1</v>
      </c>
      <c r="Q162" s="33" t="s">
        <v>71</v>
      </c>
      <c r="R162" s="36" t="s">
        <v>2646</v>
      </c>
      <c r="S162" s="37" t="s">
        <v>2052</v>
      </c>
      <c r="T162" s="25" t="s">
        <v>202</v>
      </c>
      <c r="U162" s="33">
        <v>2011</v>
      </c>
      <c r="V162" s="33" t="s">
        <v>118</v>
      </c>
      <c r="W162" s="33" t="s">
        <v>1373</v>
      </c>
      <c r="X162" s="33"/>
      <c r="Y162" s="33"/>
      <c r="Z162" s="33"/>
      <c r="AA162" s="33"/>
      <c r="AB162" s="33"/>
      <c r="AC162" s="25"/>
      <c r="AD162" s="51" t="s">
        <v>77</v>
      </c>
      <c r="AE162" s="25"/>
      <c r="AF162" s="25"/>
      <c r="AG162" s="25"/>
      <c r="AH162" s="25"/>
      <c r="AI162" s="33" t="s">
        <v>138</v>
      </c>
      <c r="AJ162" s="33" t="s">
        <v>76</v>
      </c>
      <c r="AK162" s="25"/>
      <c r="AL162" s="113" t="s">
        <v>1374</v>
      </c>
      <c r="AM162" s="65" t="s">
        <v>77</v>
      </c>
      <c r="AN162" s="66" t="s">
        <v>97</v>
      </c>
      <c r="AO162" s="67"/>
      <c r="AP162" s="66" t="s">
        <v>1375</v>
      </c>
      <c r="AQ162" s="69" t="s">
        <v>1376</v>
      </c>
      <c r="AR162" s="66" t="s">
        <v>85</v>
      </c>
      <c r="AS162" s="20" t="s">
        <v>144</v>
      </c>
      <c r="AT162" s="18" t="s">
        <v>188</v>
      </c>
      <c r="AU162" s="45"/>
      <c r="AV162" s="18"/>
      <c r="AW162" s="17"/>
      <c r="AX162" s="17"/>
      <c r="AY162" s="34">
        <v>7220201</v>
      </c>
      <c r="AZ162" s="33">
        <v>196</v>
      </c>
      <c r="BB162" s="17"/>
      <c r="BC162" s="43" t="s">
        <v>2213</v>
      </c>
      <c r="BD162" s="17"/>
      <c r="BM162" s="46"/>
      <c r="BN162" s="46"/>
      <c r="BO162" s="47"/>
    </row>
    <row r="163" spans="2:67" ht="24.95" customHeight="1" x14ac:dyDescent="0.25">
      <c r="B163" s="36">
        <f>SUBTOTAL(103,$M$2:M163)</f>
        <v>162</v>
      </c>
      <c r="C163" s="37" t="s">
        <v>877</v>
      </c>
      <c r="D163" s="33" t="s">
        <v>79</v>
      </c>
      <c r="E163" s="36" t="s">
        <v>3</v>
      </c>
      <c r="F163" s="37" t="s">
        <v>34</v>
      </c>
      <c r="G163" s="33" t="s">
        <v>2675</v>
      </c>
      <c r="H163" s="33" t="s">
        <v>2677</v>
      </c>
      <c r="I163" s="33" t="s">
        <v>2515</v>
      </c>
      <c r="J163" s="33" t="s">
        <v>2491</v>
      </c>
      <c r="K163" s="48" t="s">
        <v>1377</v>
      </c>
      <c r="L163" s="49" t="s">
        <v>1378</v>
      </c>
      <c r="M163" s="50" t="s">
        <v>2214</v>
      </c>
      <c r="N163" s="37" t="s">
        <v>91</v>
      </c>
      <c r="O163" s="36">
        <v>1</v>
      </c>
      <c r="P163" s="36">
        <v>1</v>
      </c>
      <c r="Q163" s="37" t="s">
        <v>359</v>
      </c>
      <c r="R163" s="36" t="s">
        <v>2646</v>
      </c>
      <c r="S163" s="37" t="s">
        <v>2052</v>
      </c>
      <c r="T163" s="48" t="s">
        <v>1344</v>
      </c>
      <c r="U163" s="37" t="s">
        <v>1379</v>
      </c>
      <c r="V163" s="37" t="s">
        <v>257</v>
      </c>
      <c r="W163" s="37" t="s">
        <v>1380</v>
      </c>
      <c r="X163" s="37"/>
      <c r="Y163" s="37" t="s">
        <v>371</v>
      </c>
      <c r="Z163" s="37" t="s">
        <v>74</v>
      </c>
      <c r="AA163" s="37"/>
      <c r="AB163" s="37"/>
      <c r="AC163" s="25"/>
      <c r="AD163" s="51" t="s">
        <v>77</v>
      </c>
      <c r="AE163" s="37" t="s">
        <v>78</v>
      </c>
      <c r="AF163" s="37" t="s">
        <v>78</v>
      </c>
      <c r="AG163" s="37"/>
      <c r="AH163" s="37"/>
      <c r="AI163" s="37" t="s">
        <v>149</v>
      </c>
      <c r="AJ163" s="37" t="s">
        <v>76</v>
      </c>
      <c r="AK163" s="37"/>
      <c r="AL163" s="151" t="s">
        <v>1381</v>
      </c>
      <c r="AM163" s="65" t="s">
        <v>77</v>
      </c>
      <c r="AN163" s="120" t="s">
        <v>141</v>
      </c>
      <c r="AO163" s="120"/>
      <c r="AP163" s="120" t="s">
        <v>1382</v>
      </c>
      <c r="AQ163" s="124" t="s">
        <v>1383</v>
      </c>
      <c r="AR163" s="120" t="s">
        <v>85</v>
      </c>
      <c r="AS163" s="20"/>
      <c r="AT163" s="18" t="s">
        <v>114</v>
      </c>
      <c r="AU163" s="45"/>
      <c r="AV163" s="18"/>
      <c r="AW163" s="17"/>
      <c r="AX163" s="17"/>
      <c r="AY163" s="34">
        <v>7220201</v>
      </c>
      <c r="AZ163" s="33">
        <v>197</v>
      </c>
      <c r="BB163" s="17"/>
      <c r="BC163" s="50" t="s">
        <v>2214</v>
      </c>
      <c r="BD163" s="17"/>
      <c r="BM163" s="46"/>
      <c r="BN163" s="46"/>
      <c r="BO163" s="47"/>
    </row>
    <row r="164" spans="2:67" ht="24.95" customHeight="1" x14ac:dyDescent="0.25">
      <c r="B164" s="36">
        <f>SUBTOTAL(103,$M$2:M164)</f>
        <v>163</v>
      </c>
      <c r="C164" s="37" t="s">
        <v>885</v>
      </c>
      <c r="D164" s="33" t="s">
        <v>79</v>
      </c>
      <c r="E164" s="33" t="s">
        <v>3</v>
      </c>
      <c r="F164" s="33" t="s">
        <v>34</v>
      </c>
      <c r="G164" s="33" t="s">
        <v>2675</v>
      </c>
      <c r="H164" s="33" t="s">
        <v>2677</v>
      </c>
      <c r="I164" s="33" t="s">
        <v>2515</v>
      </c>
      <c r="J164" s="33" t="s">
        <v>2492</v>
      </c>
      <c r="K164" s="25" t="s">
        <v>1384</v>
      </c>
      <c r="L164" s="25" t="s">
        <v>1385</v>
      </c>
      <c r="M164" s="38" t="s">
        <v>2215</v>
      </c>
      <c r="N164" s="33" t="s">
        <v>91</v>
      </c>
      <c r="O164" s="36">
        <v>1</v>
      </c>
      <c r="P164" s="36"/>
      <c r="Q164" s="33" t="s">
        <v>71</v>
      </c>
      <c r="R164" s="36" t="s">
        <v>2646</v>
      </c>
      <c r="S164" s="37" t="s">
        <v>2052</v>
      </c>
      <c r="T164" s="25" t="s">
        <v>4</v>
      </c>
      <c r="U164" s="33">
        <v>2012</v>
      </c>
      <c r="V164" s="33" t="s">
        <v>257</v>
      </c>
      <c r="W164" s="33" t="s">
        <v>1386</v>
      </c>
      <c r="X164" s="33"/>
      <c r="Y164" s="33" t="s">
        <v>330</v>
      </c>
      <c r="Z164" s="33" t="s">
        <v>74</v>
      </c>
      <c r="AA164" s="33"/>
      <c r="AB164" s="33"/>
      <c r="AC164" s="25"/>
      <c r="AD164" s="51" t="s">
        <v>77</v>
      </c>
      <c r="AE164" s="25" t="s">
        <v>78</v>
      </c>
      <c r="AF164" s="25" t="s">
        <v>78</v>
      </c>
      <c r="AG164" s="25"/>
      <c r="AH164" s="25"/>
      <c r="AI164" s="33" t="s">
        <v>1387</v>
      </c>
      <c r="AJ164" s="33" t="s">
        <v>3</v>
      </c>
      <c r="AK164" s="25" t="s">
        <v>1388</v>
      </c>
      <c r="AL164" s="113" t="s">
        <v>1389</v>
      </c>
      <c r="AM164" s="65" t="s">
        <v>77</v>
      </c>
      <c r="AN164" s="66" t="s">
        <v>82</v>
      </c>
      <c r="AO164" s="67"/>
      <c r="AP164" s="66" t="s">
        <v>1390</v>
      </c>
      <c r="AQ164" s="69" t="s">
        <v>1391</v>
      </c>
      <c r="AR164" s="66" t="s">
        <v>85</v>
      </c>
      <c r="AS164" s="20"/>
      <c r="AT164" s="63"/>
      <c r="AU164" s="18"/>
      <c r="AV164" s="18"/>
      <c r="AX164" s="17"/>
      <c r="AY164" s="34">
        <v>7220201</v>
      </c>
      <c r="AZ164" s="33">
        <v>198</v>
      </c>
      <c r="BC164" s="43" t="s">
        <v>2215</v>
      </c>
    </row>
    <row r="165" spans="2:67" ht="24.95" customHeight="1" x14ac:dyDescent="0.25">
      <c r="B165" s="36">
        <f>SUBTOTAL(103,$M$2:M165)</f>
        <v>164</v>
      </c>
      <c r="C165" s="37" t="s">
        <v>892</v>
      </c>
      <c r="D165" s="33" t="s">
        <v>79</v>
      </c>
      <c r="E165" s="33" t="s">
        <v>3</v>
      </c>
      <c r="F165" s="33" t="s">
        <v>34</v>
      </c>
      <c r="G165" s="33" t="s">
        <v>2675</v>
      </c>
      <c r="H165" s="33" t="s">
        <v>2677</v>
      </c>
      <c r="I165" s="33" t="s">
        <v>2515</v>
      </c>
      <c r="J165" s="33" t="s">
        <v>2493</v>
      </c>
      <c r="K165" s="25" t="s">
        <v>1392</v>
      </c>
      <c r="L165" s="25" t="s">
        <v>272</v>
      </c>
      <c r="M165" s="38" t="s">
        <v>2216</v>
      </c>
      <c r="N165" s="33" t="s">
        <v>70</v>
      </c>
      <c r="O165" s="33">
        <v>0</v>
      </c>
      <c r="P165" s="33">
        <v>1</v>
      </c>
      <c r="Q165" s="36" t="s">
        <v>71</v>
      </c>
      <c r="R165" s="36" t="s">
        <v>2646</v>
      </c>
      <c r="S165" s="37" t="s">
        <v>2052</v>
      </c>
      <c r="T165" s="25" t="s">
        <v>1393</v>
      </c>
      <c r="U165" s="33">
        <v>2019</v>
      </c>
      <c r="V165" s="33" t="s">
        <v>74</v>
      </c>
      <c r="W165" s="33"/>
      <c r="X165" s="33" t="s">
        <v>1394</v>
      </c>
      <c r="Y165" s="33" t="s">
        <v>94</v>
      </c>
      <c r="Z165" s="33" t="s">
        <v>74</v>
      </c>
      <c r="AA165" s="37"/>
      <c r="AB165" s="33"/>
      <c r="AC165" s="25"/>
      <c r="AD165" s="51" t="s">
        <v>77</v>
      </c>
      <c r="AE165" s="25"/>
      <c r="AF165" s="33" t="s">
        <v>78</v>
      </c>
      <c r="AG165" s="33"/>
      <c r="AH165" s="80"/>
      <c r="AI165" s="17" t="s">
        <v>1148</v>
      </c>
      <c r="AJ165" s="33" t="s">
        <v>76</v>
      </c>
      <c r="AK165" s="25"/>
      <c r="AL165" s="113" t="s">
        <v>1395</v>
      </c>
      <c r="AM165" s="65" t="s">
        <v>77</v>
      </c>
      <c r="AN165" s="120" t="s">
        <v>401</v>
      </c>
      <c r="AO165" s="120"/>
      <c r="AP165" s="120" t="s">
        <v>510</v>
      </c>
      <c r="AQ165" s="69" t="s">
        <v>1396</v>
      </c>
      <c r="AR165" s="66" t="s">
        <v>85</v>
      </c>
      <c r="AS165" s="20" t="s">
        <v>113</v>
      </c>
      <c r="AT165" s="18" t="s">
        <v>1397</v>
      </c>
      <c r="AU165" s="45"/>
      <c r="AV165" s="18"/>
      <c r="AW165" s="17"/>
      <c r="AX165" s="17"/>
      <c r="AY165" s="34">
        <v>7220201</v>
      </c>
      <c r="AZ165" s="33">
        <v>199</v>
      </c>
      <c r="BB165" s="17"/>
      <c r="BC165" s="43" t="s">
        <v>2216</v>
      </c>
      <c r="BD165" s="17"/>
      <c r="BM165" s="46"/>
      <c r="BN165" s="46"/>
      <c r="BO165" s="47"/>
    </row>
    <row r="166" spans="2:67" ht="24.95" customHeight="1" x14ac:dyDescent="0.25">
      <c r="B166" s="36">
        <f>SUBTOTAL(103,$M$2:M166)</f>
        <v>165</v>
      </c>
      <c r="C166" s="37" t="s">
        <v>899</v>
      </c>
      <c r="D166" s="33" t="s">
        <v>79</v>
      </c>
      <c r="E166" s="33" t="s">
        <v>3</v>
      </c>
      <c r="F166" s="33" t="s">
        <v>34</v>
      </c>
      <c r="G166" s="33" t="s">
        <v>2675</v>
      </c>
      <c r="H166" s="33" t="s">
        <v>2677</v>
      </c>
      <c r="I166" s="33" t="s">
        <v>2515</v>
      </c>
      <c r="J166" s="33" t="s">
        <v>2494</v>
      </c>
      <c r="K166" s="25" t="s">
        <v>1398</v>
      </c>
      <c r="L166" s="25" t="s">
        <v>426</v>
      </c>
      <c r="M166" s="38" t="s">
        <v>2217</v>
      </c>
      <c r="N166" s="33" t="s">
        <v>91</v>
      </c>
      <c r="O166" s="36">
        <v>1</v>
      </c>
      <c r="P166" s="36">
        <v>1</v>
      </c>
      <c r="Q166" s="33" t="s">
        <v>71</v>
      </c>
      <c r="R166" s="36" t="s">
        <v>2646</v>
      </c>
      <c r="S166" s="37" t="s">
        <v>2052</v>
      </c>
      <c r="T166" s="25" t="s">
        <v>202</v>
      </c>
      <c r="U166" s="33">
        <v>2015</v>
      </c>
      <c r="V166" s="36" t="s">
        <v>1167</v>
      </c>
      <c r="W166" s="33" t="s">
        <v>1399</v>
      </c>
      <c r="X166" s="33"/>
      <c r="Y166" s="33" t="s">
        <v>695</v>
      </c>
      <c r="Z166" s="37" t="s">
        <v>157</v>
      </c>
      <c r="AA166" s="37"/>
      <c r="AB166" s="33"/>
      <c r="AC166" s="25"/>
      <c r="AD166" s="51" t="s">
        <v>77</v>
      </c>
      <c r="AE166" s="25" t="s">
        <v>78</v>
      </c>
      <c r="AF166" s="33" t="s">
        <v>78</v>
      </c>
      <c r="AG166" s="25"/>
      <c r="AH166" s="80"/>
      <c r="AI166" s="33" t="s">
        <v>1400</v>
      </c>
      <c r="AJ166" s="33" t="s">
        <v>76</v>
      </c>
      <c r="AK166" s="25"/>
      <c r="AL166" s="113" t="s">
        <v>1401</v>
      </c>
      <c r="AM166" s="65" t="s">
        <v>77</v>
      </c>
      <c r="AN166" s="66" t="s">
        <v>150</v>
      </c>
      <c r="AO166" s="67"/>
      <c r="AP166" s="66" t="s">
        <v>1402</v>
      </c>
      <c r="AQ166" s="69" t="s">
        <v>1403</v>
      </c>
      <c r="AR166" s="66" t="s">
        <v>85</v>
      </c>
      <c r="AS166" s="20"/>
      <c r="AT166" s="18" t="s">
        <v>145</v>
      </c>
      <c r="AU166" s="45"/>
      <c r="AV166" s="18"/>
      <c r="AW166" s="17"/>
      <c r="AX166" s="17"/>
      <c r="AY166" s="34">
        <v>7220201</v>
      </c>
      <c r="AZ166" s="33">
        <v>200</v>
      </c>
      <c r="BB166" s="17"/>
      <c r="BC166" s="43" t="s">
        <v>2217</v>
      </c>
      <c r="BD166" s="17"/>
      <c r="BM166" s="46"/>
      <c r="BN166" s="46"/>
      <c r="BO166" s="47"/>
    </row>
    <row r="167" spans="2:67" ht="24.95" customHeight="1" x14ac:dyDescent="0.25">
      <c r="B167" s="36">
        <f>SUBTOTAL(103,$M$2:M167)</f>
        <v>166</v>
      </c>
      <c r="C167" s="37" t="s">
        <v>1404</v>
      </c>
      <c r="D167" s="33" t="s">
        <v>79</v>
      </c>
      <c r="E167" s="33" t="s">
        <v>3</v>
      </c>
      <c r="F167" s="33" t="s">
        <v>34</v>
      </c>
      <c r="G167" s="33" t="s">
        <v>2675</v>
      </c>
      <c r="H167" s="33" t="s">
        <v>2677</v>
      </c>
      <c r="I167" s="33" t="s">
        <v>2515</v>
      </c>
      <c r="J167" s="33" t="s">
        <v>2495</v>
      </c>
      <c r="K167" s="25" t="s">
        <v>1405</v>
      </c>
      <c r="L167" s="25" t="s">
        <v>1406</v>
      </c>
      <c r="M167" s="38" t="s">
        <v>2218</v>
      </c>
      <c r="N167" s="36" t="s">
        <v>70</v>
      </c>
      <c r="O167" s="33">
        <v>0</v>
      </c>
      <c r="P167" s="33"/>
      <c r="Q167" s="36" t="s">
        <v>71</v>
      </c>
      <c r="R167" s="36" t="s">
        <v>2646</v>
      </c>
      <c r="S167" s="37" t="s">
        <v>2052</v>
      </c>
      <c r="T167" s="25" t="s">
        <v>19</v>
      </c>
      <c r="U167" s="33">
        <v>2019</v>
      </c>
      <c r="V167" s="33" t="s">
        <v>169</v>
      </c>
      <c r="W167" s="33"/>
      <c r="X167" s="33" t="s">
        <v>1407</v>
      </c>
      <c r="Y167" s="33" t="s">
        <v>75</v>
      </c>
      <c r="Z167" s="33" t="s">
        <v>74</v>
      </c>
      <c r="AA167" s="37"/>
      <c r="AB167" s="33"/>
      <c r="AC167" s="25"/>
      <c r="AD167" s="51" t="s">
        <v>77</v>
      </c>
      <c r="AE167" s="25" t="s">
        <v>78</v>
      </c>
      <c r="AF167" s="36" t="s">
        <v>78</v>
      </c>
      <c r="AG167" s="36"/>
      <c r="AH167" s="25"/>
      <c r="AI167" s="33" t="s">
        <v>1408</v>
      </c>
      <c r="AJ167" s="36" t="s">
        <v>76</v>
      </c>
      <c r="AK167" s="25"/>
      <c r="AL167" s="107" t="s">
        <v>1409</v>
      </c>
      <c r="AM167" s="19" t="s">
        <v>77</v>
      </c>
      <c r="AN167" s="19" t="s">
        <v>364</v>
      </c>
      <c r="AO167" s="95"/>
      <c r="AP167" s="17" t="s">
        <v>1410</v>
      </c>
      <c r="AQ167" s="107" t="s">
        <v>1411</v>
      </c>
      <c r="AR167" s="33" t="s">
        <v>85</v>
      </c>
      <c r="AS167" s="125" t="s">
        <v>375</v>
      </c>
      <c r="AT167" s="18" t="s">
        <v>472</v>
      </c>
      <c r="AU167" s="45"/>
      <c r="AV167" s="18"/>
      <c r="AW167" s="17"/>
      <c r="AX167" s="17"/>
      <c r="AY167" s="34">
        <v>7220201</v>
      </c>
      <c r="AZ167" s="33">
        <v>201</v>
      </c>
      <c r="BB167" s="17"/>
      <c r="BC167" s="43" t="s">
        <v>2218</v>
      </c>
      <c r="BD167" s="17"/>
      <c r="BM167" s="46"/>
      <c r="BN167" s="46"/>
      <c r="BO167" s="47"/>
    </row>
    <row r="168" spans="2:67" ht="24.95" customHeight="1" x14ac:dyDescent="0.25">
      <c r="B168" s="36">
        <f>SUBTOTAL(103,$M$2:M168)</f>
        <v>167</v>
      </c>
      <c r="C168" s="37" t="s">
        <v>1412</v>
      </c>
      <c r="D168" s="33" t="s">
        <v>79</v>
      </c>
      <c r="E168" s="33" t="s">
        <v>3</v>
      </c>
      <c r="F168" s="33" t="s">
        <v>34</v>
      </c>
      <c r="G168" s="33" t="s">
        <v>2675</v>
      </c>
      <c r="H168" s="33" t="s">
        <v>2677</v>
      </c>
      <c r="I168" s="33" t="s">
        <v>2515</v>
      </c>
      <c r="J168" s="33" t="s">
        <v>2496</v>
      </c>
      <c r="K168" s="25" t="s">
        <v>1413</v>
      </c>
      <c r="L168" s="25" t="s">
        <v>1414</v>
      </c>
      <c r="M168" s="38" t="s">
        <v>2219</v>
      </c>
      <c r="N168" s="33" t="s">
        <v>70</v>
      </c>
      <c r="O168" s="33">
        <v>0</v>
      </c>
      <c r="P168" s="33">
        <v>1</v>
      </c>
      <c r="Q168" s="33" t="s">
        <v>71</v>
      </c>
      <c r="R168" s="36" t="s">
        <v>2646</v>
      </c>
      <c r="S168" s="37" t="s">
        <v>2052</v>
      </c>
      <c r="T168" s="25" t="s">
        <v>20</v>
      </c>
      <c r="U168" s="33">
        <v>2021</v>
      </c>
      <c r="V168" s="33" t="s">
        <v>157</v>
      </c>
      <c r="W168" s="33" t="s">
        <v>970</v>
      </c>
      <c r="X168" s="33" t="s">
        <v>1415</v>
      </c>
      <c r="Y168" s="33" t="s">
        <v>609</v>
      </c>
      <c r="Z168" s="37" t="s">
        <v>157</v>
      </c>
      <c r="AA168" s="37"/>
      <c r="AB168" s="33"/>
      <c r="AC168" s="25"/>
      <c r="AD168" s="51" t="s">
        <v>77</v>
      </c>
      <c r="AE168" s="25"/>
      <c r="AF168" s="33" t="s">
        <v>78</v>
      </c>
      <c r="AG168" s="33"/>
      <c r="AH168" s="80"/>
      <c r="AI168" s="37" t="s">
        <v>119</v>
      </c>
      <c r="AJ168" s="33" t="s">
        <v>76</v>
      </c>
      <c r="AK168" s="25"/>
      <c r="AL168" s="78" t="s">
        <v>1416</v>
      </c>
      <c r="AM168" s="36" t="s">
        <v>77</v>
      </c>
      <c r="AN168" s="37" t="s">
        <v>413</v>
      </c>
      <c r="AO168" s="37"/>
      <c r="AP168" s="33" t="s">
        <v>1417</v>
      </c>
      <c r="AQ168" s="43" t="s">
        <v>1418</v>
      </c>
      <c r="AR168" s="33" t="s">
        <v>85</v>
      </c>
      <c r="AS168" s="42" t="s">
        <v>1419</v>
      </c>
      <c r="AT168" s="18" t="s">
        <v>367</v>
      </c>
      <c r="AU168" s="32"/>
      <c r="AV168" s="18"/>
      <c r="AW168" s="17"/>
      <c r="AX168" s="17"/>
      <c r="AY168" s="34">
        <v>7220201</v>
      </c>
      <c r="AZ168" s="33">
        <v>202</v>
      </c>
      <c r="BB168" s="17"/>
      <c r="BC168" s="43" t="s">
        <v>2219</v>
      </c>
      <c r="BD168" s="17"/>
      <c r="BM168" s="46"/>
      <c r="BN168" s="46"/>
      <c r="BO168" s="47"/>
    </row>
    <row r="169" spans="2:67" ht="24.95" customHeight="1" x14ac:dyDescent="0.25">
      <c r="B169" s="36">
        <f>SUBTOTAL(103,$M$2:M169)</f>
        <v>168</v>
      </c>
      <c r="C169" s="37" t="s">
        <v>1420</v>
      </c>
      <c r="D169" s="33" t="s">
        <v>79</v>
      </c>
      <c r="E169" s="33" t="s">
        <v>3</v>
      </c>
      <c r="F169" s="33" t="s">
        <v>34</v>
      </c>
      <c r="G169" s="33" t="s">
        <v>2675</v>
      </c>
      <c r="H169" s="33" t="s">
        <v>2677</v>
      </c>
      <c r="I169" s="33" t="s">
        <v>2515</v>
      </c>
      <c r="J169" s="33" t="s">
        <v>2497</v>
      </c>
      <c r="K169" s="25" t="s">
        <v>1421</v>
      </c>
      <c r="L169" s="25" t="s">
        <v>1414</v>
      </c>
      <c r="M169" s="38" t="s">
        <v>2220</v>
      </c>
      <c r="N169" s="33" t="s">
        <v>70</v>
      </c>
      <c r="O169" s="33">
        <v>0</v>
      </c>
      <c r="P169" s="33">
        <v>1</v>
      </c>
      <c r="Q169" s="33" t="s">
        <v>71</v>
      </c>
      <c r="R169" s="36" t="s">
        <v>2646</v>
      </c>
      <c r="S169" s="37" t="s">
        <v>2052</v>
      </c>
      <c r="T169" s="25" t="s">
        <v>1422</v>
      </c>
      <c r="U169" s="33">
        <v>2011</v>
      </c>
      <c r="V169" s="33" t="s">
        <v>157</v>
      </c>
      <c r="W169" s="33" t="s">
        <v>1423</v>
      </c>
      <c r="X169" s="33"/>
      <c r="Y169" s="33" t="s">
        <v>538</v>
      </c>
      <c r="Z169" s="33" t="s">
        <v>169</v>
      </c>
      <c r="AA169" s="37"/>
      <c r="AB169" s="33"/>
      <c r="AC169" s="25"/>
      <c r="AD169" s="51" t="s">
        <v>77</v>
      </c>
      <c r="AE169" s="25" t="s">
        <v>78</v>
      </c>
      <c r="AF169" s="33" t="s">
        <v>78</v>
      </c>
      <c r="AG169" s="33"/>
      <c r="AH169" s="80"/>
      <c r="AI169" s="33" t="s">
        <v>1424</v>
      </c>
      <c r="AJ169" s="33" t="s">
        <v>3</v>
      </c>
      <c r="AK169" s="25"/>
      <c r="AL169" s="78" t="s">
        <v>1425</v>
      </c>
      <c r="AM169" s="36" t="s">
        <v>77</v>
      </c>
      <c r="AN169" s="33" t="s">
        <v>1426</v>
      </c>
      <c r="AO169" s="25"/>
      <c r="AP169" s="33" t="s">
        <v>1427</v>
      </c>
      <c r="AQ169" s="43" t="s">
        <v>1428</v>
      </c>
      <c r="AR169" s="33" t="s">
        <v>85</v>
      </c>
      <c r="AS169" s="42"/>
      <c r="AT169" s="25" t="s">
        <v>367</v>
      </c>
      <c r="AU169" s="32"/>
      <c r="AV169" s="18"/>
      <c r="AW169" s="17"/>
      <c r="AX169" s="17"/>
      <c r="AY169" s="34">
        <v>7220201</v>
      </c>
      <c r="AZ169" s="33">
        <v>203</v>
      </c>
      <c r="BB169" s="17"/>
      <c r="BC169" s="43" t="s">
        <v>2220</v>
      </c>
      <c r="BD169" s="17"/>
      <c r="BM169" s="46"/>
      <c r="BN169" s="46"/>
      <c r="BO169" s="47"/>
    </row>
    <row r="170" spans="2:67" ht="24.95" customHeight="1" x14ac:dyDescent="0.25">
      <c r="B170" s="36">
        <f>SUBTOTAL(103,$M$2:M170)</f>
        <v>169</v>
      </c>
      <c r="C170" s="37" t="s">
        <v>1429</v>
      </c>
      <c r="D170" s="33" t="s">
        <v>79</v>
      </c>
      <c r="E170" s="33" t="s">
        <v>3</v>
      </c>
      <c r="F170" s="37" t="s">
        <v>34</v>
      </c>
      <c r="G170" s="33" t="s">
        <v>2675</v>
      </c>
      <c r="H170" s="33" t="s">
        <v>2677</v>
      </c>
      <c r="I170" s="33" t="s">
        <v>2515</v>
      </c>
      <c r="J170" s="33" t="s">
        <v>2498</v>
      </c>
      <c r="K170" s="48" t="s">
        <v>1430</v>
      </c>
      <c r="L170" s="49" t="s">
        <v>1414</v>
      </c>
      <c r="M170" s="50" t="s">
        <v>2221</v>
      </c>
      <c r="N170" s="37" t="s">
        <v>91</v>
      </c>
      <c r="O170" s="36">
        <v>1</v>
      </c>
      <c r="P170" s="36">
        <v>1</v>
      </c>
      <c r="Q170" s="37" t="s">
        <v>71</v>
      </c>
      <c r="R170" s="36" t="s">
        <v>2646</v>
      </c>
      <c r="S170" s="37" t="s">
        <v>2052</v>
      </c>
      <c r="T170" s="48" t="s">
        <v>1431</v>
      </c>
      <c r="U170" s="37" t="s">
        <v>73</v>
      </c>
      <c r="V170" s="37" t="s">
        <v>74</v>
      </c>
      <c r="W170" s="37"/>
      <c r="X170" s="37" t="s">
        <v>1356</v>
      </c>
      <c r="Y170" s="37" t="s">
        <v>601</v>
      </c>
      <c r="Z170" s="37" t="s">
        <v>157</v>
      </c>
      <c r="AA170" s="37"/>
      <c r="AB170" s="37"/>
      <c r="AC170" s="25"/>
      <c r="AD170" s="51" t="s">
        <v>77</v>
      </c>
      <c r="AE170" s="25" t="s">
        <v>78</v>
      </c>
      <c r="AF170" s="37" t="s">
        <v>78</v>
      </c>
      <c r="AG170" s="37"/>
      <c r="AH170" s="37"/>
      <c r="AI170" s="37" t="s">
        <v>1432</v>
      </c>
      <c r="AJ170" s="37" t="s">
        <v>76</v>
      </c>
      <c r="AK170" s="37"/>
      <c r="AL170" s="146" t="s">
        <v>1433</v>
      </c>
      <c r="AM170" s="36" t="s">
        <v>77</v>
      </c>
      <c r="AN170" s="37" t="s">
        <v>413</v>
      </c>
      <c r="AO170" s="37"/>
      <c r="AP170" s="37" t="s">
        <v>1434</v>
      </c>
      <c r="AQ170" s="50" t="s">
        <v>1435</v>
      </c>
      <c r="AR170" s="33" t="s">
        <v>85</v>
      </c>
      <c r="AS170" s="20"/>
      <c r="AT170" s="53" t="s">
        <v>288</v>
      </c>
      <c r="AU170" s="32"/>
      <c r="AV170" s="18"/>
      <c r="AW170" s="17"/>
      <c r="AX170" s="17"/>
      <c r="AY170" s="34">
        <v>7220201</v>
      </c>
      <c r="AZ170" s="33">
        <v>204</v>
      </c>
      <c r="BB170" s="17"/>
      <c r="BC170" s="50" t="s">
        <v>2221</v>
      </c>
      <c r="BD170" s="17"/>
      <c r="BM170" s="46"/>
      <c r="BN170" s="46"/>
      <c r="BO170" s="47"/>
    </row>
    <row r="171" spans="2:67" ht="24.95" customHeight="1" x14ac:dyDescent="0.25">
      <c r="B171" s="36">
        <f>SUBTOTAL(103,$M$2:M171)</f>
        <v>170</v>
      </c>
      <c r="C171" s="37" t="s">
        <v>1436</v>
      </c>
      <c r="D171" s="33" t="s">
        <v>79</v>
      </c>
      <c r="E171" s="33" t="s">
        <v>3</v>
      </c>
      <c r="F171" s="33" t="s">
        <v>34</v>
      </c>
      <c r="G171" s="33" t="s">
        <v>2675</v>
      </c>
      <c r="H171" s="33" t="s">
        <v>2677</v>
      </c>
      <c r="I171" s="33" t="s">
        <v>2515</v>
      </c>
      <c r="J171" s="33" t="s">
        <v>2499</v>
      </c>
      <c r="K171" s="25" t="s">
        <v>2997</v>
      </c>
      <c r="L171" s="25" t="s">
        <v>1437</v>
      </c>
      <c r="M171" s="38" t="s">
        <v>2222</v>
      </c>
      <c r="N171" s="33" t="s">
        <v>70</v>
      </c>
      <c r="O171" s="33">
        <v>0</v>
      </c>
      <c r="P171" s="33"/>
      <c r="Q171" s="33" t="s">
        <v>359</v>
      </c>
      <c r="R171" s="36" t="s">
        <v>2646</v>
      </c>
      <c r="S171" s="37" t="s">
        <v>2052</v>
      </c>
      <c r="T171" s="25" t="s">
        <v>7</v>
      </c>
      <c r="U171" s="33">
        <v>2011</v>
      </c>
      <c r="V171" s="36" t="s">
        <v>257</v>
      </c>
      <c r="W171" s="33" t="s">
        <v>1438</v>
      </c>
      <c r="X171" s="33"/>
      <c r="Y171" s="33" t="s">
        <v>352</v>
      </c>
      <c r="Z171" s="33" t="s">
        <v>74</v>
      </c>
      <c r="AA171" s="37"/>
      <c r="AB171" s="33"/>
      <c r="AC171" s="25"/>
      <c r="AD171" s="51" t="s">
        <v>77</v>
      </c>
      <c r="AE171" s="25" t="s">
        <v>78</v>
      </c>
      <c r="AF171" s="25" t="s">
        <v>78</v>
      </c>
      <c r="AG171" s="25"/>
      <c r="AH171" s="80"/>
      <c r="AI171" s="33" t="s">
        <v>149</v>
      </c>
      <c r="AJ171" s="33" t="s">
        <v>76</v>
      </c>
      <c r="AK171" s="25" t="s">
        <v>1439</v>
      </c>
      <c r="AL171" s="101" t="s">
        <v>1440</v>
      </c>
      <c r="AM171" s="83" t="s">
        <v>77</v>
      </c>
      <c r="AN171" s="40" t="s">
        <v>110</v>
      </c>
      <c r="AO171" s="62"/>
      <c r="AP171" s="40" t="s">
        <v>1441</v>
      </c>
      <c r="AQ171" s="82" t="s">
        <v>1442</v>
      </c>
      <c r="AR171" s="40" t="s">
        <v>85</v>
      </c>
      <c r="AS171" s="20"/>
      <c r="AT171" s="53" t="s">
        <v>145</v>
      </c>
      <c r="AU171" s="126"/>
      <c r="AV171" s="18"/>
      <c r="AW171" s="17"/>
      <c r="AX171" s="17"/>
      <c r="AY171" s="34">
        <v>7220201</v>
      </c>
      <c r="AZ171" s="33">
        <v>205</v>
      </c>
      <c r="BB171" s="17"/>
      <c r="BC171" s="43" t="s">
        <v>2222</v>
      </c>
      <c r="BD171" s="17"/>
      <c r="BM171" s="46"/>
      <c r="BN171" s="46"/>
      <c r="BO171" s="47"/>
    </row>
    <row r="172" spans="2:67" ht="24.95" customHeight="1" x14ac:dyDescent="0.25">
      <c r="B172" s="36">
        <f>SUBTOTAL(103,$M$2:M172)</f>
        <v>171</v>
      </c>
      <c r="C172" s="37" t="s">
        <v>1443</v>
      </c>
      <c r="D172" s="33" t="s">
        <v>79</v>
      </c>
      <c r="E172" s="33" t="s">
        <v>3</v>
      </c>
      <c r="F172" s="33" t="s">
        <v>34</v>
      </c>
      <c r="G172" s="33" t="s">
        <v>2675</v>
      </c>
      <c r="H172" s="33" t="s">
        <v>2677</v>
      </c>
      <c r="I172" s="33" t="s">
        <v>2515</v>
      </c>
      <c r="J172" s="33" t="s">
        <v>2500</v>
      </c>
      <c r="K172" s="25" t="s">
        <v>482</v>
      </c>
      <c r="L172" s="25" t="s">
        <v>524</v>
      </c>
      <c r="M172" s="38" t="s">
        <v>2223</v>
      </c>
      <c r="N172" s="33" t="s">
        <v>91</v>
      </c>
      <c r="O172" s="36">
        <v>1</v>
      </c>
      <c r="P172" s="36">
        <v>1</v>
      </c>
      <c r="Q172" s="36" t="s">
        <v>71</v>
      </c>
      <c r="R172" s="36" t="s">
        <v>2646</v>
      </c>
      <c r="S172" s="37" t="s">
        <v>2052</v>
      </c>
      <c r="T172" s="25" t="s">
        <v>19</v>
      </c>
      <c r="U172" s="33">
        <v>2024</v>
      </c>
      <c r="V172" s="36" t="s">
        <v>157</v>
      </c>
      <c r="W172" s="33" t="s">
        <v>1444</v>
      </c>
      <c r="X172" s="33"/>
      <c r="Y172" s="33" t="s">
        <v>1445</v>
      </c>
      <c r="Z172" s="33" t="s">
        <v>169</v>
      </c>
      <c r="AA172" s="37"/>
      <c r="AB172" s="33"/>
      <c r="AC172" s="25"/>
      <c r="AD172" s="51" t="s">
        <v>1050</v>
      </c>
      <c r="AE172" s="25" t="s">
        <v>78</v>
      </c>
      <c r="AF172" s="33" t="s">
        <v>78</v>
      </c>
      <c r="AG172" s="33"/>
      <c r="AH172" s="80"/>
      <c r="AI172" s="33" t="s">
        <v>149</v>
      </c>
      <c r="AJ172" s="33" t="s">
        <v>76</v>
      </c>
      <c r="AK172" s="25"/>
      <c r="AL172" s="78" t="s">
        <v>1446</v>
      </c>
      <c r="AM172" s="36" t="s">
        <v>77</v>
      </c>
      <c r="AN172" s="37" t="s">
        <v>150</v>
      </c>
      <c r="AO172" s="37"/>
      <c r="AP172" s="37" t="s">
        <v>1201</v>
      </c>
      <c r="AQ172" s="43" t="s">
        <v>1447</v>
      </c>
      <c r="AR172" s="33" t="s">
        <v>85</v>
      </c>
      <c r="AS172" s="20"/>
      <c r="AT172" s="25" t="s">
        <v>254</v>
      </c>
      <c r="AU172" s="32"/>
      <c r="AV172" s="18"/>
      <c r="AW172" s="17"/>
      <c r="AX172" s="17"/>
      <c r="AY172" s="34">
        <v>7220201</v>
      </c>
      <c r="AZ172" s="33">
        <v>206</v>
      </c>
      <c r="BB172" s="17"/>
      <c r="BC172" s="43" t="s">
        <v>2223</v>
      </c>
      <c r="BD172" s="17"/>
      <c r="BM172" s="46"/>
      <c r="BN172" s="46"/>
      <c r="BO172" s="47"/>
    </row>
    <row r="173" spans="2:67" ht="24.95" customHeight="1" x14ac:dyDescent="0.25">
      <c r="B173" s="36">
        <f>SUBTOTAL(103,$M$2:M173)</f>
        <v>172</v>
      </c>
      <c r="C173" s="37" t="s">
        <v>1448</v>
      </c>
      <c r="D173" s="33" t="s">
        <v>79</v>
      </c>
      <c r="E173" s="33" t="s">
        <v>3</v>
      </c>
      <c r="F173" s="33" t="s">
        <v>34</v>
      </c>
      <c r="G173" s="33" t="s">
        <v>2675</v>
      </c>
      <c r="H173" s="33" t="s">
        <v>2677</v>
      </c>
      <c r="I173" s="33" t="s">
        <v>2515</v>
      </c>
      <c r="J173" s="33" t="s">
        <v>2501</v>
      </c>
      <c r="K173" s="25" t="s">
        <v>759</v>
      </c>
      <c r="L173" s="25" t="s">
        <v>524</v>
      </c>
      <c r="M173" s="38" t="s">
        <v>2224</v>
      </c>
      <c r="N173" s="33" t="s">
        <v>91</v>
      </c>
      <c r="O173" s="36">
        <v>1</v>
      </c>
      <c r="P173" s="36">
        <v>1</v>
      </c>
      <c r="Q173" s="33" t="s">
        <v>71</v>
      </c>
      <c r="R173" s="36" t="s">
        <v>2646</v>
      </c>
      <c r="S173" s="37" t="s">
        <v>2052</v>
      </c>
      <c r="T173" s="25" t="s">
        <v>1449</v>
      </c>
      <c r="U173" s="33">
        <v>2017</v>
      </c>
      <c r="V173" s="33" t="s">
        <v>157</v>
      </c>
      <c r="W173" s="33" t="s">
        <v>1450</v>
      </c>
      <c r="X173" s="33"/>
      <c r="Y173" s="33"/>
      <c r="Z173" s="33"/>
      <c r="AA173" s="37"/>
      <c r="AB173" s="33"/>
      <c r="AC173" s="25"/>
      <c r="AD173" s="51" t="s">
        <v>77</v>
      </c>
      <c r="AE173" s="25" t="s">
        <v>78</v>
      </c>
      <c r="AF173" s="36" t="s">
        <v>78</v>
      </c>
      <c r="AG173" s="25"/>
      <c r="AH173" s="25"/>
      <c r="AI173" s="33" t="s">
        <v>1175</v>
      </c>
      <c r="AJ173" s="36" t="s">
        <v>76</v>
      </c>
      <c r="AK173" s="25"/>
      <c r="AL173" s="78" t="s">
        <v>1451</v>
      </c>
      <c r="AM173" s="36" t="s">
        <v>77</v>
      </c>
      <c r="AN173" s="33" t="s">
        <v>468</v>
      </c>
      <c r="AO173" s="25"/>
      <c r="AP173" s="33" t="s">
        <v>1452</v>
      </c>
      <c r="AQ173" s="43" t="s">
        <v>1453</v>
      </c>
      <c r="AR173" s="33" t="s">
        <v>85</v>
      </c>
      <c r="AS173" s="20" t="s">
        <v>1454</v>
      </c>
      <c r="AT173" s="25" t="s">
        <v>472</v>
      </c>
      <c r="AU173" s="32"/>
      <c r="AV173" s="18"/>
      <c r="AW173" s="17"/>
      <c r="AX173" s="17"/>
      <c r="AY173" s="34">
        <v>7220201</v>
      </c>
      <c r="AZ173" s="33">
        <v>207</v>
      </c>
      <c r="BB173" s="17"/>
      <c r="BC173" s="43" t="s">
        <v>2224</v>
      </c>
      <c r="BD173" s="17"/>
      <c r="BM173" s="46"/>
      <c r="BN173" s="46"/>
      <c r="BO173" s="47"/>
    </row>
    <row r="174" spans="2:67" ht="24.95" customHeight="1" x14ac:dyDescent="0.25">
      <c r="B174" s="36">
        <f>SUBTOTAL(103,$M$2:M174)</f>
        <v>173</v>
      </c>
      <c r="C174" s="37" t="s">
        <v>1455</v>
      </c>
      <c r="D174" s="33" t="s">
        <v>79</v>
      </c>
      <c r="E174" s="33" t="s">
        <v>3</v>
      </c>
      <c r="F174" s="33" t="s">
        <v>34</v>
      </c>
      <c r="G174" s="33" t="s">
        <v>2675</v>
      </c>
      <c r="H174" s="33" t="s">
        <v>2677</v>
      </c>
      <c r="I174" s="33" t="s">
        <v>2515</v>
      </c>
      <c r="J174" s="33" t="s">
        <v>2502</v>
      </c>
      <c r="K174" s="25" t="s">
        <v>1456</v>
      </c>
      <c r="L174" s="25" t="s">
        <v>1457</v>
      </c>
      <c r="M174" s="38" t="s">
        <v>2225</v>
      </c>
      <c r="N174" s="33" t="s">
        <v>91</v>
      </c>
      <c r="O174" s="36">
        <v>1</v>
      </c>
      <c r="P174" s="36">
        <v>1</v>
      </c>
      <c r="Q174" s="33" t="s">
        <v>71</v>
      </c>
      <c r="R174" s="36" t="s">
        <v>2646</v>
      </c>
      <c r="S174" s="37" t="s">
        <v>2052</v>
      </c>
      <c r="T174" s="25" t="s">
        <v>8</v>
      </c>
      <c r="U174" s="33">
        <v>2025</v>
      </c>
      <c r="V174" s="33" t="s">
        <v>74</v>
      </c>
      <c r="W174" s="33" t="s">
        <v>93</v>
      </c>
      <c r="X174" s="33"/>
      <c r="Y174" s="33" t="s">
        <v>559</v>
      </c>
      <c r="Z174" s="33" t="s">
        <v>157</v>
      </c>
      <c r="AA174" s="37"/>
      <c r="AB174" s="33"/>
      <c r="AC174" s="25"/>
      <c r="AD174" s="51" t="s">
        <v>77</v>
      </c>
      <c r="AE174" s="25" t="s">
        <v>78</v>
      </c>
      <c r="AF174" s="25" t="s">
        <v>78</v>
      </c>
      <c r="AG174" s="36"/>
      <c r="AH174" s="25"/>
      <c r="AI174" s="33" t="s">
        <v>149</v>
      </c>
      <c r="AJ174" s="33" t="s">
        <v>76</v>
      </c>
      <c r="AK174" s="25"/>
      <c r="AL174" s="78" t="s">
        <v>1458</v>
      </c>
      <c r="AM174" s="36" t="s">
        <v>77</v>
      </c>
      <c r="AN174" s="33" t="s">
        <v>267</v>
      </c>
      <c r="AO174" s="25"/>
      <c r="AP174" s="33" t="s">
        <v>738</v>
      </c>
      <c r="AQ174" s="43" t="s">
        <v>1459</v>
      </c>
      <c r="AR174" s="33" t="s">
        <v>85</v>
      </c>
      <c r="AS174" s="20"/>
      <c r="AT174" s="25" t="s">
        <v>740</v>
      </c>
      <c r="AU174" s="32"/>
      <c r="AV174" s="18"/>
      <c r="AW174" s="17"/>
      <c r="AX174" s="17"/>
      <c r="AY174" s="34">
        <v>7220201</v>
      </c>
      <c r="AZ174" s="33">
        <v>208</v>
      </c>
      <c r="BB174" s="17"/>
      <c r="BC174" s="43" t="s">
        <v>2225</v>
      </c>
      <c r="BD174" s="17"/>
      <c r="BM174" s="46"/>
      <c r="BN174" s="46"/>
      <c r="BO174" s="47"/>
    </row>
    <row r="175" spans="2:67" ht="24.95" customHeight="1" x14ac:dyDescent="0.25">
      <c r="B175" s="36">
        <f>SUBTOTAL(103,$M$2:M175)</f>
        <v>174</v>
      </c>
      <c r="C175" s="37" t="s">
        <v>1460</v>
      </c>
      <c r="D175" s="33" t="s">
        <v>79</v>
      </c>
      <c r="E175" s="33" t="s">
        <v>3</v>
      </c>
      <c r="F175" s="33" t="s">
        <v>34</v>
      </c>
      <c r="G175" s="33" t="s">
        <v>2675</v>
      </c>
      <c r="H175" s="33" t="s">
        <v>2677</v>
      </c>
      <c r="I175" s="33" t="s">
        <v>2515</v>
      </c>
      <c r="J175" s="33" t="s">
        <v>2503</v>
      </c>
      <c r="K175" s="25" t="s">
        <v>759</v>
      </c>
      <c r="L175" s="25" t="s">
        <v>190</v>
      </c>
      <c r="M175" s="38" t="s">
        <v>2226</v>
      </c>
      <c r="N175" s="33" t="s">
        <v>91</v>
      </c>
      <c r="O175" s="36">
        <v>1</v>
      </c>
      <c r="P175" s="36">
        <v>1</v>
      </c>
      <c r="Q175" s="33" t="s">
        <v>71</v>
      </c>
      <c r="R175" s="36" t="s">
        <v>2646</v>
      </c>
      <c r="S175" s="37" t="s">
        <v>2052</v>
      </c>
      <c r="T175" s="25" t="s">
        <v>9</v>
      </c>
      <c r="U175" s="33">
        <v>2025</v>
      </c>
      <c r="V175" s="33" t="s">
        <v>157</v>
      </c>
      <c r="W175" s="33" t="s">
        <v>1423</v>
      </c>
      <c r="X175" s="33"/>
      <c r="Y175" s="33" t="s">
        <v>75</v>
      </c>
      <c r="Z175" s="33" t="s">
        <v>74</v>
      </c>
      <c r="AA175" s="33"/>
      <c r="AB175" s="33"/>
      <c r="AC175" s="25"/>
      <c r="AD175" s="51" t="s">
        <v>77</v>
      </c>
      <c r="AE175" s="25" t="s">
        <v>78</v>
      </c>
      <c r="AF175" s="25" t="s">
        <v>78</v>
      </c>
      <c r="AG175" s="25"/>
      <c r="AH175" s="25"/>
      <c r="AI175" s="33" t="s">
        <v>149</v>
      </c>
      <c r="AJ175" s="33" t="s">
        <v>76</v>
      </c>
      <c r="AK175" s="25"/>
      <c r="AL175" s="78" t="s">
        <v>1461</v>
      </c>
      <c r="AM175" s="36" t="s">
        <v>77</v>
      </c>
      <c r="AN175" s="33" t="s">
        <v>332</v>
      </c>
      <c r="AO175" s="25"/>
      <c r="AP175" s="33" t="s">
        <v>1462</v>
      </c>
      <c r="AQ175" s="43" t="s">
        <v>1463</v>
      </c>
      <c r="AR175" s="33" t="s">
        <v>85</v>
      </c>
      <c r="AS175" s="20"/>
      <c r="AT175" s="86" t="s">
        <v>325</v>
      </c>
      <c r="AU175" s="25"/>
      <c r="AV175" s="18"/>
      <c r="AX175" s="17"/>
      <c r="AY175" s="34">
        <v>7220201</v>
      </c>
      <c r="AZ175" s="33">
        <v>209</v>
      </c>
      <c r="BC175" s="43" t="s">
        <v>2226</v>
      </c>
    </row>
    <row r="176" spans="2:67" ht="24.95" customHeight="1" x14ac:dyDescent="0.25">
      <c r="B176" s="36">
        <f>SUBTOTAL(103,$M$2:M176)</f>
        <v>175</v>
      </c>
      <c r="C176" s="37" t="s">
        <v>1464</v>
      </c>
      <c r="D176" s="33" t="s">
        <v>79</v>
      </c>
      <c r="E176" s="33" t="s">
        <v>3</v>
      </c>
      <c r="F176" s="33" t="s">
        <v>34</v>
      </c>
      <c r="G176" s="33" t="s">
        <v>2675</v>
      </c>
      <c r="H176" s="33" t="s">
        <v>2677</v>
      </c>
      <c r="I176" s="33" t="s">
        <v>2515</v>
      </c>
      <c r="J176" s="33" t="s">
        <v>2504</v>
      </c>
      <c r="K176" s="25" t="s">
        <v>234</v>
      </c>
      <c r="L176" s="25" t="s">
        <v>443</v>
      </c>
      <c r="M176" s="38" t="s">
        <v>2087</v>
      </c>
      <c r="N176" s="33" t="s">
        <v>91</v>
      </c>
      <c r="O176" s="36">
        <v>1</v>
      </c>
      <c r="P176" s="36">
        <v>1</v>
      </c>
      <c r="Q176" s="33" t="s">
        <v>71</v>
      </c>
      <c r="R176" s="36" t="s">
        <v>2646</v>
      </c>
      <c r="S176" s="37" t="s">
        <v>2052</v>
      </c>
      <c r="T176" s="25" t="s">
        <v>202</v>
      </c>
      <c r="U176" s="33">
        <v>2014</v>
      </c>
      <c r="V176" s="36" t="s">
        <v>157</v>
      </c>
      <c r="W176" s="33" t="s">
        <v>1465</v>
      </c>
      <c r="X176" s="33"/>
      <c r="Y176" s="33" t="s">
        <v>695</v>
      </c>
      <c r="Z176" s="33" t="s">
        <v>157</v>
      </c>
      <c r="AA176" s="37"/>
      <c r="AB176" s="33"/>
      <c r="AC176" s="25"/>
      <c r="AD176" s="51" t="s">
        <v>77</v>
      </c>
      <c r="AE176" s="25" t="s">
        <v>78</v>
      </c>
      <c r="AF176" s="33" t="s">
        <v>78</v>
      </c>
      <c r="AG176" s="25"/>
      <c r="AH176" s="80"/>
      <c r="AI176" s="33" t="s">
        <v>1400</v>
      </c>
      <c r="AJ176" s="33" t="s">
        <v>76</v>
      </c>
      <c r="AK176" s="25"/>
      <c r="AL176" s="78" t="s">
        <v>1466</v>
      </c>
      <c r="AM176" s="36" t="s">
        <v>77</v>
      </c>
      <c r="AN176" s="33" t="s">
        <v>162</v>
      </c>
      <c r="AO176" s="25"/>
      <c r="AP176" s="33" t="s">
        <v>1467</v>
      </c>
      <c r="AQ176" s="43" t="s">
        <v>1468</v>
      </c>
      <c r="AR176" s="33" t="s">
        <v>85</v>
      </c>
      <c r="AS176" s="20"/>
      <c r="AT176" s="25" t="s">
        <v>145</v>
      </c>
      <c r="AU176" s="32"/>
      <c r="AV176" s="18"/>
      <c r="AW176" s="17"/>
      <c r="AX176" s="17"/>
      <c r="AY176" s="34">
        <v>7220201</v>
      </c>
      <c r="AZ176" s="33">
        <v>210</v>
      </c>
      <c r="BB176" s="17"/>
      <c r="BC176" s="43" t="s">
        <v>2087</v>
      </c>
      <c r="BD176" s="17"/>
      <c r="BM176" s="46"/>
      <c r="BN176" s="46"/>
      <c r="BO176" s="47"/>
    </row>
    <row r="177" spans="1:67" ht="24.95" customHeight="1" x14ac:dyDescent="0.25">
      <c r="B177" s="36">
        <f>SUBTOTAL(103,$M$2:M177)</f>
        <v>176</v>
      </c>
      <c r="C177" s="37" t="s">
        <v>1469</v>
      </c>
      <c r="D177" s="33" t="s">
        <v>79</v>
      </c>
      <c r="E177" s="33" t="s">
        <v>3</v>
      </c>
      <c r="F177" s="33" t="s">
        <v>34</v>
      </c>
      <c r="G177" s="33" t="s">
        <v>2675</v>
      </c>
      <c r="H177" s="33" t="s">
        <v>2677</v>
      </c>
      <c r="I177" s="33" t="s">
        <v>2515</v>
      </c>
      <c r="J177" s="33" t="s">
        <v>2505</v>
      </c>
      <c r="K177" s="25" t="s">
        <v>1470</v>
      </c>
      <c r="L177" s="25" t="s">
        <v>443</v>
      </c>
      <c r="M177" s="38" t="s">
        <v>2227</v>
      </c>
      <c r="N177" s="33" t="s">
        <v>91</v>
      </c>
      <c r="O177" s="36">
        <v>1</v>
      </c>
      <c r="P177" s="36"/>
      <c r="Q177" s="33" t="s">
        <v>71</v>
      </c>
      <c r="R177" s="36" t="s">
        <v>2646</v>
      </c>
      <c r="S177" s="37" t="s">
        <v>2052</v>
      </c>
      <c r="T177" s="25" t="s">
        <v>4</v>
      </c>
      <c r="U177" s="33">
        <v>2012</v>
      </c>
      <c r="V177" s="33" t="s">
        <v>74</v>
      </c>
      <c r="W177" s="33" t="s">
        <v>569</v>
      </c>
      <c r="X177" s="33"/>
      <c r="Y177" s="33" t="s">
        <v>352</v>
      </c>
      <c r="Z177" s="33" t="s">
        <v>74</v>
      </c>
      <c r="AA177" s="33"/>
      <c r="AB177" s="33"/>
      <c r="AC177" s="25"/>
      <c r="AD177" s="51" t="s">
        <v>77</v>
      </c>
      <c r="AE177" s="25" t="s">
        <v>78</v>
      </c>
      <c r="AF177" s="25" t="s">
        <v>78</v>
      </c>
      <c r="AG177" s="25"/>
      <c r="AH177" s="25"/>
      <c r="AI177" s="33" t="s">
        <v>127</v>
      </c>
      <c r="AJ177" s="33" t="s">
        <v>3</v>
      </c>
      <c r="AK177" s="25" t="s">
        <v>1388</v>
      </c>
      <c r="AL177" s="78" t="s">
        <v>1471</v>
      </c>
      <c r="AM177" s="36" t="s">
        <v>77</v>
      </c>
      <c r="AN177" s="33" t="s">
        <v>82</v>
      </c>
      <c r="AO177" s="25"/>
      <c r="AP177" s="33" t="s">
        <v>1472</v>
      </c>
      <c r="AQ177" s="43" t="s">
        <v>1473</v>
      </c>
      <c r="AR177" s="33" t="s">
        <v>85</v>
      </c>
      <c r="AS177" s="20"/>
      <c r="AT177" s="86"/>
      <c r="AU177" s="25"/>
      <c r="AV177" s="18"/>
      <c r="AX177" s="17"/>
      <c r="AY177" s="34">
        <v>7220201</v>
      </c>
      <c r="AZ177" s="33">
        <v>211</v>
      </c>
      <c r="BC177" s="43" t="s">
        <v>2227</v>
      </c>
    </row>
    <row r="178" spans="1:67" ht="24.95" customHeight="1" x14ac:dyDescent="0.25">
      <c r="B178" s="36">
        <f>SUBTOTAL(103,$M$2:M178)</f>
        <v>177</v>
      </c>
      <c r="C178" s="37" t="s">
        <v>1474</v>
      </c>
      <c r="D178" s="33" t="s">
        <v>79</v>
      </c>
      <c r="E178" s="33" t="s">
        <v>3</v>
      </c>
      <c r="F178" s="33" t="s">
        <v>34</v>
      </c>
      <c r="G178" s="33" t="s">
        <v>2675</v>
      </c>
      <c r="H178" s="33" t="s">
        <v>2677</v>
      </c>
      <c r="I178" s="33" t="s">
        <v>2515</v>
      </c>
      <c r="J178" s="33" t="s">
        <v>2506</v>
      </c>
      <c r="K178" s="25" t="s">
        <v>1470</v>
      </c>
      <c r="L178" s="25" t="s">
        <v>537</v>
      </c>
      <c r="M178" s="38" t="s">
        <v>2228</v>
      </c>
      <c r="N178" s="33" t="s">
        <v>91</v>
      </c>
      <c r="O178" s="36">
        <v>1</v>
      </c>
      <c r="P178" s="36">
        <v>1</v>
      </c>
      <c r="Q178" s="36" t="s">
        <v>71</v>
      </c>
      <c r="R178" s="36" t="s">
        <v>2646</v>
      </c>
      <c r="S178" s="37" t="s">
        <v>2052</v>
      </c>
      <c r="T178" s="25" t="s">
        <v>18</v>
      </c>
      <c r="U178" s="33">
        <v>2013</v>
      </c>
      <c r="V178" s="33" t="s">
        <v>74</v>
      </c>
      <c r="W178" s="33" t="s">
        <v>1475</v>
      </c>
      <c r="X178" s="33"/>
      <c r="Y178" s="33" t="s">
        <v>501</v>
      </c>
      <c r="Z178" s="33" t="s">
        <v>74</v>
      </c>
      <c r="AA178" s="37"/>
      <c r="AB178" s="33"/>
      <c r="AC178" s="25"/>
      <c r="AD178" s="51" t="s">
        <v>77</v>
      </c>
      <c r="AE178" s="25" t="s">
        <v>78</v>
      </c>
      <c r="AF178" s="33" t="s">
        <v>78</v>
      </c>
      <c r="AG178" s="33"/>
      <c r="AH178" s="80"/>
      <c r="AI178" s="33" t="s">
        <v>1148</v>
      </c>
      <c r="AJ178" s="33" t="s">
        <v>76</v>
      </c>
      <c r="AK178" s="25" t="s">
        <v>1476</v>
      </c>
      <c r="AL178" s="78" t="s">
        <v>1477</v>
      </c>
      <c r="AM178" s="36" t="s">
        <v>77</v>
      </c>
      <c r="AN178" s="37" t="s">
        <v>150</v>
      </c>
      <c r="AO178" s="37"/>
      <c r="AP178" s="37" t="s">
        <v>629</v>
      </c>
      <c r="AQ178" s="43" t="s">
        <v>1478</v>
      </c>
      <c r="AR178" s="33" t="s">
        <v>85</v>
      </c>
      <c r="AS178" s="20"/>
      <c r="AT178" s="25" t="s">
        <v>1397</v>
      </c>
      <c r="AU178" s="32"/>
      <c r="AV178" s="18"/>
      <c r="AW178" s="17"/>
      <c r="AX178" s="17"/>
      <c r="AY178" s="34">
        <v>7220201</v>
      </c>
      <c r="AZ178" s="33">
        <v>212</v>
      </c>
      <c r="BB178" s="17"/>
      <c r="BC178" s="43" t="s">
        <v>2228</v>
      </c>
      <c r="BD178" s="17"/>
      <c r="BM178" s="46"/>
      <c r="BN178" s="46"/>
      <c r="BO178" s="47"/>
    </row>
    <row r="179" spans="1:67" ht="24.95" customHeight="1" x14ac:dyDescent="0.25">
      <c r="B179" s="36">
        <f>SUBTOTAL(103,$M$2:M179)</f>
        <v>178</v>
      </c>
      <c r="C179" s="37" t="s">
        <v>1479</v>
      </c>
      <c r="D179" s="33" t="s">
        <v>79</v>
      </c>
      <c r="E179" s="33" t="s">
        <v>3</v>
      </c>
      <c r="F179" s="33" t="s">
        <v>34</v>
      </c>
      <c r="G179" s="33" t="s">
        <v>2675</v>
      </c>
      <c r="H179" s="33" t="s">
        <v>2677</v>
      </c>
      <c r="I179" s="33" t="s">
        <v>2515</v>
      </c>
      <c r="J179" s="33" t="s">
        <v>2507</v>
      </c>
      <c r="K179" s="25" t="s">
        <v>1480</v>
      </c>
      <c r="L179" s="25" t="s">
        <v>450</v>
      </c>
      <c r="M179" s="38" t="s">
        <v>2229</v>
      </c>
      <c r="N179" s="33" t="s">
        <v>91</v>
      </c>
      <c r="O179" s="36">
        <v>1</v>
      </c>
      <c r="P179" s="36"/>
      <c r="Q179" s="33" t="s">
        <v>71</v>
      </c>
      <c r="R179" s="36" t="s">
        <v>2646</v>
      </c>
      <c r="S179" s="37" t="s">
        <v>2052</v>
      </c>
      <c r="T179" s="25" t="s">
        <v>5</v>
      </c>
      <c r="U179" s="33">
        <v>2024</v>
      </c>
      <c r="V179" s="33" t="s">
        <v>74</v>
      </c>
      <c r="W179" s="33" t="s">
        <v>107</v>
      </c>
      <c r="X179" s="33" t="s">
        <v>1108</v>
      </c>
      <c r="Y179" s="33" t="s">
        <v>94</v>
      </c>
      <c r="Z179" s="33" t="s">
        <v>74</v>
      </c>
      <c r="AA179" s="33"/>
      <c r="AB179" s="33"/>
      <c r="AC179" s="25"/>
      <c r="AD179" s="51" t="s">
        <v>77</v>
      </c>
      <c r="AE179" s="25" t="s">
        <v>78</v>
      </c>
      <c r="AF179" s="25" t="s">
        <v>78</v>
      </c>
      <c r="AG179" s="25"/>
      <c r="AH179" s="25"/>
      <c r="AI179" s="33" t="s">
        <v>1481</v>
      </c>
      <c r="AJ179" s="33" t="s">
        <v>76</v>
      </c>
      <c r="AK179" s="25"/>
      <c r="AL179" s="78" t="s">
        <v>1482</v>
      </c>
      <c r="AM179" s="36" t="s">
        <v>77</v>
      </c>
      <c r="AN179" s="33" t="s">
        <v>413</v>
      </c>
      <c r="AO179" s="25"/>
      <c r="AP179" s="33" t="s">
        <v>1483</v>
      </c>
      <c r="AQ179" s="43" t="s">
        <v>1484</v>
      </c>
      <c r="AR179" s="33" t="s">
        <v>85</v>
      </c>
      <c r="AS179" s="42"/>
      <c r="AT179" s="86"/>
      <c r="AU179" s="25"/>
      <c r="AV179" s="18"/>
      <c r="AX179" s="17"/>
      <c r="AY179" s="34">
        <v>7220201</v>
      </c>
      <c r="AZ179" s="33">
        <v>213</v>
      </c>
      <c r="BC179" s="43" t="s">
        <v>2229</v>
      </c>
    </row>
    <row r="180" spans="1:67" ht="24.95" customHeight="1" x14ac:dyDescent="0.25">
      <c r="B180" s="36">
        <f>SUBTOTAL(103,$M$2:M180)</f>
        <v>179</v>
      </c>
      <c r="C180" s="37" t="s">
        <v>1485</v>
      </c>
      <c r="D180" s="33" t="s">
        <v>79</v>
      </c>
      <c r="E180" s="36" t="s">
        <v>3</v>
      </c>
      <c r="F180" s="37" t="s">
        <v>34</v>
      </c>
      <c r="G180" s="33" t="s">
        <v>2675</v>
      </c>
      <c r="H180" s="33" t="s">
        <v>2677</v>
      </c>
      <c r="I180" s="33" t="s">
        <v>2515</v>
      </c>
      <c r="J180" s="33" t="s">
        <v>2508</v>
      </c>
      <c r="K180" s="48" t="s">
        <v>234</v>
      </c>
      <c r="L180" s="49" t="s">
        <v>1486</v>
      </c>
      <c r="M180" s="50" t="s">
        <v>2230</v>
      </c>
      <c r="N180" s="37" t="s">
        <v>91</v>
      </c>
      <c r="O180" s="36">
        <v>1</v>
      </c>
      <c r="P180" s="36">
        <v>1</v>
      </c>
      <c r="Q180" s="37" t="s">
        <v>71</v>
      </c>
      <c r="R180" s="36" t="s">
        <v>2646</v>
      </c>
      <c r="S180" s="37" t="s">
        <v>2052</v>
      </c>
      <c r="T180" s="48" t="s">
        <v>202</v>
      </c>
      <c r="U180" s="37" t="s">
        <v>105</v>
      </c>
      <c r="V180" s="37" t="s">
        <v>74</v>
      </c>
      <c r="W180" s="37"/>
      <c r="X180" s="37" t="s">
        <v>1487</v>
      </c>
      <c r="Y180" s="37" t="s">
        <v>609</v>
      </c>
      <c r="Z180" s="37" t="s">
        <v>157</v>
      </c>
      <c r="AA180" s="37"/>
      <c r="AB180" s="37"/>
      <c r="AC180" s="25"/>
      <c r="AD180" s="51" t="s">
        <v>77</v>
      </c>
      <c r="AE180" s="37" t="s">
        <v>78</v>
      </c>
      <c r="AF180" s="37" t="s">
        <v>78</v>
      </c>
      <c r="AG180" s="37"/>
      <c r="AH180" s="37"/>
      <c r="AI180" s="37" t="s">
        <v>1408</v>
      </c>
      <c r="AJ180" s="37" t="s">
        <v>76</v>
      </c>
      <c r="AK180" s="37"/>
      <c r="AL180" s="87" t="s">
        <v>1488</v>
      </c>
      <c r="AM180" s="36" t="s">
        <v>77</v>
      </c>
      <c r="AN180" s="37" t="s">
        <v>217</v>
      </c>
      <c r="AO180" s="37"/>
      <c r="AP180" s="37" t="s">
        <v>1489</v>
      </c>
      <c r="AQ180" s="87" t="s">
        <v>1490</v>
      </c>
      <c r="AR180" s="37" t="s">
        <v>85</v>
      </c>
      <c r="AS180" s="20"/>
      <c r="AT180" s="25" t="s">
        <v>114</v>
      </c>
      <c r="AU180" s="45"/>
      <c r="AV180" s="18"/>
      <c r="AW180" s="17"/>
      <c r="AX180" s="17"/>
      <c r="AY180" s="34">
        <v>7220201</v>
      </c>
      <c r="AZ180" s="33">
        <v>214</v>
      </c>
      <c r="BB180" s="17"/>
      <c r="BC180" s="50" t="s">
        <v>2230</v>
      </c>
      <c r="BD180" s="17"/>
      <c r="BM180" s="46"/>
      <c r="BN180" s="46"/>
      <c r="BO180" s="47"/>
    </row>
    <row r="181" spans="1:67" ht="24.95" customHeight="1" x14ac:dyDescent="0.25">
      <c r="B181" s="36">
        <f>SUBTOTAL(103,$M$2:M181)</f>
        <v>180</v>
      </c>
      <c r="C181" s="37" t="s">
        <v>1491</v>
      </c>
      <c r="D181" s="33" t="s">
        <v>79</v>
      </c>
      <c r="E181" s="36" t="s">
        <v>3</v>
      </c>
      <c r="F181" s="36" t="s">
        <v>34</v>
      </c>
      <c r="G181" s="33" t="s">
        <v>2675</v>
      </c>
      <c r="H181" s="33" t="s">
        <v>2677</v>
      </c>
      <c r="I181" s="33" t="s">
        <v>2515</v>
      </c>
      <c r="J181" s="33" t="s">
        <v>2509</v>
      </c>
      <c r="K181" s="25" t="s">
        <v>390</v>
      </c>
      <c r="L181" s="25" t="s">
        <v>290</v>
      </c>
      <c r="M181" s="54" t="s">
        <v>2231</v>
      </c>
      <c r="N181" s="33" t="s">
        <v>91</v>
      </c>
      <c r="O181" s="36">
        <v>1</v>
      </c>
      <c r="P181" s="36">
        <v>1</v>
      </c>
      <c r="Q181" s="37" t="s">
        <v>71</v>
      </c>
      <c r="R181" s="36" t="s">
        <v>2646</v>
      </c>
      <c r="S181" s="37" t="s">
        <v>2052</v>
      </c>
      <c r="T181" s="55" t="s">
        <v>19</v>
      </c>
      <c r="U181" s="33">
        <v>2017</v>
      </c>
      <c r="V181" s="37" t="s">
        <v>74</v>
      </c>
      <c r="W181" s="36" t="s">
        <v>1315</v>
      </c>
      <c r="X181" s="36"/>
      <c r="Y181" s="33" t="s">
        <v>1096</v>
      </c>
      <c r="Z181" s="37" t="s">
        <v>74</v>
      </c>
      <c r="AA181" s="37"/>
      <c r="AB181" s="33"/>
      <c r="AC181" s="25"/>
      <c r="AD181" s="51" t="s">
        <v>77</v>
      </c>
      <c r="AE181" s="33" t="s">
        <v>78</v>
      </c>
      <c r="AF181" s="33" t="s">
        <v>78</v>
      </c>
      <c r="AG181" s="25"/>
      <c r="AH181" s="80"/>
      <c r="AI181" s="37" t="s">
        <v>1161</v>
      </c>
      <c r="AJ181" s="37" t="s">
        <v>76</v>
      </c>
      <c r="AK181" s="25"/>
      <c r="AL181" s="78" t="s">
        <v>1492</v>
      </c>
      <c r="AM181" s="36" t="s">
        <v>77</v>
      </c>
      <c r="AN181" s="37" t="s">
        <v>150</v>
      </c>
      <c r="AO181" s="37"/>
      <c r="AP181" s="33" t="s">
        <v>1493</v>
      </c>
      <c r="AQ181" s="43" t="s">
        <v>1494</v>
      </c>
      <c r="AR181" s="33" t="s">
        <v>85</v>
      </c>
      <c r="AT181" s="25" t="s">
        <v>101</v>
      </c>
      <c r="AU181" s="32"/>
      <c r="AV181" s="18"/>
      <c r="AW181" s="17"/>
      <c r="AX181" s="17"/>
      <c r="AY181" s="34">
        <v>7220201</v>
      </c>
      <c r="AZ181" s="33">
        <v>215</v>
      </c>
      <c r="BB181" s="17"/>
      <c r="BC181" s="57" t="s">
        <v>2231</v>
      </c>
      <c r="BD181" s="17"/>
      <c r="BM181" s="46"/>
      <c r="BN181" s="46"/>
      <c r="BO181" s="47"/>
    </row>
    <row r="182" spans="1:67" ht="24.95" customHeight="1" x14ac:dyDescent="0.25">
      <c r="B182" s="36">
        <f>SUBTOTAL(103,$M$2:M182)</f>
        <v>181</v>
      </c>
      <c r="C182" s="37" t="s">
        <v>1495</v>
      </c>
      <c r="D182" s="33" t="s">
        <v>79</v>
      </c>
      <c r="E182" s="33" t="s">
        <v>3</v>
      </c>
      <c r="F182" s="33" t="s">
        <v>34</v>
      </c>
      <c r="G182" s="33" t="s">
        <v>2675</v>
      </c>
      <c r="H182" s="33" t="s">
        <v>2677</v>
      </c>
      <c r="I182" s="33" t="s">
        <v>2515</v>
      </c>
      <c r="J182" s="33" t="s">
        <v>2510</v>
      </c>
      <c r="K182" s="25" t="s">
        <v>1496</v>
      </c>
      <c r="L182" s="25" t="s">
        <v>290</v>
      </c>
      <c r="M182" s="38" t="s">
        <v>2232</v>
      </c>
      <c r="N182" s="33" t="s">
        <v>70</v>
      </c>
      <c r="O182" s="33">
        <v>0</v>
      </c>
      <c r="P182" s="33">
        <v>1</v>
      </c>
      <c r="Q182" s="36" t="s">
        <v>71</v>
      </c>
      <c r="R182" s="36" t="s">
        <v>2646</v>
      </c>
      <c r="S182" s="37" t="s">
        <v>2052</v>
      </c>
      <c r="T182" s="25" t="s">
        <v>19</v>
      </c>
      <c r="U182" s="33">
        <v>2013</v>
      </c>
      <c r="V182" s="33" t="s">
        <v>74</v>
      </c>
      <c r="W182" s="33" t="s">
        <v>292</v>
      </c>
      <c r="X182" s="33"/>
      <c r="Y182" s="33"/>
      <c r="Z182" s="33"/>
      <c r="AA182" s="37"/>
      <c r="AB182" s="33"/>
      <c r="AC182" s="25"/>
      <c r="AD182" s="51" t="s">
        <v>77</v>
      </c>
      <c r="AE182" s="25" t="s">
        <v>78</v>
      </c>
      <c r="AF182" s="33"/>
      <c r="AG182" s="33"/>
      <c r="AH182" s="80"/>
      <c r="AI182" s="33" t="s">
        <v>194</v>
      </c>
      <c r="AJ182" s="33" t="s">
        <v>76</v>
      </c>
      <c r="AK182" s="25"/>
      <c r="AL182" s="107" t="s">
        <v>1497</v>
      </c>
      <c r="AM182" s="36" t="s">
        <v>77</v>
      </c>
      <c r="AN182" s="37" t="s">
        <v>468</v>
      </c>
      <c r="AO182" s="37"/>
      <c r="AP182" s="33" t="s">
        <v>764</v>
      </c>
      <c r="AQ182" s="43" t="s">
        <v>1498</v>
      </c>
      <c r="AR182" s="33" t="s">
        <v>85</v>
      </c>
      <c r="AS182" s="20" t="s">
        <v>659</v>
      </c>
      <c r="AT182" s="25" t="s">
        <v>1397</v>
      </c>
      <c r="AU182" s="32"/>
      <c r="AV182" s="18"/>
      <c r="AW182" s="17"/>
      <c r="AX182" s="17"/>
      <c r="AY182" s="34">
        <v>7220201</v>
      </c>
      <c r="AZ182" s="33">
        <v>216</v>
      </c>
      <c r="BB182" s="17"/>
      <c r="BC182" s="43" t="s">
        <v>2232</v>
      </c>
      <c r="BD182" s="17"/>
      <c r="BM182" s="46"/>
      <c r="BN182" s="46"/>
      <c r="BO182" s="47"/>
    </row>
    <row r="183" spans="1:67" ht="24.95" customHeight="1" x14ac:dyDescent="0.25">
      <c r="B183" s="36">
        <f>SUBTOTAL(103,$M$2:M183)</f>
        <v>182</v>
      </c>
      <c r="C183" s="37" t="s">
        <v>1499</v>
      </c>
      <c r="D183" s="33" t="s">
        <v>79</v>
      </c>
      <c r="E183" s="33" t="s">
        <v>3</v>
      </c>
      <c r="F183" s="33" t="s">
        <v>34</v>
      </c>
      <c r="G183" s="33" t="s">
        <v>2675</v>
      </c>
      <c r="H183" s="33" t="s">
        <v>2677</v>
      </c>
      <c r="I183" s="33" t="s">
        <v>2515</v>
      </c>
      <c r="J183" s="33" t="s">
        <v>2511</v>
      </c>
      <c r="K183" s="25" t="s">
        <v>1500</v>
      </c>
      <c r="L183" s="25" t="s">
        <v>290</v>
      </c>
      <c r="M183" s="38" t="s">
        <v>2233</v>
      </c>
      <c r="N183" s="33" t="s">
        <v>91</v>
      </c>
      <c r="O183" s="36">
        <v>1</v>
      </c>
      <c r="P183" s="36">
        <v>1</v>
      </c>
      <c r="Q183" s="33" t="s">
        <v>71</v>
      </c>
      <c r="R183" s="36" t="s">
        <v>2646</v>
      </c>
      <c r="S183" s="37" t="s">
        <v>2052</v>
      </c>
      <c r="T183" s="25" t="s">
        <v>1431</v>
      </c>
      <c r="U183" s="33">
        <v>2025</v>
      </c>
      <c r="V183" s="36" t="s">
        <v>157</v>
      </c>
      <c r="W183" s="33" t="s">
        <v>369</v>
      </c>
      <c r="X183" s="33"/>
      <c r="Y183" s="33" t="s">
        <v>1501</v>
      </c>
      <c r="Z183" s="33" t="s">
        <v>157</v>
      </c>
      <c r="AA183" s="37"/>
      <c r="AB183" s="33"/>
      <c r="AC183" s="25"/>
      <c r="AD183" s="51" t="s">
        <v>77</v>
      </c>
      <c r="AE183" s="25"/>
      <c r="AF183" s="25" t="s">
        <v>78</v>
      </c>
      <c r="AG183" s="25"/>
      <c r="AH183" s="80"/>
      <c r="AI183" s="33" t="s">
        <v>1400</v>
      </c>
      <c r="AJ183" s="33" t="s">
        <v>76</v>
      </c>
      <c r="AK183" s="25"/>
      <c r="AL183" s="78" t="s">
        <v>1502</v>
      </c>
      <c r="AM183" s="36" t="s">
        <v>77</v>
      </c>
      <c r="AN183" s="33" t="s">
        <v>150</v>
      </c>
      <c r="AO183" s="25"/>
      <c r="AP183" s="33" t="s">
        <v>1503</v>
      </c>
      <c r="AQ183" s="43" t="s">
        <v>1504</v>
      </c>
      <c r="AR183" s="33" t="s">
        <v>85</v>
      </c>
      <c r="AS183" s="20" t="s">
        <v>1505</v>
      </c>
      <c r="AT183" s="53" t="s">
        <v>145</v>
      </c>
      <c r="AU183" s="32"/>
      <c r="AV183" s="18"/>
      <c r="AW183" s="17"/>
      <c r="AX183" s="17"/>
      <c r="AY183" s="34">
        <v>7220201</v>
      </c>
      <c r="AZ183" s="33">
        <v>217</v>
      </c>
      <c r="BB183" s="17"/>
      <c r="BC183" s="43" t="s">
        <v>2233</v>
      </c>
      <c r="BD183" s="17"/>
      <c r="BM183" s="46"/>
      <c r="BN183" s="46"/>
      <c r="BO183" s="47"/>
    </row>
    <row r="184" spans="1:67" ht="24.95" customHeight="1" x14ac:dyDescent="0.25">
      <c r="B184" s="36">
        <f>SUBTOTAL(103,$M$2:M184)</f>
        <v>183</v>
      </c>
      <c r="C184" s="37" t="s">
        <v>1506</v>
      </c>
      <c r="D184" s="33" t="s">
        <v>79</v>
      </c>
      <c r="E184" s="36" t="s">
        <v>3</v>
      </c>
      <c r="F184" s="37" t="s">
        <v>34</v>
      </c>
      <c r="G184" s="33" t="s">
        <v>2675</v>
      </c>
      <c r="H184" s="33" t="s">
        <v>2677</v>
      </c>
      <c r="I184" s="33" t="s">
        <v>2515</v>
      </c>
      <c r="J184" s="33" t="s">
        <v>2512</v>
      </c>
      <c r="K184" s="48" t="s">
        <v>1507</v>
      </c>
      <c r="L184" s="49" t="s">
        <v>1508</v>
      </c>
      <c r="M184" s="50" t="s">
        <v>2234</v>
      </c>
      <c r="N184" s="37" t="s">
        <v>91</v>
      </c>
      <c r="O184" s="36">
        <v>1</v>
      </c>
      <c r="P184" s="36"/>
      <c r="Q184" s="37" t="s">
        <v>71</v>
      </c>
      <c r="R184" s="36" t="s">
        <v>2646</v>
      </c>
      <c r="S184" s="37" t="s">
        <v>2052</v>
      </c>
      <c r="T184" s="48" t="s">
        <v>1307</v>
      </c>
      <c r="U184" s="37" t="s">
        <v>1129</v>
      </c>
      <c r="V184" s="37" t="s">
        <v>257</v>
      </c>
      <c r="W184" s="37" t="s">
        <v>1509</v>
      </c>
      <c r="X184" s="37"/>
      <c r="Y184" s="37" t="s">
        <v>330</v>
      </c>
      <c r="Z184" s="37" t="s">
        <v>74</v>
      </c>
      <c r="AA184" s="37"/>
      <c r="AB184" s="37"/>
      <c r="AC184" s="25"/>
      <c r="AD184" s="51" t="s">
        <v>77</v>
      </c>
      <c r="AE184" s="37" t="s">
        <v>78</v>
      </c>
      <c r="AF184" s="37" t="s">
        <v>78</v>
      </c>
      <c r="AG184" s="37"/>
      <c r="AH184" s="37"/>
      <c r="AI184" s="37" t="s">
        <v>1181</v>
      </c>
      <c r="AJ184" s="37" t="s">
        <v>76</v>
      </c>
      <c r="AK184" s="37"/>
      <c r="AL184" s="146" t="s">
        <v>1510</v>
      </c>
      <c r="AM184" s="36" t="s">
        <v>77</v>
      </c>
      <c r="AN184" s="37" t="s">
        <v>332</v>
      </c>
      <c r="AO184" s="37"/>
      <c r="AP184" s="37" t="s">
        <v>1511</v>
      </c>
      <c r="AQ184" s="50" t="s">
        <v>1512</v>
      </c>
      <c r="AR184" s="37" t="s">
        <v>85</v>
      </c>
      <c r="AS184" s="20"/>
      <c r="AT184" s="25" t="s">
        <v>101</v>
      </c>
      <c r="AU184" s="32"/>
      <c r="AV184" s="18"/>
      <c r="AW184" s="17"/>
      <c r="AX184" s="17"/>
      <c r="AY184" s="34">
        <v>7220201</v>
      </c>
      <c r="AZ184" s="33">
        <v>218</v>
      </c>
      <c r="BB184" s="17"/>
      <c r="BC184" s="50" t="s">
        <v>2234</v>
      </c>
      <c r="BD184" s="17"/>
      <c r="BM184" s="46"/>
      <c r="BN184" s="46"/>
      <c r="BO184" s="47"/>
    </row>
    <row r="185" spans="1:67" ht="24.95" customHeight="1" x14ac:dyDescent="0.25">
      <c r="B185" s="36">
        <f>SUBTOTAL(103,$M$2:M185)</f>
        <v>184</v>
      </c>
      <c r="C185" s="37" t="s">
        <v>1513</v>
      </c>
      <c r="D185" s="33" t="s">
        <v>79</v>
      </c>
      <c r="E185" s="36" t="s">
        <v>3</v>
      </c>
      <c r="F185" s="33" t="s">
        <v>34</v>
      </c>
      <c r="G185" s="33" t="s">
        <v>2675</v>
      </c>
      <c r="H185" s="33" t="s">
        <v>2677</v>
      </c>
      <c r="I185" s="33" t="s">
        <v>2515</v>
      </c>
      <c r="J185" s="33" t="s">
        <v>2513</v>
      </c>
      <c r="K185" s="25" t="s">
        <v>1514</v>
      </c>
      <c r="L185" s="25" t="s">
        <v>1515</v>
      </c>
      <c r="M185" s="38" t="s">
        <v>2235</v>
      </c>
      <c r="N185" s="36" t="s">
        <v>91</v>
      </c>
      <c r="O185" s="36">
        <v>1</v>
      </c>
      <c r="P185" s="36">
        <v>1</v>
      </c>
      <c r="Q185" s="36" t="s">
        <v>71</v>
      </c>
      <c r="R185" s="36" t="s">
        <v>2646</v>
      </c>
      <c r="S185" s="37" t="s">
        <v>2052</v>
      </c>
      <c r="T185" s="25" t="s">
        <v>20</v>
      </c>
      <c r="U185" s="33">
        <v>2022</v>
      </c>
      <c r="V185" s="36" t="s">
        <v>74</v>
      </c>
      <c r="W185" s="33" t="s">
        <v>485</v>
      </c>
      <c r="X185" s="33" t="s">
        <v>1108</v>
      </c>
      <c r="Y185" s="33" t="s">
        <v>525</v>
      </c>
      <c r="Z185" s="37" t="s">
        <v>157</v>
      </c>
      <c r="AA185" s="37"/>
      <c r="AB185" s="33"/>
      <c r="AC185" s="25"/>
      <c r="AD185" s="51" t="s">
        <v>77</v>
      </c>
      <c r="AE185" s="33" t="s">
        <v>78</v>
      </c>
      <c r="AF185" s="33" t="s">
        <v>78</v>
      </c>
      <c r="AG185" s="25"/>
      <c r="AH185" s="80"/>
      <c r="AI185" s="37" t="s">
        <v>1516</v>
      </c>
      <c r="AJ185" s="33" t="s">
        <v>76</v>
      </c>
      <c r="AK185" s="25"/>
      <c r="AL185" s="78" t="s">
        <v>1517</v>
      </c>
      <c r="AM185" s="36" t="s">
        <v>77</v>
      </c>
      <c r="AN185" s="37" t="s">
        <v>162</v>
      </c>
      <c r="AO185" s="37"/>
      <c r="AP185" s="33" t="s">
        <v>1518</v>
      </c>
      <c r="AQ185" s="43" t="s">
        <v>1519</v>
      </c>
      <c r="AR185" s="33" t="s">
        <v>85</v>
      </c>
      <c r="AS185" s="42"/>
      <c r="AT185" s="18" t="s">
        <v>884</v>
      </c>
      <c r="AU185" s="32"/>
      <c r="AV185" s="18"/>
      <c r="AW185" s="17"/>
      <c r="AX185" s="17"/>
      <c r="AY185" s="34">
        <v>7220201</v>
      </c>
      <c r="AZ185" s="33">
        <v>219</v>
      </c>
      <c r="BB185" s="17"/>
      <c r="BC185" s="43" t="s">
        <v>2235</v>
      </c>
      <c r="BD185" s="17"/>
      <c r="BM185" s="46"/>
      <c r="BN185" s="46"/>
      <c r="BO185" s="47"/>
    </row>
    <row r="186" spans="1:67" ht="24.95" customHeight="1" x14ac:dyDescent="0.25">
      <c r="A186" s="18" t="s">
        <v>2862</v>
      </c>
      <c r="B186" s="36">
        <f>SUBTOTAL(103,$M$2:M186)</f>
        <v>185</v>
      </c>
      <c r="C186" s="33">
        <v>1</v>
      </c>
      <c r="D186" s="33" t="s">
        <v>79</v>
      </c>
      <c r="E186" s="33" t="s">
        <v>3</v>
      </c>
      <c r="F186" s="136" t="s">
        <v>34</v>
      </c>
      <c r="G186" s="33" t="s">
        <v>2675</v>
      </c>
      <c r="H186" s="33" t="s">
        <v>2677</v>
      </c>
      <c r="I186" s="33" t="s">
        <v>2515</v>
      </c>
      <c r="J186" s="36" t="s">
        <v>2873</v>
      </c>
      <c r="K186" s="84" t="s">
        <v>2030</v>
      </c>
      <c r="L186" s="84" t="s">
        <v>1923</v>
      </c>
      <c r="M186" s="54" t="s">
        <v>2769</v>
      </c>
      <c r="N186" s="36" t="s">
        <v>70</v>
      </c>
      <c r="O186" s="135">
        <v>0</v>
      </c>
      <c r="P186" s="135"/>
      <c r="Q186" s="36" t="s">
        <v>71</v>
      </c>
      <c r="R186" s="36" t="s">
        <v>2646</v>
      </c>
      <c r="S186" s="36" t="s">
        <v>2052</v>
      </c>
      <c r="T186" s="137" t="s">
        <v>23</v>
      </c>
      <c r="U186" s="36">
        <v>2008</v>
      </c>
      <c r="V186" s="36" t="s">
        <v>118</v>
      </c>
      <c r="W186" s="57" t="s">
        <v>2770</v>
      </c>
      <c r="X186" s="36"/>
      <c r="Y186" s="36"/>
      <c r="Z186" s="36"/>
      <c r="AA186" s="84"/>
      <c r="AB186" s="36"/>
      <c r="AC186" s="36" t="s">
        <v>76</v>
      </c>
      <c r="AD186" s="33" t="s">
        <v>2026</v>
      </c>
      <c r="AE186" s="84"/>
      <c r="AF186" s="84"/>
      <c r="AG186" s="138" t="s">
        <v>2771</v>
      </c>
      <c r="AH186" s="25"/>
      <c r="AI186" s="36" t="s">
        <v>2772</v>
      </c>
      <c r="AJ186" s="36"/>
      <c r="AK186" s="84"/>
      <c r="AL186" s="57" t="s">
        <v>2773</v>
      </c>
      <c r="AM186" s="36" t="s">
        <v>77</v>
      </c>
      <c r="AN186" s="36" t="s">
        <v>267</v>
      </c>
      <c r="AP186" s="36" t="s">
        <v>2774</v>
      </c>
      <c r="AQ186" s="57" t="s">
        <v>2775</v>
      </c>
      <c r="AR186" s="25"/>
      <c r="AS186" s="25"/>
      <c r="AT186" s="25"/>
      <c r="AU186" s="18"/>
      <c r="AV186" s="84" t="s">
        <v>136</v>
      </c>
      <c r="AW186" s="17"/>
      <c r="BC186" s="18"/>
      <c r="BN186" s="18"/>
      <c r="BO186" s="18"/>
    </row>
    <row r="187" spans="1:67" ht="24.95" customHeight="1" x14ac:dyDescent="0.25">
      <c r="A187" s="18" t="s">
        <v>2862</v>
      </c>
      <c r="B187" s="36">
        <f>SUBTOTAL(103,$M$2:M187)</f>
        <v>186</v>
      </c>
      <c r="C187" s="33">
        <v>2</v>
      </c>
      <c r="D187" s="33" t="s">
        <v>79</v>
      </c>
      <c r="E187" s="33" t="s">
        <v>3</v>
      </c>
      <c r="F187" s="136" t="s">
        <v>34</v>
      </c>
      <c r="G187" s="33" t="s">
        <v>2675</v>
      </c>
      <c r="H187" s="33" t="s">
        <v>2677</v>
      </c>
      <c r="I187" s="33" t="s">
        <v>2515</v>
      </c>
      <c r="J187" s="36" t="s">
        <v>2874</v>
      </c>
      <c r="K187" s="84" t="s">
        <v>2776</v>
      </c>
      <c r="L187" s="84" t="s">
        <v>319</v>
      </c>
      <c r="M187" s="54" t="s">
        <v>2777</v>
      </c>
      <c r="N187" s="36" t="s">
        <v>91</v>
      </c>
      <c r="O187" s="135">
        <v>1</v>
      </c>
      <c r="P187" s="135"/>
      <c r="Q187" s="36" t="s">
        <v>71</v>
      </c>
      <c r="R187" s="36" t="s">
        <v>2646</v>
      </c>
      <c r="S187" s="36" t="s">
        <v>2052</v>
      </c>
      <c r="T187" s="137" t="s">
        <v>202</v>
      </c>
      <c r="U187" s="36">
        <v>2024</v>
      </c>
      <c r="V187" s="36" t="s">
        <v>157</v>
      </c>
      <c r="W187" s="139">
        <v>45890</v>
      </c>
      <c r="X187" s="140">
        <v>17227</v>
      </c>
      <c r="Y187" s="139">
        <v>45875</v>
      </c>
      <c r="Z187" s="36" t="s">
        <v>157</v>
      </c>
      <c r="AA187" s="84" t="s">
        <v>2031</v>
      </c>
      <c r="AB187" s="36" t="s">
        <v>2778</v>
      </c>
      <c r="AC187" s="36" t="s">
        <v>76</v>
      </c>
      <c r="AD187" s="36" t="s">
        <v>2026</v>
      </c>
      <c r="AE187" s="84" t="s">
        <v>78</v>
      </c>
      <c r="AF187" s="84" t="s">
        <v>78</v>
      </c>
      <c r="AG187" s="138"/>
      <c r="AH187" s="25"/>
      <c r="AI187" s="36" t="s">
        <v>1175</v>
      </c>
      <c r="AJ187" s="36" t="s">
        <v>76</v>
      </c>
      <c r="AK187" s="84"/>
      <c r="AL187" s="57" t="s">
        <v>2779</v>
      </c>
      <c r="AM187" s="36" t="s">
        <v>77</v>
      </c>
      <c r="AN187" s="36" t="s">
        <v>267</v>
      </c>
      <c r="AP187" s="36" t="s">
        <v>2780</v>
      </c>
      <c r="AQ187" s="57" t="s">
        <v>2781</v>
      </c>
      <c r="AR187" s="25"/>
      <c r="AS187" s="25"/>
      <c r="AT187" s="25"/>
      <c r="AU187" s="18"/>
      <c r="AV187" s="84" t="s">
        <v>136</v>
      </c>
      <c r="AW187" s="17"/>
      <c r="BC187" s="18"/>
      <c r="BN187" s="18"/>
      <c r="BO187" s="18"/>
    </row>
    <row r="188" spans="1:67" ht="24.95" customHeight="1" x14ac:dyDescent="0.25">
      <c r="A188" s="18" t="s">
        <v>2862</v>
      </c>
      <c r="B188" s="36">
        <f>SUBTOTAL(103,$M$2:M188)</f>
        <v>187</v>
      </c>
      <c r="C188" s="33">
        <v>3</v>
      </c>
      <c r="D188" s="33" t="s">
        <v>79</v>
      </c>
      <c r="E188" s="33" t="s">
        <v>3</v>
      </c>
      <c r="F188" s="136" t="s">
        <v>34</v>
      </c>
      <c r="G188" s="33" t="s">
        <v>2675</v>
      </c>
      <c r="H188" s="33" t="s">
        <v>2677</v>
      </c>
      <c r="I188" s="33" t="s">
        <v>2515</v>
      </c>
      <c r="J188" s="36" t="s">
        <v>2875</v>
      </c>
      <c r="K188" s="84" t="s">
        <v>2782</v>
      </c>
      <c r="L188" s="84" t="s">
        <v>1414</v>
      </c>
      <c r="M188" s="54" t="s">
        <v>2783</v>
      </c>
      <c r="N188" s="36" t="s">
        <v>70</v>
      </c>
      <c r="O188" s="135">
        <v>0</v>
      </c>
      <c r="P188" s="135"/>
      <c r="Q188" s="36" t="s">
        <v>71</v>
      </c>
      <c r="R188" s="36" t="s">
        <v>2646</v>
      </c>
      <c r="S188" s="36" t="s">
        <v>2052</v>
      </c>
      <c r="T188" s="137" t="s">
        <v>2784</v>
      </c>
      <c r="U188" s="36">
        <v>2025</v>
      </c>
      <c r="V188" s="36" t="s">
        <v>1167</v>
      </c>
      <c r="W188" s="140">
        <v>13363</v>
      </c>
      <c r="X188" s="140">
        <v>23437</v>
      </c>
      <c r="Y188" s="139">
        <v>45906</v>
      </c>
      <c r="Z188" s="36" t="s">
        <v>157</v>
      </c>
      <c r="AA188" s="84" t="s">
        <v>2031</v>
      </c>
      <c r="AB188" s="36"/>
      <c r="AC188" s="36" t="s">
        <v>76</v>
      </c>
      <c r="AD188" s="19" t="s">
        <v>2026</v>
      </c>
      <c r="AE188" s="84" t="s">
        <v>78</v>
      </c>
      <c r="AF188" s="84" t="s">
        <v>78</v>
      </c>
      <c r="AG188" s="138"/>
      <c r="AH188" s="25"/>
      <c r="AI188" s="36" t="s">
        <v>1175</v>
      </c>
      <c r="AJ188" s="36" t="s">
        <v>76</v>
      </c>
      <c r="AK188" s="84"/>
      <c r="AL188" s="57" t="s">
        <v>2785</v>
      </c>
      <c r="AM188" s="36" t="s">
        <v>77</v>
      </c>
      <c r="AN188" s="36" t="s">
        <v>267</v>
      </c>
      <c r="AP188" s="36" t="s">
        <v>2786</v>
      </c>
      <c r="AQ188" s="57" t="s">
        <v>2787</v>
      </c>
      <c r="AR188" s="25"/>
      <c r="AS188" s="25"/>
      <c r="AT188" s="25"/>
      <c r="AU188" s="18"/>
      <c r="AV188" s="84" t="s">
        <v>136</v>
      </c>
      <c r="AW188" s="17"/>
      <c r="BC188" s="18"/>
      <c r="BN188" s="18"/>
      <c r="BO188" s="18"/>
    </row>
    <row r="189" spans="1:67" ht="24.95" customHeight="1" x14ac:dyDescent="0.25">
      <c r="A189" s="18" t="s">
        <v>2862</v>
      </c>
      <c r="B189" s="36">
        <f>SUBTOTAL(103,$M$2:M189)</f>
        <v>188</v>
      </c>
      <c r="C189" s="33">
        <v>1</v>
      </c>
      <c r="D189" s="33" t="s">
        <v>79</v>
      </c>
      <c r="E189" s="33" t="s">
        <v>3</v>
      </c>
      <c r="F189" s="34" t="s">
        <v>34</v>
      </c>
      <c r="G189" s="33" t="s">
        <v>2675</v>
      </c>
      <c r="H189" s="33" t="s">
        <v>2677</v>
      </c>
      <c r="I189" s="33" t="s">
        <v>2515</v>
      </c>
      <c r="J189" s="36" t="s">
        <v>2876</v>
      </c>
      <c r="K189" s="25" t="s">
        <v>234</v>
      </c>
      <c r="L189" s="25" t="s">
        <v>483</v>
      </c>
      <c r="M189" s="38" t="s">
        <v>2290</v>
      </c>
      <c r="N189" s="33" t="s">
        <v>91</v>
      </c>
      <c r="O189" s="135">
        <v>1</v>
      </c>
      <c r="P189" s="135"/>
      <c r="Q189" s="33" t="s">
        <v>71</v>
      </c>
      <c r="R189" s="36" t="s">
        <v>2646</v>
      </c>
      <c r="S189" s="36" t="s">
        <v>2052</v>
      </c>
      <c r="T189" s="125" t="s">
        <v>19</v>
      </c>
      <c r="U189" s="33">
        <v>2013</v>
      </c>
      <c r="V189" s="33" t="s">
        <v>157</v>
      </c>
      <c r="W189" s="33" t="s">
        <v>2686</v>
      </c>
      <c r="X189" s="33"/>
      <c r="Y189" s="33"/>
      <c r="Z189" s="33"/>
      <c r="AA189" s="25"/>
      <c r="AB189" s="33"/>
      <c r="AC189" s="33" t="s">
        <v>3</v>
      </c>
      <c r="AD189" s="33" t="s">
        <v>77</v>
      </c>
      <c r="AE189" s="25"/>
      <c r="AF189" s="25"/>
      <c r="AG189" s="103"/>
      <c r="AH189" s="25"/>
      <c r="AI189" s="33" t="s">
        <v>2788</v>
      </c>
      <c r="AJ189" s="33" t="s">
        <v>76</v>
      </c>
      <c r="AK189" s="25"/>
      <c r="AL189" s="43" t="s">
        <v>2789</v>
      </c>
      <c r="AM189" s="36" t="s">
        <v>77</v>
      </c>
      <c r="AN189" s="33" t="s">
        <v>141</v>
      </c>
      <c r="AP189" s="33" t="s">
        <v>1240</v>
      </c>
      <c r="AQ189" s="43" t="s">
        <v>2790</v>
      </c>
      <c r="AR189" s="25"/>
      <c r="AS189" s="25"/>
      <c r="AT189" s="25"/>
      <c r="AU189" s="18"/>
      <c r="AV189" s="84" t="s">
        <v>136</v>
      </c>
      <c r="AW189" s="17"/>
      <c r="BC189" s="18"/>
      <c r="BN189" s="18"/>
      <c r="BO189" s="18"/>
    </row>
    <row r="190" spans="1:67" ht="24.95" customHeight="1" x14ac:dyDescent="0.25">
      <c r="A190" s="18" t="s">
        <v>2862</v>
      </c>
      <c r="B190" s="36">
        <f>SUBTOTAL(103,$M$2:M190)</f>
        <v>189</v>
      </c>
      <c r="C190" s="33">
        <v>2</v>
      </c>
      <c r="D190" s="33" t="s">
        <v>79</v>
      </c>
      <c r="E190" s="33" t="s">
        <v>3</v>
      </c>
      <c r="F190" s="34" t="s">
        <v>34</v>
      </c>
      <c r="G190" s="33" t="s">
        <v>2675</v>
      </c>
      <c r="H190" s="33" t="s">
        <v>2677</v>
      </c>
      <c r="I190" s="33" t="s">
        <v>2515</v>
      </c>
      <c r="J190" s="36" t="s">
        <v>2877</v>
      </c>
      <c r="K190" s="25" t="s">
        <v>103</v>
      </c>
      <c r="L190" s="25" t="s">
        <v>358</v>
      </c>
      <c r="M190" s="38" t="s">
        <v>2791</v>
      </c>
      <c r="N190" s="33" t="s">
        <v>91</v>
      </c>
      <c r="O190" s="135">
        <v>1</v>
      </c>
      <c r="P190" s="135"/>
      <c r="Q190" s="33" t="s">
        <v>71</v>
      </c>
      <c r="R190" s="36" t="s">
        <v>2646</v>
      </c>
      <c r="S190" s="36" t="s">
        <v>2052</v>
      </c>
      <c r="T190" s="125" t="s">
        <v>19</v>
      </c>
      <c r="U190" s="33">
        <v>2016</v>
      </c>
      <c r="V190" s="33" t="s">
        <v>74</v>
      </c>
      <c r="W190" s="33" t="s">
        <v>2792</v>
      </c>
      <c r="X190" s="33"/>
      <c r="Y190" s="33" t="s">
        <v>398</v>
      </c>
      <c r="Z190" s="33" t="s">
        <v>169</v>
      </c>
      <c r="AA190" s="25"/>
      <c r="AB190" s="33"/>
      <c r="AC190" s="33" t="s">
        <v>3</v>
      </c>
      <c r="AD190" s="37" t="s">
        <v>77</v>
      </c>
      <c r="AE190" s="25" t="s">
        <v>78</v>
      </c>
      <c r="AF190" s="25" t="s">
        <v>78</v>
      </c>
      <c r="AG190" s="103"/>
      <c r="AH190" s="25"/>
      <c r="AI190" s="33" t="s">
        <v>2793</v>
      </c>
      <c r="AJ190" s="33" t="s">
        <v>76</v>
      </c>
      <c r="AK190" s="25" t="s">
        <v>2794</v>
      </c>
      <c r="AL190" s="43" t="s">
        <v>2795</v>
      </c>
      <c r="AM190" s="36" t="s">
        <v>77</v>
      </c>
      <c r="AN190" s="33" t="s">
        <v>141</v>
      </c>
      <c r="AP190" s="33" t="s">
        <v>1772</v>
      </c>
      <c r="AQ190" s="43" t="s">
        <v>2796</v>
      </c>
      <c r="AR190" s="25"/>
      <c r="AS190" s="25"/>
      <c r="AT190" s="25"/>
      <c r="AU190" s="18"/>
      <c r="AV190" s="84" t="s">
        <v>136</v>
      </c>
      <c r="AW190" s="17"/>
      <c r="BC190" s="18"/>
      <c r="BN190" s="18"/>
      <c r="BO190" s="18"/>
    </row>
    <row r="191" spans="1:67" ht="24.95" customHeight="1" x14ac:dyDescent="0.25">
      <c r="A191" s="18" t="s">
        <v>2862</v>
      </c>
      <c r="B191" s="36">
        <f>SUBTOTAL(103,$M$2:M191)</f>
        <v>190</v>
      </c>
      <c r="C191" s="33">
        <v>3</v>
      </c>
      <c r="D191" s="33" t="s">
        <v>79</v>
      </c>
      <c r="E191" s="33" t="s">
        <v>3</v>
      </c>
      <c r="F191" s="34" t="s">
        <v>34</v>
      </c>
      <c r="G191" s="33" t="s">
        <v>2675</v>
      </c>
      <c r="H191" s="33" t="s">
        <v>2677</v>
      </c>
      <c r="I191" s="33" t="s">
        <v>2515</v>
      </c>
      <c r="J191" s="36" t="s">
        <v>2878</v>
      </c>
      <c r="K191" s="25" t="s">
        <v>1560</v>
      </c>
      <c r="L191" s="25" t="s">
        <v>377</v>
      </c>
      <c r="M191" s="38" t="s">
        <v>2797</v>
      </c>
      <c r="N191" s="33" t="s">
        <v>91</v>
      </c>
      <c r="O191" s="135">
        <v>1</v>
      </c>
      <c r="P191" s="135"/>
      <c r="Q191" s="33" t="s">
        <v>71</v>
      </c>
      <c r="R191" s="36" t="s">
        <v>2646</v>
      </c>
      <c r="S191" s="36" t="s">
        <v>2052</v>
      </c>
      <c r="T191" s="125" t="s">
        <v>19</v>
      </c>
      <c r="U191" s="33">
        <v>2016</v>
      </c>
      <c r="V191" s="33" t="s">
        <v>74</v>
      </c>
      <c r="W191" s="33"/>
      <c r="X191" s="33" t="s">
        <v>1881</v>
      </c>
      <c r="Y191" s="33" t="s">
        <v>183</v>
      </c>
      <c r="Z191" s="33" t="s">
        <v>74</v>
      </c>
      <c r="AA191" s="25"/>
      <c r="AB191" s="33"/>
      <c r="AC191" s="33" t="s">
        <v>3</v>
      </c>
      <c r="AD191" s="37" t="s">
        <v>77</v>
      </c>
      <c r="AE191" s="25" t="s">
        <v>78</v>
      </c>
      <c r="AF191" s="25" t="s">
        <v>78</v>
      </c>
      <c r="AG191" s="103"/>
      <c r="AH191" s="25"/>
      <c r="AI191" s="33" t="s">
        <v>2798</v>
      </c>
      <c r="AJ191" s="33" t="s">
        <v>76</v>
      </c>
      <c r="AK191" s="25" t="s">
        <v>2799</v>
      </c>
      <c r="AL191" s="43" t="s">
        <v>2800</v>
      </c>
      <c r="AM191" s="36" t="s">
        <v>77</v>
      </c>
      <c r="AN191" s="33" t="s">
        <v>82</v>
      </c>
      <c r="AP191" s="33" t="s">
        <v>2801</v>
      </c>
      <c r="AQ191" s="43" t="s">
        <v>2802</v>
      </c>
      <c r="AR191" s="25"/>
      <c r="AS191" s="25"/>
      <c r="AT191" s="25"/>
      <c r="AU191" s="18"/>
      <c r="AV191" s="84" t="s">
        <v>136</v>
      </c>
      <c r="AW191" s="17"/>
      <c r="BC191" s="18"/>
      <c r="BN191" s="18"/>
      <c r="BO191" s="18"/>
    </row>
    <row r="192" spans="1:67" ht="24.95" customHeight="1" x14ac:dyDescent="0.25">
      <c r="A192" s="18" t="s">
        <v>2862</v>
      </c>
      <c r="B192" s="36">
        <f>SUBTOTAL(103,$M$2:M192)</f>
        <v>191</v>
      </c>
      <c r="C192" s="33">
        <v>4</v>
      </c>
      <c r="D192" s="33" t="s">
        <v>79</v>
      </c>
      <c r="E192" s="33" t="s">
        <v>3</v>
      </c>
      <c r="F192" s="34" t="s">
        <v>34</v>
      </c>
      <c r="G192" s="33" t="s">
        <v>2675</v>
      </c>
      <c r="H192" s="33" t="s">
        <v>2677</v>
      </c>
      <c r="I192" s="33" t="s">
        <v>2515</v>
      </c>
      <c r="J192" s="36" t="s">
        <v>2879</v>
      </c>
      <c r="K192" s="25" t="s">
        <v>1533</v>
      </c>
      <c r="L192" s="25" t="s">
        <v>391</v>
      </c>
      <c r="M192" s="38" t="s">
        <v>2803</v>
      </c>
      <c r="N192" s="33" t="s">
        <v>91</v>
      </c>
      <c r="O192" s="135">
        <v>1</v>
      </c>
      <c r="P192" s="135"/>
      <c r="Q192" s="33" t="s">
        <v>71</v>
      </c>
      <c r="R192" s="36" t="s">
        <v>2646</v>
      </c>
      <c r="S192" s="36" t="s">
        <v>2052</v>
      </c>
      <c r="T192" s="125" t="s">
        <v>20</v>
      </c>
      <c r="U192" s="33">
        <v>2012</v>
      </c>
      <c r="V192" s="33" t="s">
        <v>74</v>
      </c>
      <c r="W192" s="33" t="s">
        <v>1581</v>
      </c>
      <c r="X192" s="33"/>
      <c r="Y192" s="33"/>
      <c r="Z192" s="33"/>
      <c r="AA192" s="25"/>
      <c r="AB192" s="33"/>
      <c r="AC192" s="33" t="s">
        <v>3</v>
      </c>
      <c r="AD192" s="33" t="s">
        <v>77</v>
      </c>
      <c r="AE192" s="25"/>
      <c r="AF192" s="25"/>
      <c r="AG192" s="103"/>
      <c r="AH192" s="25"/>
      <c r="AI192" s="33" t="s">
        <v>2804</v>
      </c>
      <c r="AJ192" s="33" t="s">
        <v>76</v>
      </c>
      <c r="AK192" s="25"/>
      <c r="AL192" s="43" t="s">
        <v>2805</v>
      </c>
      <c r="AM192" s="36" t="s">
        <v>77</v>
      </c>
      <c r="AN192" s="33" t="s">
        <v>641</v>
      </c>
      <c r="AP192" s="33" t="s">
        <v>1968</v>
      </c>
      <c r="AQ192" s="43" t="s">
        <v>2806</v>
      </c>
      <c r="AR192" s="25"/>
      <c r="AS192" s="25"/>
      <c r="AT192" s="25"/>
      <c r="AU192" s="18"/>
      <c r="AV192" s="84" t="s">
        <v>136</v>
      </c>
      <c r="AW192" s="17"/>
      <c r="BC192" s="18"/>
      <c r="BN192" s="18"/>
      <c r="BO192" s="18"/>
    </row>
    <row r="193" spans="1:67" ht="24.95" customHeight="1" x14ac:dyDescent="0.25">
      <c r="A193" s="18" t="s">
        <v>2862</v>
      </c>
      <c r="B193" s="36">
        <f>SUBTOTAL(103,$M$2:M193)</f>
        <v>192</v>
      </c>
      <c r="C193" s="33">
        <v>5</v>
      </c>
      <c r="D193" s="33" t="s">
        <v>79</v>
      </c>
      <c r="E193" s="33" t="s">
        <v>3</v>
      </c>
      <c r="F193" s="34" t="s">
        <v>34</v>
      </c>
      <c r="G193" s="33" t="s">
        <v>2675</v>
      </c>
      <c r="H193" s="33" t="s">
        <v>2677</v>
      </c>
      <c r="I193" s="33" t="s">
        <v>2515</v>
      </c>
      <c r="J193" s="36" t="s">
        <v>2880</v>
      </c>
      <c r="K193" s="25" t="s">
        <v>1295</v>
      </c>
      <c r="L193" s="25" t="s">
        <v>1296</v>
      </c>
      <c r="M193" s="38" t="s">
        <v>2200</v>
      </c>
      <c r="N193" s="33" t="s">
        <v>70</v>
      </c>
      <c r="O193" s="135">
        <v>0</v>
      </c>
      <c r="P193" s="135"/>
      <c r="Q193" s="33" t="s">
        <v>71</v>
      </c>
      <c r="R193" s="36" t="s">
        <v>2646</v>
      </c>
      <c r="S193" s="36" t="s">
        <v>2052</v>
      </c>
      <c r="T193" s="125" t="s">
        <v>1290</v>
      </c>
      <c r="U193" s="33">
        <v>2011</v>
      </c>
      <c r="V193" s="33" t="s">
        <v>169</v>
      </c>
      <c r="W193" s="33" t="s">
        <v>1297</v>
      </c>
      <c r="X193" s="33"/>
      <c r="Y193" s="33" t="s">
        <v>330</v>
      </c>
      <c r="Z193" s="33" t="s">
        <v>74</v>
      </c>
      <c r="AA193" s="25"/>
      <c r="AB193" s="33"/>
      <c r="AC193" s="33" t="s">
        <v>3</v>
      </c>
      <c r="AD193" s="37" t="s">
        <v>77</v>
      </c>
      <c r="AE193" s="25" t="s">
        <v>78</v>
      </c>
      <c r="AF193" s="25" t="s">
        <v>78</v>
      </c>
      <c r="AG193" s="103"/>
      <c r="AH193" s="25"/>
      <c r="AI193" s="33" t="s">
        <v>127</v>
      </c>
      <c r="AJ193" s="33" t="s">
        <v>76</v>
      </c>
      <c r="AK193" s="25"/>
      <c r="AL193" s="43" t="s">
        <v>1298</v>
      </c>
      <c r="AM193" s="36" t="s">
        <v>77</v>
      </c>
      <c r="AN193" s="33" t="s">
        <v>628</v>
      </c>
      <c r="AP193" s="33" t="s">
        <v>1299</v>
      </c>
      <c r="AQ193" s="43" t="s">
        <v>1300</v>
      </c>
      <c r="AR193" s="25"/>
      <c r="AS193" s="25"/>
      <c r="AT193" s="25"/>
      <c r="AU193" s="18"/>
      <c r="AV193" s="84" t="s">
        <v>136</v>
      </c>
      <c r="AW193" s="17"/>
      <c r="BC193" s="18"/>
      <c r="BN193" s="18"/>
      <c r="BO193" s="18"/>
    </row>
    <row r="194" spans="1:67" ht="24.95" customHeight="1" x14ac:dyDescent="0.25">
      <c r="A194" s="18" t="s">
        <v>2862</v>
      </c>
      <c r="B194" s="36">
        <f>SUBTOTAL(103,$M$2:M194)</f>
        <v>193</v>
      </c>
      <c r="C194" s="33">
        <v>6</v>
      </c>
      <c r="D194" s="33" t="s">
        <v>79</v>
      </c>
      <c r="E194" s="33" t="s">
        <v>3</v>
      </c>
      <c r="F194" s="34" t="s">
        <v>34</v>
      </c>
      <c r="G194" s="33" t="s">
        <v>2675</v>
      </c>
      <c r="H194" s="33" t="s">
        <v>2677</v>
      </c>
      <c r="I194" s="33" t="s">
        <v>2515</v>
      </c>
      <c r="J194" s="36" t="s">
        <v>2881</v>
      </c>
      <c r="K194" s="25" t="s">
        <v>2807</v>
      </c>
      <c r="L194" s="25" t="s">
        <v>126</v>
      </c>
      <c r="M194" s="38" t="s">
        <v>2088</v>
      </c>
      <c r="N194" s="33" t="s">
        <v>70</v>
      </c>
      <c r="O194" s="135">
        <v>0</v>
      </c>
      <c r="P194" s="135"/>
      <c r="Q194" s="33" t="s">
        <v>71</v>
      </c>
      <c r="R194" s="36" t="s">
        <v>2646</v>
      </c>
      <c r="S194" s="36" t="s">
        <v>2052</v>
      </c>
      <c r="T194" s="125" t="s">
        <v>202</v>
      </c>
      <c r="U194" s="33">
        <v>2018</v>
      </c>
      <c r="V194" s="33" t="s">
        <v>74</v>
      </c>
      <c r="W194" s="33"/>
      <c r="X194" s="33" t="s">
        <v>1881</v>
      </c>
      <c r="Y194" s="33"/>
      <c r="Z194" s="33"/>
      <c r="AA194" s="25"/>
      <c r="AB194" s="33"/>
      <c r="AC194" s="33" t="s">
        <v>3</v>
      </c>
      <c r="AD194" s="33" t="s">
        <v>77</v>
      </c>
      <c r="AE194" s="25" t="s">
        <v>78</v>
      </c>
      <c r="AF194" s="25"/>
      <c r="AG194" s="103"/>
      <c r="AH194" s="25"/>
      <c r="AI194" s="33" t="s">
        <v>1408</v>
      </c>
      <c r="AJ194" s="33" t="s">
        <v>76</v>
      </c>
      <c r="AK194" s="25"/>
      <c r="AL194" s="43" t="s">
        <v>2808</v>
      </c>
      <c r="AM194" s="36" t="s">
        <v>77</v>
      </c>
      <c r="AN194" s="33" t="s">
        <v>2809</v>
      </c>
      <c r="AP194" s="33" t="s">
        <v>2810</v>
      </c>
      <c r="AQ194" s="43" t="s">
        <v>2811</v>
      </c>
      <c r="AR194" s="25"/>
      <c r="AS194" s="25"/>
      <c r="AT194" s="25"/>
      <c r="AU194" s="18"/>
      <c r="AV194" s="84" t="s">
        <v>136</v>
      </c>
      <c r="AW194" s="17"/>
      <c r="BC194" s="18"/>
      <c r="BN194" s="18"/>
      <c r="BO194" s="18"/>
    </row>
    <row r="195" spans="1:67" ht="24.95" customHeight="1" x14ac:dyDescent="0.25">
      <c r="A195" s="18" t="s">
        <v>2862</v>
      </c>
      <c r="B195" s="36">
        <f>SUBTOTAL(103,$M$2:M195)</f>
        <v>194</v>
      </c>
      <c r="C195" s="33">
        <v>7</v>
      </c>
      <c r="D195" s="33" t="s">
        <v>79</v>
      </c>
      <c r="E195" s="33" t="s">
        <v>3</v>
      </c>
      <c r="F195" s="34" t="s">
        <v>34</v>
      </c>
      <c r="G195" s="33" t="s">
        <v>2675</v>
      </c>
      <c r="H195" s="33" t="s">
        <v>2677</v>
      </c>
      <c r="I195" s="33" t="s">
        <v>2515</v>
      </c>
      <c r="J195" s="36" t="s">
        <v>2882</v>
      </c>
      <c r="K195" s="25" t="s">
        <v>2812</v>
      </c>
      <c r="L195" s="25" t="s">
        <v>1437</v>
      </c>
      <c r="M195" s="38" t="s">
        <v>2813</v>
      </c>
      <c r="N195" s="33" t="s">
        <v>70</v>
      </c>
      <c r="O195" s="135">
        <v>0</v>
      </c>
      <c r="P195" s="135"/>
      <c r="Q195" s="33" t="s">
        <v>71</v>
      </c>
      <c r="R195" s="36" t="s">
        <v>2646</v>
      </c>
      <c r="S195" s="36" t="s">
        <v>2052</v>
      </c>
      <c r="T195" s="125" t="s">
        <v>1344</v>
      </c>
      <c r="U195" s="33">
        <v>2010</v>
      </c>
      <c r="V195" s="33" t="s">
        <v>257</v>
      </c>
      <c r="W195" s="33" t="s">
        <v>670</v>
      </c>
      <c r="X195" s="33"/>
      <c r="Y195" s="33"/>
      <c r="Z195" s="33"/>
      <c r="AA195" s="25"/>
      <c r="AB195" s="33"/>
      <c r="AC195" s="33" t="s">
        <v>3</v>
      </c>
      <c r="AD195" s="33" t="s">
        <v>77</v>
      </c>
      <c r="AE195" s="25"/>
      <c r="AF195" s="25"/>
      <c r="AG195" s="103"/>
      <c r="AH195" s="25"/>
      <c r="AI195" s="33" t="s">
        <v>678</v>
      </c>
      <c r="AJ195" s="33" t="s">
        <v>1249</v>
      </c>
      <c r="AK195" s="25"/>
      <c r="AL195" s="43" t="s">
        <v>2814</v>
      </c>
      <c r="AM195" s="36" t="s">
        <v>77</v>
      </c>
      <c r="AN195" s="33" t="s">
        <v>628</v>
      </c>
      <c r="AP195" s="33" t="s">
        <v>629</v>
      </c>
      <c r="AQ195" s="43" t="s">
        <v>2815</v>
      </c>
      <c r="AR195" s="25"/>
      <c r="AS195" s="25"/>
      <c r="AT195" s="25"/>
      <c r="AU195" s="18"/>
      <c r="AV195" s="84" t="s">
        <v>136</v>
      </c>
      <c r="AW195" s="17"/>
      <c r="BC195" s="18"/>
      <c r="BN195" s="18"/>
      <c r="BO195" s="18"/>
    </row>
    <row r="196" spans="1:67" ht="24.95" customHeight="1" x14ac:dyDescent="0.25">
      <c r="A196" s="18" t="s">
        <v>2862</v>
      </c>
      <c r="B196" s="36">
        <f>SUBTOTAL(103,$M$2:M196)</f>
        <v>195</v>
      </c>
      <c r="C196" s="33">
        <v>8</v>
      </c>
      <c r="D196" s="33" t="s">
        <v>79</v>
      </c>
      <c r="E196" s="33" t="s">
        <v>3</v>
      </c>
      <c r="F196" s="34" t="s">
        <v>34</v>
      </c>
      <c r="G196" s="33" t="s">
        <v>2675</v>
      </c>
      <c r="H196" s="33" t="s">
        <v>2677</v>
      </c>
      <c r="I196" s="33" t="s">
        <v>2515</v>
      </c>
      <c r="J196" s="36" t="s">
        <v>2883</v>
      </c>
      <c r="K196" s="25" t="s">
        <v>2816</v>
      </c>
      <c r="L196" s="25" t="s">
        <v>2817</v>
      </c>
      <c r="M196" s="38" t="s">
        <v>2818</v>
      </c>
      <c r="N196" s="33" t="s">
        <v>91</v>
      </c>
      <c r="O196" s="135">
        <v>1</v>
      </c>
      <c r="P196" s="135">
        <v>1</v>
      </c>
      <c r="Q196" s="33" t="s">
        <v>71</v>
      </c>
      <c r="R196" s="36" t="s">
        <v>2646</v>
      </c>
      <c r="S196" s="36" t="s">
        <v>2052</v>
      </c>
      <c r="T196" s="125" t="s">
        <v>2683</v>
      </c>
      <c r="U196" s="33">
        <v>2020</v>
      </c>
      <c r="V196" s="33" t="s">
        <v>1167</v>
      </c>
      <c r="W196" s="33" t="s">
        <v>2819</v>
      </c>
      <c r="X196" s="33"/>
      <c r="Y196" s="33" t="s">
        <v>525</v>
      </c>
      <c r="Z196" s="33" t="s">
        <v>157</v>
      </c>
      <c r="AA196" s="25"/>
      <c r="AB196" s="33"/>
      <c r="AC196" s="33" t="s">
        <v>3</v>
      </c>
      <c r="AD196" s="37" t="s">
        <v>77</v>
      </c>
      <c r="AE196" s="25"/>
      <c r="AF196" s="25" t="s">
        <v>78</v>
      </c>
      <c r="AG196" s="103"/>
      <c r="AH196" s="25"/>
      <c r="AI196" s="33" t="s">
        <v>149</v>
      </c>
      <c r="AJ196" s="33" t="s">
        <v>76</v>
      </c>
      <c r="AK196" s="25"/>
      <c r="AL196" s="43" t="s">
        <v>2820</v>
      </c>
      <c r="AM196" s="36" t="s">
        <v>77</v>
      </c>
      <c r="AN196" s="33" t="s">
        <v>286</v>
      </c>
      <c r="AP196" s="33" t="s">
        <v>799</v>
      </c>
      <c r="AQ196" s="43" t="s">
        <v>2821</v>
      </c>
      <c r="AR196" s="25"/>
      <c r="AS196" s="25"/>
      <c r="AT196" s="25"/>
      <c r="AU196" s="18"/>
      <c r="AV196" s="84" t="s">
        <v>136</v>
      </c>
      <c r="AW196" s="17"/>
    </row>
    <row r="197" spans="1:67" ht="24.95" customHeight="1" x14ac:dyDescent="0.25">
      <c r="B197" s="36">
        <f>SUBTOTAL(103,$M$2:M197)</f>
        <v>196</v>
      </c>
      <c r="C197" s="33"/>
      <c r="D197" s="36" t="s">
        <v>79</v>
      </c>
      <c r="E197" s="36" t="s">
        <v>3</v>
      </c>
      <c r="F197" s="36" t="s">
        <v>34</v>
      </c>
      <c r="G197" s="36" t="s">
        <v>2675</v>
      </c>
      <c r="H197" s="36" t="s">
        <v>2677</v>
      </c>
      <c r="I197" s="36" t="s">
        <v>2515</v>
      </c>
      <c r="J197" s="36" t="s">
        <v>2967</v>
      </c>
      <c r="K197" s="84" t="s">
        <v>2903</v>
      </c>
      <c r="L197" s="84" t="s">
        <v>507</v>
      </c>
      <c r="M197" s="54" t="s">
        <v>2904</v>
      </c>
      <c r="N197" s="36" t="s">
        <v>91</v>
      </c>
      <c r="O197" s="36">
        <v>1</v>
      </c>
      <c r="P197" s="36"/>
      <c r="Q197" s="36" t="s">
        <v>71</v>
      </c>
      <c r="R197" s="36" t="s">
        <v>2646</v>
      </c>
      <c r="S197" s="71" t="s">
        <v>2052</v>
      </c>
      <c r="T197" s="36" t="s">
        <v>13</v>
      </c>
      <c r="U197" s="36">
        <v>2025</v>
      </c>
      <c r="V197" s="36" t="s">
        <v>157</v>
      </c>
      <c r="W197" s="36" t="s">
        <v>1338</v>
      </c>
      <c r="X197" s="36"/>
      <c r="Y197" s="36" t="s">
        <v>695</v>
      </c>
      <c r="Z197" s="36" t="s">
        <v>157</v>
      </c>
      <c r="AA197" s="36"/>
      <c r="AB197" s="36"/>
      <c r="AC197" s="25"/>
      <c r="AD197" s="36" t="s">
        <v>77</v>
      </c>
      <c r="AE197" s="84" t="s">
        <v>78</v>
      </c>
      <c r="AF197" s="64"/>
      <c r="AG197" s="36"/>
      <c r="AH197" s="84"/>
      <c r="AI197" s="36" t="s">
        <v>149</v>
      </c>
      <c r="AJ197" s="36" t="s">
        <v>76</v>
      </c>
      <c r="AK197" s="64"/>
      <c r="AL197" s="57" t="s">
        <v>2925</v>
      </c>
      <c r="AM197" s="36" t="s">
        <v>77</v>
      </c>
      <c r="AN197" s="36" t="s">
        <v>2689</v>
      </c>
      <c r="AO197" s="33"/>
      <c r="AP197" s="36" t="s">
        <v>2926</v>
      </c>
      <c r="AQ197" s="57" t="s">
        <v>2927</v>
      </c>
    </row>
    <row r="198" spans="1:67" ht="24.95" customHeight="1" x14ac:dyDescent="0.25">
      <c r="B198" s="36">
        <f>SUBTOTAL(103,$M$2:M198)</f>
        <v>197</v>
      </c>
      <c r="C198" s="33"/>
      <c r="D198" s="36" t="s">
        <v>79</v>
      </c>
      <c r="E198" s="36" t="s">
        <v>3</v>
      </c>
      <c r="F198" s="36" t="s">
        <v>34</v>
      </c>
      <c r="G198" s="36" t="s">
        <v>2675</v>
      </c>
      <c r="H198" s="36" t="s">
        <v>2677</v>
      </c>
      <c r="I198" s="36" t="s">
        <v>2515</v>
      </c>
      <c r="J198" s="36" t="s">
        <v>2968</v>
      </c>
      <c r="K198" s="84" t="s">
        <v>2905</v>
      </c>
      <c r="L198" s="84" t="s">
        <v>608</v>
      </c>
      <c r="M198" s="54" t="s">
        <v>2906</v>
      </c>
      <c r="N198" s="36" t="s">
        <v>91</v>
      </c>
      <c r="O198" s="36">
        <v>1</v>
      </c>
      <c r="P198" s="36"/>
      <c r="Q198" s="36" t="s">
        <v>359</v>
      </c>
      <c r="R198" s="36" t="s">
        <v>2646</v>
      </c>
      <c r="S198" s="71" t="s">
        <v>2052</v>
      </c>
      <c r="T198" s="36" t="s">
        <v>13</v>
      </c>
      <c r="U198" s="36">
        <v>2025</v>
      </c>
      <c r="V198" s="36" t="s">
        <v>157</v>
      </c>
      <c r="W198" s="36" t="s">
        <v>1444</v>
      </c>
      <c r="X198" s="36"/>
      <c r="Y198" s="36" t="s">
        <v>107</v>
      </c>
      <c r="Z198" s="36" t="s">
        <v>74</v>
      </c>
      <c r="AA198" s="36"/>
      <c r="AB198" s="36"/>
      <c r="AC198" s="25"/>
      <c r="AD198" s="36" t="s">
        <v>77</v>
      </c>
      <c r="AE198" s="84" t="s">
        <v>78</v>
      </c>
      <c r="AF198" s="64"/>
      <c r="AG198" s="36"/>
      <c r="AH198" s="84"/>
      <c r="AI198" s="36" t="s">
        <v>149</v>
      </c>
      <c r="AJ198" s="36" t="s">
        <v>76</v>
      </c>
      <c r="AK198" s="64"/>
      <c r="AL198" s="57" t="s">
        <v>2928</v>
      </c>
      <c r="AM198" s="36" t="s">
        <v>77</v>
      </c>
      <c r="AN198" s="84" t="s">
        <v>2929</v>
      </c>
      <c r="AO198" s="33"/>
      <c r="AP198" s="36" t="s">
        <v>2930</v>
      </c>
      <c r="AQ198" s="57" t="s">
        <v>2931</v>
      </c>
    </row>
    <row r="199" spans="1:67" ht="24.95" customHeight="1" x14ac:dyDescent="0.25">
      <c r="B199" s="36">
        <f>SUBTOTAL(103,$M$2:M199)</f>
        <v>198</v>
      </c>
      <c r="C199" s="33"/>
      <c r="D199" s="36" t="s">
        <v>79</v>
      </c>
      <c r="E199" s="36" t="s">
        <v>3</v>
      </c>
      <c r="F199" s="36" t="s">
        <v>34</v>
      </c>
      <c r="G199" s="36" t="s">
        <v>2675</v>
      </c>
      <c r="H199" s="36" t="s">
        <v>2677</v>
      </c>
      <c r="I199" s="36" t="s">
        <v>2515</v>
      </c>
      <c r="J199" s="36" t="s">
        <v>2969</v>
      </c>
      <c r="K199" s="84" t="s">
        <v>2907</v>
      </c>
      <c r="L199" s="84" t="s">
        <v>2908</v>
      </c>
      <c r="M199" s="54" t="s">
        <v>2909</v>
      </c>
      <c r="N199" s="36" t="s">
        <v>91</v>
      </c>
      <c r="O199" s="36">
        <v>1</v>
      </c>
      <c r="P199" s="36"/>
      <c r="Q199" s="36" t="s">
        <v>71</v>
      </c>
      <c r="R199" s="36" t="s">
        <v>2646</v>
      </c>
      <c r="S199" s="71" t="s">
        <v>2052</v>
      </c>
      <c r="T199" s="36" t="s">
        <v>7</v>
      </c>
      <c r="U199" s="36">
        <v>2025</v>
      </c>
      <c r="V199" s="36" t="s">
        <v>1167</v>
      </c>
      <c r="W199" s="36" t="s">
        <v>2922</v>
      </c>
      <c r="X199" s="36"/>
      <c r="Y199" s="36"/>
      <c r="Z199" s="36"/>
      <c r="AA199" s="36"/>
      <c r="AB199" s="36"/>
      <c r="AC199" s="25"/>
      <c r="AD199" s="36" t="s">
        <v>77</v>
      </c>
      <c r="AE199" s="84" t="s">
        <v>78</v>
      </c>
      <c r="AF199" s="84"/>
      <c r="AG199" s="84"/>
      <c r="AH199" s="84"/>
      <c r="AI199" s="36" t="s">
        <v>2932</v>
      </c>
      <c r="AJ199" s="36" t="s">
        <v>76</v>
      </c>
      <c r="AK199" s="64"/>
      <c r="AL199" s="57" t="s">
        <v>2933</v>
      </c>
      <c r="AM199" s="36" t="s">
        <v>77</v>
      </c>
      <c r="AN199" s="84" t="s">
        <v>2934</v>
      </c>
      <c r="AO199" s="33"/>
      <c r="AP199" s="36" t="s">
        <v>2935</v>
      </c>
      <c r="AQ199" s="57" t="s">
        <v>2936</v>
      </c>
    </row>
    <row r="200" spans="1:67" s="141" customFormat="1" ht="24.95" customHeight="1" x14ac:dyDescent="0.25">
      <c r="A200" s="18"/>
      <c r="B200" s="36">
        <f>SUBTOTAL(103,$M$2:M200)</f>
        <v>199</v>
      </c>
      <c r="C200" s="37" t="s">
        <v>1520</v>
      </c>
      <c r="D200" s="33" t="s">
        <v>79</v>
      </c>
      <c r="E200" s="33" t="s">
        <v>3</v>
      </c>
      <c r="F200" s="33" t="s">
        <v>557</v>
      </c>
      <c r="G200" s="33" t="s">
        <v>2675</v>
      </c>
      <c r="H200" s="33" t="s">
        <v>2677</v>
      </c>
      <c r="I200" s="33" t="s">
        <v>2515</v>
      </c>
      <c r="J200" s="33" t="s">
        <v>2514</v>
      </c>
      <c r="K200" s="25" t="s">
        <v>1521</v>
      </c>
      <c r="L200" s="25" t="s">
        <v>474</v>
      </c>
      <c r="M200" s="38" t="s">
        <v>2236</v>
      </c>
      <c r="N200" s="33" t="s">
        <v>91</v>
      </c>
      <c r="O200" s="36">
        <v>1</v>
      </c>
      <c r="P200" s="36">
        <v>1</v>
      </c>
      <c r="Q200" s="33" t="s">
        <v>71</v>
      </c>
      <c r="R200" s="36" t="s">
        <v>2646</v>
      </c>
      <c r="S200" s="37" t="s">
        <v>2052</v>
      </c>
      <c r="T200" s="25"/>
      <c r="U200" s="33">
        <v>2014</v>
      </c>
      <c r="V200" s="33"/>
      <c r="W200" s="33"/>
      <c r="X200" s="33"/>
      <c r="Y200" s="33" t="s">
        <v>107</v>
      </c>
      <c r="Z200" s="33" t="s">
        <v>74</v>
      </c>
      <c r="AA200" s="37" t="s">
        <v>1522</v>
      </c>
      <c r="AB200" s="33">
        <v>22.97</v>
      </c>
      <c r="AC200" s="25"/>
      <c r="AD200" s="51" t="s">
        <v>77</v>
      </c>
      <c r="AE200" s="25" t="s">
        <v>78</v>
      </c>
      <c r="AF200" s="25" t="s">
        <v>78</v>
      </c>
      <c r="AG200" s="25"/>
      <c r="AH200" s="25"/>
      <c r="AI200" s="33" t="s">
        <v>1523</v>
      </c>
      <c r="AJ200" s="33"/>
      <c r="AK200" s="25"/>
      <c r="AL200" s="78" t="s">
        <v>1524</v>
      </c>
      <c r="AM200" s="36" t="s">
        <v>77</v>
      </c>
      <c r="AN200" s="33" t="s">
        <v>332</v>
      </c>
      <c r="AO200" s="25"/>
      <c r="AP200" s="33" t="s">
        <v>1525</v>
      </c>
      <c r="AQ200" s="43" t="s">
        <v>1526</v>
      </c>
      <c r="AR200" s="33" t="s">
        <v>85</v>
      </c>
      <c r="AS200" s="42"/>
      <c r="AT200" s="20" t="s">
        <v>1191</v>
      </c>
      <c r="AU200" s="25"/>
      <c r="AV200" s="18"/>
      <c r="AX200" s="145"/>
      <c r="AY200" s="143">
        <v>7220201</v>
      </c>
      <c r="AZ200" s="142">
        <v>220</v>
      </c>
      <c r="BC200" s="144" t="s">
        <v>2236</v>
      </c>
      <c r="BN200" s="145"/>
      <c r="BO200" s="145"/>
    </row>
    <row r="201" spans="1:67" ht="24.95" customHeight="1" x14ac:dyDescent="0.25">
      <c r="B201" s="36">
        <f>SUBTOTAL(103,$M$2:M201)</f>
        <v>200</v>
      </c>
      <c r="C201" s="37" t="s">
        <v>67</v>
      </c>
      <c r="D201" s="33" t="s">
        <v>79</v>
      </c>
      <c r="E201" s="33" t="s">
        <v>3</v>
      </c>
      <c r="F201" s="33" t="s">
        <v>34</v>
      </c>
      <c r="G201" s="33" t="s">
        <v>2675</v>
      </c>
      <c r="H201" s="33" t="s">
        <v>2677</v>
      </c>
      <c r="I201" s="33" t="s">
        <v>2516</v>
      </c>
      <c r="J201" s="33" t="s">
        <v>2517</v>
      </c>
      <c r="K201" s="25" t="s">
        <v>357</v>
      </c>
      <c r="L201" s="25" t="s">
        <v>358</v>
      </c>
      <c r="M201" s="38" t="s">
        <v>2090</v>
      </c>
      <c r="N201" s="33" t="s">
        <v>91</v>
      </c>
      <c r="O201" s="36">
        <v>1</v>
      </c>
      <c r="P201" s="36"/>
      <c r="Q201" s="36" t="s">
        <v>71</v>
      </c>
      <c r="R201" s="33" t="s">
        <v>2647</v>
      </c>
      <c r="S201" s="33" t="s">
        <v>2049</v>
      </c>
      <c r="T201" s="25" t="s">
        <v>1527</v>
      </c>
      <c r="U201" s="33">
        <v>2016</v>
      </c>
      <c r="V201" s="36" t="s">
        <v>74</v>
      </c>
      <c r="W201" s="33"/>
      <c r="X201" s="33" t="s">
        <v>1528</v>
      </c>
      <c r="Y201" s="33" t="s">
        <v>1096</v>
      </c>
      <c r="Z201" s="37" t="s">
        <v>74</v>
      </c>
      <c r="AA201" s="37"/>
      <c r="AB201" s="33"/>
      <c r="AC201" s="25"/>
      <c r="AD201" s="51" t="s">
        <v>77</v>
      </c>
      <c r="AE201" s="25" t="s">
        <v>78</v>
      </c>
      <c r="AF201" s="33" t="s">
        <v>78</v>
      </c>
      <c r="AG201" s="33"/>
      <c r="AH201" s="80"/>
      <c r="AI201" s="37" t="s">
        <v>1529</v>
      </c>
      <c r="AJ201" s="33" t="s">
        <v>76</v>
      </c>
      <c r="AK201" s="25"/>
      <c r="AL201" s="78" t="s">
        <v>1530</v>
      </c>
      <c r="AM201" s="33" t="s">
        <v>77</v>
      </c>
      <c r="AN201" s="33" t="s">
        <v>150</v>
      </c>
      <c r="AO201" s="42"/>
      <c r="AP201" s="33" t="s">
        <v>1531</v>
      </c>
      <c r="AQ201" s="43" t="s">
        <v>1532</v>
      </c>
      <c r="AR201" s="33" t="s">
        <v>85</v>
      </c>
      <c r="AS201" s="42"/>
      <c r="AT201" s="18" t="s">
        <v>198</v>
      </c>
      <c r="AU201" s="32"/>
      <c r="AV201" s="18"/>
      <c r="AW201" s="17"/>
      <c r="AX201" s="17"/>
      <c r="AY201" s="34">
        <v>7310401</v>
      </c>
      <c r="AZ201" s="33">
        <v>222</v>
      </c>
      <c r="BB201" s="17"/>
      <c r="BC201" s="43" t="s">
        <v>2090</v>
      </c>
      <c r="BD201" s="17"/>
      <c r="BM201" s="46"/>
      <c r="BN201" s="46"/>
      <c r="BO201" s="47"/>
    </row>
    <row r="202" spans="1:67" ht="24.95" customHeight="1" x14ac:dyDescent="0.25">
      <c r="B202" s="36">
        <f>SUBTOTAL(103,$M$2:M202)</f>
        <v>201</v>
      </c>
      <c r="C202" s="37" t="s">
        <v>88</v>
      </c>
      <c r="D202" s="33" t="s">
        <v>79</v>
      </c>
      <c r="E202" s="33" t="s">
        <v>3</v>
      </c>
      <c r="F202" s="33" t="s">
        <v>34</v>
      </c>
      <c r="G202" s="33" t="s">
        <v>2675</v>
      </c>
      <c r="H202" s="33" t="s">
        <v>2677</v>
      </c>
      <c r="I202" s="33" t="s">
        <v>2516</v>
      </c>
      <c r="J202" s="33" t="s">
        <v>2518</v>
      </c>
      <c r="K202" s="25" t="s">
        <v>1533</v>
      </c>
      <c r="L202" s="25" t="s">
        <v>1534</v>
      </c>
      <c r="M202" s="38" t="s">
        <v>2237</v>
      </c>
      <c r="N202" s="33" t="s">
        <v>91</v>
      </c>
      <c r="O202" s="36">
        <v>1</v>
      </c>
      <c r="P202" s="36"/>
      <c r="Q202" s="33" t="s">
        <v>71</v>
      </c>
      <c r="R202" s="33" t="s">
        <v>2647</v>
      </c>
      <c r="S202" s="33" t="s">
        <v>2049</v>
      </c>
      <c r="T202" s="25" t="s">
        <v>1431</v>
      </c>
      <c r="U202" s="33">
        <v>2024</v>
      </c>
      <c r="V202" s="33" t="s">
        <v>74</v>
      </c>
      <c r="W202" s="33" t="s">
        <v>282</v>
      </c>
      <c r="X202" s="33" t="s">
        <v>1535</v>
      </c>
      <c r="Y202" s="33" t="s">
        <v>1096</v>
      </c>
      <c r="Z202" s="33" t="s">
        <v>74</v>
      </c>
      <c r="AA202" s="37"/>
      <c r="AB202" s="33"/>
      <c r="AC202" s="25"/>
      <c r="AD202" s="51" t="s">
        <v>77</v>
      </c>
      <c r="AE202" s="25" t="s">
        <v>78</v>
      </c>
      <c r="AF202" s="25" t="s">
        <v>78</v>
      </c>
      <c r="AG202" s="25"/>
      <c r="AH202" s="80"/>
      <c r="AI202" s="37" t="s">
        <v>149</v>
      </c>
      <c r="AJ202" s="33" t="s">
        <v>76</v>
      </c>
      <c r="AK202" s="25"/>
      <c r="AL202" s="78" t="s">
        <v>1536</v>
      </c>
      <c r="AM202" s="36" t="s">
        <v>77</v>
      </c>
      <c r="AN202" s="33" t="s">
        <v>150</v>
      </c>
      <c r="AO202" s="25"/>
      <c r="AP202" s="33" t="s">
        <v>1201</v>
      </c>
      <c r="AQ202" s="43" t="s">
        <v>1537</v>
      </c>
      <c r="AR202" s="33" t="s">
        <v>85</v>
      </c>
      <c r="AS202" s="42"/>
      <c r="AT202" s="58" t="s">
        <v>1046</v>
      </c>
      <c r="AU202" s="32"/>
      <c r="AV202" s="18"/>
      <c r="AW202" s="17"/>
      <c r="AX202" s="17"/>
      <c r="AY202" s="34">
        <v>7310401</v>
      </c>
      <c r="AZ202" s="33">
        <v>223</v>
      </c>
      <c r="BB202" s="17"/>
      <c r="BC202" s="43" t="s">
        <v>2237</v>
      </c>
      <c r="BD202" s="17"/>
      <c r="BM202" s="46"/>
      <c r="BN202" s="46"/>
      <c r="BO202" s="47"/>
    </row>
    <row r="203" spans="1:67" ht="24.95" customHeight="1" x14ac:dyDescent="0.25">
      <c r="B203" s="36">
        <f>SUBTOTAL(103,$M$2:M203)</f>
        <v>202</v>
      </c>
      <c r="C203" s="37" t="s">
        <v>102</v>
      </c>
      <c r="D203" s="33" t="s">
        <v>79</v>
      </c>
      <c r="E203" s="33" t="s">
        <v>3</v>
      </c>
      <c r="F203" s="33" t="s">
        <v>34</v>
      </c>
      <c r="G203" s="33" t="s">
        <v>2675</v>
      </c>
      <c r="H203" s="33" t="s">
        <v>2677</v>
      </c>
      <c r="I203" s="33" t="s">
        <v>2516</v>
      </c>
      <c r="J203" s="33" t="s">
        <v>2519</v>
      </c>
      <c r="K203" s="25" t="s">
        <v>1538</v>
      </c>
      <c r="L203" s="25" t="s">
        <v>1539</v>
      </c>
      <c r="M203" s="38" t="s">
        <v>2238</v>
      </c>
      <c r="N203" s="33" t="s">
        <v>91</v>
      </c>
      <c r="O203" s="36">
        <v>1</v>
      </c>
      <c r="P203" s="36"/>
      <c r="Q203" s="33" t="s">
        <v>71</v>
      </c>
      <c r="R203" s="33" t="s">
        <v>2647</v>
      </c>
      <c r="S203" s="33" t="s">
        <v>2049</v>
      </c>
      <c r="T203" s="25" t="s">
        <v>669</v>
      </c>
      <c r="U203" s="33">
        <v>2005</v>
      </c>
      <c r="V203" s="33" t="s">
        <v>74</v>
      </c>
      <c r="W203" s="33" t="s">
        <v>1540</v>
      </c>
      <c r="X203" s="33"/>
      <c r="Y203" s="33"/>
      <c r="Z203" s="33"/>
      <c r="AA203" s="33"/>
      <c r="AB203" s="33"/>
      <c r="AC203" s="25"/>
      <c r="AD203" s="51" t="s">
        <v>77</v>
      </c>
      <c r="AE203" s="25"/>
      <c r="AF203" s="25"/>
      <c r="AG203" s="25"/>
      <c r="AH203" s="25"/>
      <c r="AI203" s="33" t="s">
        <v>127</v>
      </c>
      <c r="AJ203" s="33" t="s">
        <v>76</v>
      </c>
      <c r="AK203" s="25"/>
      <c r="AL203" s="101" t="s">
        <v>1541</v>
      </c>
      <c r="AM203" s="83" t="s">
        <v>77</v>
      </c>
      <c r="AN203" s="40" t="s">
        <v>401</v>
      </c>
      <c r="AO203" s="62"/>
      <c r="AP203" s="40" t="s">
        <v>1542</v>
      </c>
      <c r="AQ203" s="82" t="s">
        <v>1543</v>
      </c>
      <c r="AR203" s="40" t="s">
        <v>85</v>
      </c>
      <c r="AS203" s="73"/>
      <c r="AT203" s="18" t="s">
        <v>188</v>
      </c>
      <c r="AU203" s="126"/>
      <c r="AV203" s="18"/>
      <c r="AW203" s="17"/>
      <c r="AX203" s="17"/>
      <c r="AY203" s="34">
        <v>7310401</v>
      </c>
      <c r="AZ203" s="33">
        <v>224</v>
      </c>
      <c r="BB203" s="17"/>
      <c r="BC203" s="43" t="s">
        <v>2238</v>
      </c>
      <c r="BD203" s="17"/>
      <c r="BM203" s="46"/>
      <c r="BN203" s="46"/>
      <c r="BO203" s="47"/>
    </row>
    <row r="204" spans="1:67" ht="24.95" customHeight="1" x14ac:dyDescent="0.25">
      <c r="B204" s="36">
        <f>SUBTOTAL(103,$M$2:M204)</f>
        <v>203</v>
      </c>
      <c r="C204" s="37" t="s">
        <v>115</v>
      </c>
      <c r="D204" s="33" t="s">
        <v>79</v>
      </c>
      <c r="E204" s="36" t="s">
        <v>3</v>
      </c>
      <c r="F204" s="33" t="s">
        <v>34</v>
      </c>
      <c r="G204" s="33" t="s">
        <v>2675</v>
      </c>
      <c r="H204" s="33" t="s">
        <v>2677</v>
      </c>
      <c r="I204" s="33" t="s">
        <v>2516</v>
      </c>
      <c r="J204" s="33" t="s">
        <v>2520</v>
      </c>
      <c r="K204" s="25" t="s">
        <v>338</v>
      </c>
      <c r="L204" s="25" t="s">
        <v>474</v>
      </c>
      <c r="M204" s="38" t="s">
        <v>2239</v>
      </c>
      <c r="N204" s="33" t="s">
        <v>91</v>
      </c>
      <c r="O204" s="36">
        <v>1</v>
      </c>
      <c r="P204" s="36">
        <v>1</v>
      </c>
      <c r="Q204" s="36" t="s">
        <v>71</v>
      </c>
      <c r="R204" s="33" t="s">
        <v>2647</v>
      </c>
      <c r="S204" s="33" t="s">
        <v>2049</v>
      </c>
      <c r="T204" s="25" t="s">
        <v>1544</v>
      </c>
      <c r="U204" s="33">
        <v>2015</v>
      </c>
      <c r="V204" s="36" t="s">
        <v>257</v>
      </c>
      <c r="W204" s="33" t="s">
        <v>599</v>
      </c>
      <c r="X204" s="33"/>
      <c r="Y204" s="33"/>
      <c r="Z204" s="33"/>
      <c r="AA204" s="37"/>
      <c r="AB204" s="33"/>
      <c r="AC204" s="25"/>
      <c r="AD204" s="51" t="s">
        <v>77</v>
      </c>
      <c r="AE204" s="25" t="s">
        <v>78</v>
      </c>
      <c r="AF204" s="33"/>
      <c r="AG204" s="25"/>
      <c r="AH204" s="80"/>
      <c r="AI204" s="33" t="s">
        <v>1154</v>
      </c>
      <c r="AJ204" s="33" t="s">
        <v>76</v>
      </c>
      <c r="AK204" s="25"/>
      <c r="AL204" s="78" t="s">
        <v>1545</v>
      </c>
      <c r="AM204" s="36" t="s">
        <v>77</v>
      </c>
      <c r="AN204" s="37" t="s">
        <v>162</v>
      </c>
      <c r="AO204" s="37"/>
      <c r="AP204" s="33" t="s">
        <v>1546</v>
      </c>
      <c r="AQ204" s="43" t="s">
        <v>1547</v>
      </c>
      <c r="AR204" s="36" t="s">
        <v>85</v>
      </c>
      <c r="AS204" s="64" t="s">
        <v>659</v>
      </c>
      <c r="AT204" s="18" t="s">
        <v>433</v>
      </c>
      <c r="AU204" s="32"/>
      <c r="AV204" s="18"/>
      <c r="AW204" s="17"/>
      <c r="AX204" s="17"/>
      <c r="AY204" s="34">
        <v>7310401</v>
      </c>
      <c r="AZ204" s="33">
        <v>225</v>
      </c>
      <c r="BB204" s="17"/>
      <c r="BC204" s="43" t="s">
        <v>2239</v>
      </c>
      <c r="BD204" s="17"/>
      <c r="BM204" s="46"/>
      <c r="BN204" s="46"/>
      <c r="BO204" s="47"/>
    </row>
    <row r="205" spans="1:67" ht="24.95" customHeight="1" x14ac:dyDescent="0.25">
      <c r="A205" s="18" t="s">
        <v>2862</v>
      </c>
      <c r="B205" s="36">
        <f>SUBTOTAL(103,$M$2:M205)</f>
        <v>204</v>
      </c>
      <c r="C205" s="33">
        <v>1</v>
      </c>
      <c r="D205" s="33" t="s">
        <v>79</v>
      </c>
      <c r="E205" s="33" t="s">
        <v>3</v>
      </c>
      <c r="F205" s="33" t="s">
        <v>33</v>
      </c>
      <c r="G205" s="33" t="s">
        <v>2675</v>
      </c>
      <c r="H205" s="33" t="s">
        <v>2677</v>
      </c>
      <c r="I205" s="33" t="s">
        <v>2516</v>
      </c>
      <c r="J205" s="33" t="s">
        <v>2869</v>
      </c>
      <c r="K205" s="25" t="s">
        <v>849</v>
      </c>
      <c r="L205" s="25" t="s">
        <v>418</v>
      </c>
      <c r="M205" s="38" t="s">
        <v>2849</v>
      </c>
      <c r="N205" s="33" t="s">
        <v>91</v>
      </c>
      <c r="O205" s="135">
        <v>1</v>
      </c>
      <c r="P205" s="135"/>
      <c r="Q205" s="33" t="s">
        <v>71</v>
      </c>
      <c r="R205" s="36" t="s">
        <v>2647</v>
      </c>
      <c r="S205" s="36" t="s">
        <v>2049</v>
      </c>
      <c r="T205" s="42" t="s">
        <v>19</v>
      </c>
      <c r="U205" s="33">
        <v>2023</v>
      </c>
      <c r="V205" s="33" t="s">
        <v>1167</v>
      </c>
      <c r="W205" s="33"/>
      <c r="X205" s="33" t="s">
        <v>2850</v>
      </c>
      <c r="Y205" s="33" t="s">
        <v>436</v>
      </c>
      <c r="Z205" s="33" t="s">
        <v>74</v>
      </c>
      <c r="AA205" s="25"/>
      <c r="AB205" s="33"/>
      <c r="AC205" s="33" t="s">
        <v>3</v>
      </c>
      <c r="AD205" s="37" t="s">
        <v>77</v>
      </c>
      <c r="AE205" s="25" t="s">
        <v>78</v>
      </c>
      <c r="AF205" s="25" t="s">
        <v>78</v>
      </c>
      <c r="AG205" s="103"/>
      <c r="AH205" s="25"/>
      <c r="AI205" s="33" t="s">
        <v>2851</v>
      </c>
      <c r="AJ205" s="33" t="s">
        <v>76</v>
      </c>
      <c r="AK205" s="25"/>
      <c r="AL205" s="43" t="s">
        <v>2852</v>
      </c>
      <c r="AM205" s="36" t="s">
        <v>77</v>
      </c>
      <c r="AN205" s="33" t="s">
        <v>141</v>
      </c>
      <c r="AP205" s="33" t="s">
        <v>1772</v>
      </c>
      <c r="AQ205" s="43" t="s">
        <v>2853</v>
      </c>
      <c r="AR205" s="25"/>
      <c r="AS205" s="25"/>
      <c r="AT205" s="25"/>
      <c r="AU205" s="18"/>
      <c r="AV205" s="84" t="s">
        <v>17</v>
      </c>
      <c r="AW205" s="17"/>
    </row>
    <row r="206" spans="1:67" ht="24.95" customHeight="1" x14ac:dyDescent="0.25">
      <c r="A206" s="18" t="s">
        <v>2862</v>
      </c>
      <c r="B206" s="36">
        <f>SUBTOTAL(103,$M$2:M206)</f>
        <v>205</v>
      </c>
      <c r="C206" s="33">
        <v>2</v>
      </c>
      <c r="D206" s="33" t="s">
        <v>79</v>
      </c>
      <c r="E206" s="33" t="s">
        <v>3</v>
      </c>
      <c r="F206" s="33" t="s">
        <v>32</v>
      </c>
      <c r="G206" s="33" t="s">
        <v>2675</v>
      </c>
      <c r="H206" s="33" t="s">
        <v>2677</v>
      </c>
      <c r="I206" s="33" t="s">
        <v>2516</v>
      </c>
      <c r="J206" s="33" t="s">
        <v>2870</v>
      </c>
      <c r="K206" s="25" t="s">
        <v>2854</v>
      </c>
      <c r="L206" s="25" t="s">
        <v>483</v>
      </c>
      <c r="M206" s="38" t="s">
        <v>2855</v>
      </c>
      <c r="N206" s="33" t="s">
        <v>70</v>
      </c>
      <c r="O206" s="135">
        <v>0</v>
      </c>
      <c r="P206" s="135"/>
      <c r="Q206" s="33" t="s">
        <v>71</v>
      </c>
      <c r="R206" s="36" t="s">
        <v>2647</v>
      </c>
      <c r="S206" s="36" t="s">
        <v>2049</v>
      </c>
      <c r="T206" s="42" t="s">
        <v>2856</v>
      </c>
      <c r="U206" s="33">
        <v>2004</v>
      </c>
      <c r="V206" s="33" t="s">
        <v>169</v>
      </c>
      <c r="W206" s="33"/>
      <c r="X206" s="33"/>
      <c r="Y206" s="33" t="s">
        <v>1757</v>
      </c>
      <c r="Z206" s="33" t="s">
        <v>169</v>
      </c>
      <c r="AA206" s="25"/>
      <c r="AB206" s="33"/>
      <c r="AC206" s="33" t="s">
        <v>3</v>
      </c>
      <c r="AD206" s="37" t="s">
        <v>77</v>
      </c>
      <c r="AE206" s="25" t="s">
        <v>78</v>
      </c>
      <c r="AF206" s="25" t="s">
        <v>78</v>
      </c>
      <c r="AG206" s="103"/>
      <c r="AH206" s="25"/>
      <c r="AI206" s="33" t="s">
        <v>2857</v>
      </c>
      <c r="AJ206" s="33" t="s">
        <v>76</v>
      </c>
      <c r="AK206" s="25"/>
      <c r="AL206" s="43" t="s">
        <v>2858</v>
      </c>
      <c r="AM206" s="36" t="s">
        <v>77</v>
      </c>
      <c r="AN206" s="33" t="s">
        <v>2859</v>
      </c>
      <c r="AP206" s="33" t="s">
        <v>2860</v>
      </c>
      <c r="AQ206" s="43" t="s">
        <v>2861</v>
      </c>
      <c r="AR206" s="25"/>
      <c r="AS206" s="25"/>
      <c r="AT206" s="25"/>
      <c r="AU206" s="18"/>
      <c r="AV206" s="84" t="s">
        <v>17</v>
      </c>
      <c r="AW206" s="17"/>
    </row>
    <row r="207" spans="1:67" ht="24.95" customHeight="1" x14ac:dyDescent="0.25">
      <c r="B207" s="36">
        <f>SUBTOTAL(103,$M$2:M207)</f>
        <v>206</v>
      </c>
      <c r="C207" s="37" t="s">
        <v>67</v>
      </c>
      <c r="D207" s="33" t="s">
        <v>79</v>
      </c>
      <c r="E207" s="36" t="s">
        <v>3</v>
      </c>
      <c r="F207" s="33" t="s">
        <v>33</v>
      </c>
      <c r="G207" s="33" t="s">
        <v>2675</v>
      </c>
      <c r="H207" s="33" t="s">
        <v>2677</v>
      </c>
      <c r="I207" s="33" t="s">
        <v>2533</v>
      </c>
      <c r="J207" s="33" t="s">
        <v>2521</v>
      </c>
      <c r="K207" s="25" t="s">
        <v>1548</v>
      </c>
      <c r="L207" s="25" t="s">
        <v>592</v>
      </c>
      <c r="M207" s="38" t="s">
        <v>2240</v>
      </c>
      <c r="N207" s="36" t="s">
        <v>70</v>
      </c>
      <c r="O207" s="33">
        <v>0</v>
      </c>
      <c r="P207" s="33">
        <v>1</v>
      </c>
      <c r="Q207" s="36" t="s">
        <v>71</v>
      </c>
      <c r="R207" s="33" t="s">
        <v>2648</v>
      </c>
      <c r="S207" s="33" t="s">
        <v>2053</v>
      </c>
      <c r="T207" s="25" t="s">
        <v>18</v>
      </c>
      <c r="U207" s="33">
        <v>2023</v>
      </c>
      <c r="V207" s="36" t="s">
        <v>74</v>
      </c>
      <c r="W207" s="33" t="s">
        <v>75</v>
      </c>
      <c r="X207" s="33" t="s">
        <v>340</v>
      </c>
      <c r="Y207" s="33"/>
      <c r="Z207" s="33"/>
      <c r="AA207" s="37"/>
      <c r="AB207" s="33"/>
      <c r="AC207" s="25"/>
      <c r="AD207" s="51" t="s">
        <v>77</v>
      </c>
      <c r="AE207" s="33" t="s">
        <v>78</v>
      </c>
      <c r="AF207" s="33"/>
      <c r="AG207" s="25"/>
      <c r="AH207" s="80"/>
      <c r="AI207" s="33" t="s">
        <v>1549</v>
      </c>
      <c r="AJ207" s="33" t="s">
        <v>3</v>
      </c>
      <c r="AK207" s="25"/>
      <c r="AL207" s="78" t="s">
        <v>1550</v>
      </c>
      <c r="AM207" s="36" t="s">
        <v>77</v>
      </c>
      <c r="AN207" s="37" t="s">
        <v>150</v>
      </c>
      <c r="AO207" s="37"/>
      <c r="AP207" s="33" t="s">
        <v>1551</v>
      </c>
      <c r="AQ207" s="43" t="s">
        <v>1552</v>
      </c>
      <c r="AR207" s="33" t="s">
        <v>85</v>
      </c>
      <c r="AS207" s="42" t="s">
        <v>1553</v>
      </c>
      <c r="AT207" s="25" t="s">
        <v>531</v>
      </c>
      <c r="AU207" s="32"/>
      <c r="AV207" s="25"/>
      <c r="AW207" s="33"/>
      <c r="AX207" s="34"/>
      <c r="AY207" s="34">
        <v>7340101</v>
      </c>
      <c r="AZ207" s="33">
        <v>227</v>
      </c>
      <c r="BA207" s="61"/>
      <c r="BB207" s="17"/>
      <c r="BC207" s="43" t="s">
        <v>2240</v>
      </c>
      <c r="BD207" s="17"/>
      <c r="BM207" s="46"/>
      <c r="BN207" s="46"/>
      <c r="BO207" s="47"/>
    </row>
    <row r="208" spans="1:67" ht="24.95" customHeight="1" x14ac:dyDescent="0.25">
      <c r="B208" s="36">
        <f>SUBTOTAL(103,$M$2:M208)</f>
        <v>207</v>
      </c>
      <c r="C208" s="37" t="s">
        <v>88</v>
      </c>
      <c r="D208" s="33" t="s">
        <v>79</v>
      </c>
      <c r="E208" s="33" t="s">
        <v>3</v>
      </c>
      <c r="F208" s="33" t="s">
        <v>33</v>
      </c>
      <c r="G208" s="33" t="s">
        <v>2675</v>
      </c>
      <c r="H208" s="33" t="s">
        <v>2677</v>
      </c>
      <c r="I208" s="33" t="s">
        <v>2533</v>
      </c>
      <c r="J208" s="33" t="s">
        <v>2522</v>
      </c>
      <c r="K208" s="25" t="s">
        <v>1554</v>
      </c>
      <c r="L208" s="25" t="s">
        <v>1555</v>
      </c>
      <c r="M208" s="38" t="s">
        <v>2241</v>
      </c>
      <c r="N208" s="33" t="s">
        <v>70</v>
      </c>
      <c r="O208" s="33">
        <v>0</v>
      </c>
      <c r="P208" s="33">
        <v>1</v>
      </c>
      <c r="Q208" s="33" t="s">
        <v>71</v>
      </c>
      <c r="R208" s="33" t="s">
        <v>2648</v>
      </c>
      <c r="S208" s="33" t="s">
        <v>2053</v>
      </c>
      <c r="T208" s="25" t="s">
        <v>1556</v>
      </c>
      <c r="U208" s="33">
        <v>2025</v>
      </c>
      <c r="V208" s="33" t="s">
        <v>74</v>
      </c>
      <c r="W208" s="33" t="s">
        <v>94</v>
      </c>
      <c r="X208" s="33" t="s">
        <v>340</v>
      </c>
      <c r="Y208" s="33" t="s">
        <v>107</v>
      </c>
      <c r="Z208" s="33" t="s">
        <v>74</v>
      </c>
      <c r="AA208" s="37"/>
      <c r="AB208" s="33"/>
      <c r="AC208" s="25"/>
      <c r="AD208" s="51" t="s">
        <v>77</v>
      </c>
      <c r="AE208" s="25" t="s">
        <v>78</v>
      </c>
      <c r="AF208" s="25" t="s">
        <v>78</v>
      </c>
      <c r="AG208" s="36"/>
      <c r="AH208" s="18"/>
      <c r="AI208" s="33" t="s">
        <v>1557</v>
      </c>
      <c r="AJ208" s="36" t="s">
        <v>76</v>
      </c>
      <c r="AK208" s="25"/>
      <c r="AL208" s="78" t="s">
        <v>1558</v>
      </c>
      <c r="AM208" s="36" t="s">
        <v>77</v>
      </c>
      <c r="AN208" s="37" t="s">
        <v>82</v>
      </c>
      <c r="AO208" s="37"/>
      <c r="AP208" s="33" t="s">
        <v>83</v>
      </c>
      <c r="AQ208" s="43" t="s">
        <v>1559</v>
      </c>
      <c r="AR208" s="33" t="s">
        <v>85</v>
      </c>
      <c r="AS208" s="20"/>
      <c r="AT208" s="25" t="s">
        <v>891</v>
      </c>
      <c r="AU208" s="45"/>
      <c r="AV208" s="18"/>
      <c r="AW208" s="17"/>
      <c r="AX208" s="17"/>
      <c r="AY208" s="17">
        <v>7340101</v>
      </c>
      <c r="AZ208" s="33">
        <v>228</v>
      </c>
      <c r="BB208" s="17"/>
      <c r="BC208" s="43" t="s">
        <v>2241</v>
      </c>
      <c r="BD208" s="17"/>
      <c r="BM208" s="46"/>
      <c r="BN208" s="46"/>
      <c r="BO208" s="47"/>
    </row>
    <row r="209" spans="1:67" ht="24.95" customHeight="1" x14ac:dyDescent="0.25">
      <c r="B209" s="36">
        <f>SUBTOTAL(103,$M$2:M209)</f>
        <v>208</v>
      </c>
      <c r="C209" s="37" t="s">
        <v>102</v>
      </c>
      <c r="D209" s="33" t="s">
        <v>79</v>
      </c>
      <c r="E209" s="36" t="s">
        <v>3</v>
      </c>
      <c r="F209" s="37" t="s">
        <v>33</v>
      </c>
      <c r="G209" s="33" t="s">
        <v>2675</v>
      </c>
      <c r="H209" s="33" t="s">
        <v>2677</v>
      </c>
      <c r="I209" s="33" t="s">
        <v>2533</v>
      </c>
      <c r="J209" s="33" t="s">
        <v>2523</v>
      </c>
      <c r="K209" s="25" t="s">
        <v>1560</v>
      </c>
      <c r="L209" s="25" t="s">
        <v>483</v>
      </c>
      <c r="M209" s="38" t="s">
        <v>2242</v>
      </c>
      <c r="N209" s="36" t="s">
        <v>91</v>
      </c>
      <c r="O209" s="36">
        <v>1</v>
      </c>
      <c r="P209" s="36">
        <v>1</v>
      </c>
      <c r="Q209" s="36" t="s">
        <v>71</v>
      </c>
      <c r="R209" s="33" t="s">
        <v>2648</v>
      </c>
      <c r="S209" s="33" t="s">
        <v>2053</v>
      </c>
      <c r="T209" s="25" t="s">
        <v>1561</v>
      </c>
      <c r="U209" s="33">
        <v>2004</v>
      </c>
      <c r="V209" s="36" t="s">
        <v>257</v>
      </c>
      <c r="W209" s="33" t="s">
        <v>282</v>
      </c>
      <c r="X209" s="33"/>
      <c r="Y209" s="33" t="s">
        <v>436</v>
      </c>
      <c r="Z209" s="33" t="s">
        <v>74</v>
      </c>
      <c r="AA209" s="37"/>
      <c r="AB209" s="33"/>
      <c r="AC209" s="25"/>
      <c r="AD209" s="51" t="s">
        <v>77</v>
      </c>
      <c r="AE209" s="33" t="s">
        <v>78</v>
      </c>
      <c r="AF209" s="33" t="s">
        <v>78</v>
      </c>
      <c r="AG209" s="25"/>
      <c r="AH209" s="127"/>
      <c r="AI209" s="33" t="s">
        <v>149</v>
      </c>
      <c r="AJ209" s="33" t="s">
        <v>76</v>
      </c>
      <c r="AK209" s="25"/>
      <c r="AL209" s="43" t="s">
        <v>1562</v>
      </c>
      <c r="AM209" s="36" t="s">
        <v>77</v>
      </c>
      <c r="AN209" s="37" t="s">
        <v>150</v>
      </c>
      <c r="AO209" s="37"/>
      <c r="AP209" s="33" t="s">
        <v>208</v>
      </c>
      <c r="AQ209" s="43" t="s">
        <v>1563</v>
      </c>
      <c r="AR209" s="44" t="s">
        <v>85</v>
      </c>
      <c r="AS209" s="20"/>
      <c r="AT209" s="25" t="s">
        <v>531</v>
      </c>
      <c r="AU209" s="45"/>
      <c r="AV209" s="18"/>
      <c r="AW209" s="17"/>
      <c r="AX209" s="17"/>
      <c r="AY209" s="34">
        <v>7340101</v>
      </c>
      <c r="AZ209" s="33">
        <v>229</v>
      </c>
      <c r="BB209" s="17"/>
      <c r="BC209" s="43" t="s">
        <v>2242</v>
      </c>
      <c r="BD209" s="17"/>
      <c r="BM209" s="46"/>
      <c r="BN209" s="46"/>
      <c r="BO209" s="47"/>
    </row>
    <row r="210" spans="1:67" ht="24.95" customHeight="1" x14ac:dyDescent="0.25">
      <c r="B210" s="36">
        <f>SUBTOTAL(103,$M$2:M210)</f>
        <v>209</v>
      </c>
      <c r="C210" s="37" t="s">
        <v>115</v>
      </c>
      <c r="D210" s="33" t="s">
        <v>79</v>
      </c>
      <c r="E210" s="33" t="s">
        <v>3</v>
      </c>
      <c r="F210" s="33" t="s">
        <v>33</v>
      </c>
      <c r="G210" s="33" t="s">
        <v>2675</v>
      </c>
      <c r="H210" s="33" t="s">
        <v>2677</v>
      </c>
      <c r="I210" s="33" t="s">
        <v>2533</v>
      </c>
      <c r="J210" s="33" t="s">
        <v>2524</v>
      </c>
      <c r="K210" s="25" t="s">
        <v>1413</v>
      </c>
      <c r="L210" s="25" t="s">
        <v>201</v>
      </c>
      <c r="M210" s="38" t="s">
        <v>2243</v>
      </c>
      <c r="N210" s="33" t="s">
        <v>70</v>
      </c>
      <c r="O210" s="33">
        <v>0</v>
      </c>
      <c r="P210" s="33">
        <v>1</v>
      </c>
      <c r="Q210" s="33" t="s">
        <v>71</v>
      </c>
      <c r="R210" s="33" t="s">
        <v>2648</v>
      </c>
      <c r="S210" s="33" t="s">
        <v>2053</v>
      </c>
      <c r="T210" s="25" t="s">
        <v>92</v>
      </c>
      <c r="U210" s="33">
        <v>2013</v>
      </c>
      <c r="V210" s="33" t="s">
        <v>257</v>
      </c>
      <c r="W210" s="33" t="s">
        <v>183</v>
      </c>
      <c r="X210" s="33"/>
      <c r="Y210" s="33"/>
      <c r="Z210" s="33"/>
      <c r="AA210" s="37"/>
      <c r="AB210" s="33"/>
      <c r="AC210" s="25"/>
      <c r="AD210" s="51" t="s">
        <v>77</v>
      </c>
      <c r="AE210" s="25" t="s">
        <v>78</v>
      </c>
      <c r="AF210" s="33"/>
      <c r="AG210" s="33"/>
      <c r="AH210" s="127"/>
      <c r="AI210" s="33" t="s">
        <v>1564</v>
      </c>
      <c r="AJ210" s="33" t="s">
        <v>76</v>
      </c>
      <c r="AK210" s="25"/>
      <c r="AL210" s="43" t="s">
        <v>1565</v>
      </c>
      <c r="AM210" s="36" t="s">
        <v>77</v>
      </c>
      <c r="AN210" s="37" t="s">
        <v>250</v>
      </c>
      <c r="AO210" s="37"/>
      <c r="AP210" s="33" t="s">
        <v>1566</v>
      </c>
      <c r="AQ210" s="43" t="s">
        <v>1567</v>
      </c>
      <c r="AR210" s="33" t="s">
        <v>85</v>
      </c>
      <c r="AS210" s="20" t="s">
        <v>55</v>
      </c>
      <c r="AT210" s="25" t="s">
        <v>198</v>
      </c>
      <c r="AU210" s="45"/>
      <c r="AV210" s="18"/>
      <c r="AW210" s="17"/>
      <c r="AX210" s="17"/>
      <c r="AY210" s="34">
        <v>7340101</v>
      </c>
      <c r="AZ210" s="33">
        <v>230</v>
      </c>
      <c r="BB210" s="17"/>
      <c r="BC210" s="43" t="s">
        <v>2243</v>
      </c>
      <c r="BD210" s="17"/>
      <c r="BM210" s="46"/>
      <c r="BN210" s="46"/>
      <c r="BO210" s="47"/>
    </row>
    <row r="211" spans="1:67" ht="24.95" customHeight="1" x14ac:dyDescent="0.25">
      <c r="A211" s="18" t="s">
        <v>2862</v>
      </c>
      <c r="B211" s="36">
        <f>SUBTOTAL(103,$M$2:M211)</f>
        <v>210</v>
      </c>
      <c r="C211" s="33">
        <v>1</v>
      </c>
      <c r="D211" s="33" t="s">
        <v>79</v>
      </c>
      <c r="E211" s="33" t="s">
        <v>3</v>
      </c>
      <c r="F211" s="34" t="s">
        <v>33</v>
      </c>
      <c r="G211" s="33" t="s">
        <v>2675</v>
      </c>
      <c r="H211" s="33" t="s">
        <v>2677</v>
      </c>
      <c r="I211" s="33" t="s">
        <v>2533</v>
      </c>
      <c r="J211" s="33" t="s">
        <v>2888</v>
      </c>
      <c r="K211" s="25" t="s">
        <v>2822</v>
      </c>
      <c r="L211" s="25" t="s">
        <v>1891</v>
      </c>
      <c r="M211" s="38" t="s">
        <v>2823</v>
      </c>
      <c r="N211" s="33" t="s">
        <v>70</v>
      </c>
      <c r="O211" s="135">
        <v>0</v>
      </c>
      <c r="P211" s="135">
        <v>1</v>
      </c>
      <c r="Q211" s="33" t="s">
        <v>71</v>
      </c>
      <c r="R211" s="34" t="s">
        <v>2648</v>
      </c>
      <c r="S211" s="36" t="s">
        <v>2053</v>
      </c>
      <c r="T211" s="125" t="s">
        <v>2737</v>
      </c>
      <c r="U211" s="33">
        <v>2014</v>
      </c>
      <c r="V211" s="33" t="s">
        <v>257</v>
      </c>
      <c r="W211" s="33"/>
      <c r="X211" s="33"/>
      <c r="Y211" s="33"/>
      <c r="Z211" s="33"/>
      <c r="AA211" s="25"/>
      <c r="AB211" s="33"/>
      <c r="AC211" s="33" t="s">
        <v>3</v>
      </c>
      <c r="AD211" s="33" t="s">
        <v>77</v>
      </c>
      <c r="AE211" s="25" t="s">
        <v>78</v>
      </c>
      <c r="AF211" s="25"/>
      <c r="AG211" s="103"/>
      <c r="AH211" s="25"/>
      <c r="AI211" s="33" t="s">
        <v>2825</v>
      </c>
      <c r="AJ211" s="33" t="s">
        <v>76</v>
      </c>
      <c r="AK211" s="25"/>
      <c r="AL211" s="43" t="s">
        <v>2826</v>
      </c>
      <c r="AM211" s="36" t="s">
        <v>77</v>
      </c>
      <c r="AN211" s="33" t="s">
        <v>2827</v>
      </c>
      <c r="AP211" s="33" t="s">
        <v>2828</v>
      </c>
      <c r="AQ211" s="43" t="s">
        <v>2829</v>
      </c>
      <c r="AR211" s="25"/>
      <c r="AS211" s="25"/>
      <c r="AT211" s="25"/>
      <c r="AU211" s="18"/>
      <c r="AV211" s="84" t="s">
        <v>2824</v>
      </c>
      <c r="AW211" s="17"/>
    </row>
    <row r="212" spans="1:67" ht="24.95" customHeight="1" x14ac:dyDescent="0.25">
      <c r="B212" s="36">
        <f>SUBTOTAL(103,$M$2:M212)</f>
        <v>211</v>
      </c>
      <c r="C212" s="37" t="s">
        <v>124</v>
      </c>
      <c r="D212" s="33" t="s">
        <v>79</v>
      </c>
      <c r="E212" s="33" t="s">
        <v>3</v>
      </c>
      <c r="F212" s="33" t="s">
        <v>34</v>
      </c>
      <c r="G212" s="33" t="s">
        <v>2675</v>
      </c>
      <c r="H212" s="33" t="s">
        <v>2677</v>
      </c>
      <c r="I212" s="33" t="s">
        <v>2533</v>
      </c>
      <c r="J212" s="33" t="s">
        <v>2525</v>
      </c>
      <c r="K212" s="25" t="s">
        <v>134</v>
      </c>
      <c r="L212" s="25" t="s">
        <v>135</v>
      </c>
      <c r="M212" s="38" t="s">
        <v>2244</v>
      </c>
      <c r="N212" s="33" t="s">
        <v>70</v>
      </c>
      <c r="O212" s="33">
        <v>0</v>
      </c>
      <c r="P212" s="33">
        <v>1</v>
      </c>
      <c r="Q212" s="33" t="s">
        <v>71</v>
      </c>
      <c r="R212" s="34" t="s">
        <v>2648</v>
      </c>
      <c r="S212" s="33" t="s">
        <v>2053</v>
      </c>
      <c r="T212" s="25" t="s">
        <v>30</v>
      </c>
      <c r="U212" s="33">
        <v>2005</v>
      </c>
      <c r="V212" s="33" t="s">
        <v>169</v>
      </c>
      <c r="W212" s="33" t="s">
        <v>1568</v>
      </c>
      <c r="X212" s="33"/>
      <c r="Y212" s="33"/>
      <c r="Z212" s="33"/>
      <c r="AA212" s="37"/>
      <c r="AB212" s="33"/>
      <c r="AC212" s="25"/>
      <c r="AD212" s="115" t="s">
        <v>77</v>
      </c>
      <c r="AE212" s="67"/>
      <c r="AF212" s="67"/>
      <c r="AG212" s="67"/>
      <c r="AH212" s="127"/>
      <c r="AI212" s="120" t="s">
        <v>1569</v>
      </c>
      <c r="AJ212" s="66" t="s">
        <v>76</v>
      </c>
      <c r="AK212" s="67" t="s">
        <v>1570</v>
      </c>
      <c r="AL212" s="69" t="s">
        <v>1571</v>
      </c>
      <c r="AM212" s="65" t="s">
        <v>77</v>
      </c>
      <c r="AN212" s="66" t="s">
        <v>401</v>
      </c>
      <c r="AO212" s="67"/>
      <c r="AP212" s="66" t="s">
        <v>1542</v>
      </c>
      <c r="AQ212" s="69" t="s">
        <v>1572</v>
      </c>
      <c r="AR212" s="66" t="s">
        <v>85</v>
      </c>
      <c r="AS212" s="20" t="s">
        <v>144</v>
      </c>
      <c r="AT212" s="53" t="s">
        <v>145</v>
      </c>
      <c r="AU212" s="45"/>
      <c r="AV212" s="18"/>
      <c r="AW212" s="17"/>
      <c r="AX212" s="17"/>
      <c r="AY212" s="34">
        <v>7340101</v>
      </c>
      <c r="AZ212" s="33">
        <v>231</v>
      </c>
      <c r="BB212" s="17"/>
      <c r="BC212" s="43" t="s">
        <v>2244</v>
      </c>
      <c r="BD212" s="17"/>
      <c r="BM212" s="46"/>
      <c r="BN212" s="46"/>
      <c r="BO212" s="47"/>
    </row>
    <row r="213" spans="1:67" ht="24.95" customHeight="1" x14ac:dyDescent="0.25">
      <c r="B213" s="36">
        <f>SUBTOTAL(103,$M$2:M213)</f>
        <v>212</v>
      </c>
      <c r="C213" s="37" t="s">
        <v>133</v>
      </c>
      <c r="D213" s="33" t="s">
        <v>79</v>
      </c>
      <c r="E213" s="33" t="s">
        <v>3</v>
      </c>
      <c r="F213" s="33" t="s">
        <v>34</v>
      </c>
      <c r="G213" s="33" t="s">
        <v>2675</v>
      </c>
      <c r="H213" s="33" t="s">
        <v>2677</v>
      </c>
      <c r="I213" s="33" t="s">
        <v>2533</v>
      </c>
      <c r="J213" s="33" t="s">
        <v>2526</v>
      </c>
      <c r="K213" s="25" t="s">
        <v>1573</v>
      </c>
      <c r="L213" s="25" t="s">
        <v>1574</v>
      </c>
      <c r="M213" s="38" t="s">
        <v>2245</v>
      </c>
      <c r="N213" s="33" t="s">
        <v>91</v>
      </c>
      <c r="O213" s="36">
        <v>1</v>
      </c>
      <c r="P213" s="36"/>
      <c r="Q213" s="33" t="s">
        <v>71</v>
      </c>
      <c r="R213" s="34" t="s">
        <v>2648</v>
      </c>
      <c r="S213" s="33" t="s">
        <v>2053</v>
      </c>
      <c r="T213" s="25" t="s">
        <v>23</v>
      </c>
      <c r="U213" s="33">
        <v>2025</v>
      </c>
      <c r="V213" s="33" t="s">
        <v>169</v>
      </c>
      <c r="W213" s="33" t="s">
        <v>1345</v>
      </c>
      <c r="X213" s="33"/>
      <c r="Y213" s="33" t="s">
        <v>371</v>
      </c>
      <c r="Z213" s="33" t="s">
        <v>74</v>
      </c>
      <c r="AA213" s="33"/>
      <c r="AB213" s="33"/>
      <c r="AC213" s="25"/>
      <c r="AD213" s="115" t="s">
        <v>77</v>
      </c>
      <c r="AE213" s="67" t="s">
        <v>78</v>
      </c>
      <c r="AF213" s="67" t="s">
        <v>78</v>
      </c>
      <c r="AG213" s="67"/>
      <c r="AH213" s="18"/>
      <c r="AI213" s="66" t="s">
        <v>149</v>
      </c>
      <c r="AJ213" s="66" t="s">
        <v>76</v>
      </c>
      <c r="AK213" s="67"/>
      <c r="AL213" s="69" t="s">
        <v>1575</v>
      </c>
      <c r="AM213" s="65" t="s">
        <v>77</v>
      </c>
      <c r="AN213" s="66" t="s">
        <v>413</v>
      </c>
      <c r="AO213" s="67"/>
      <c r="AP213" s="66" t="s">
        <v>1576</v>
      </c>
      <c r="AQ213" s="69" t="s">
        <v>1577</v>
      </c>
      <c r="AR213" s="66" t="s">
        <v>85</v>
      </c>
      <c r="AS213" s="20"/>
      <c r="AT213" s="86" t="s">
        <v>505</v>
      </c>
      <c r="AU213" s="18"/>
      <c r="AV213" s="18"/>
      <c r="AX213" s="17"/>
      <c r="AY213" s="34">
        <v>7340101</v>
      </c>
      <c r="AZ213" s="33">
        <v>232</v>
      </c>
      <c r="BC213" s="43" t="s">
        <v>2245</v>
      </c>
    </row>
    <row r="214" spans="1:67" ht="24.95" customHeight="1" x14ac:dyDescent="0.25">
      <c r="B214" s="36">
        <f>SUBTOTAL(103,$M$2:M214)</f>
        <v>213</v>
      </c>
      <c r="C214" s="37" t="s">
        <v>146</v>
      </c>
      <c r="D214" s="33" t="s">
        <v>79</v>
      </c>
      <c r="E214" s="36" t="s">
        <v>3</v>
      </c>
      <c r="F214" s="37" t="s">
        <v>34</v>
      </c>
      <c r="G214" s="33" t="s">
        <v>2675</v>
      </c>
      <c r="H214" s="33" t="s">
        <v>2677</v>
      </c>
      <c r="I214" s="33" t="s">
        <v>2533</v>
      </c>
      <c r="J214" s="33" t="s">
        <v>2527</v>
      </c>
      <c r="K214" s="48" t="s">
        <v>1578</v>
      </c>
      <c r="L214" s="49" t="s">
        <v>1579</v>
      </c>
      <c r="M214" s="50" t="s">
        <v>2198</v>
      </c>
      <c r="N214" s="37" t="s">
        <v>70</v>
      </c>
      <c r="O214" s="33">
        <v>0</v>
      </c>
      <c r="P214" s="33">
        <v>1</v>
      </c>
      <c r="Q214" s="37" t="s">
        <v>71</v>
      </c>
      <c r="R214" s="34" t="s">
        <v>2648</v>
      </c>
      <c r="S214" s="33" t="s">
        <v>2053</v>
      </c>
      <c r="T214" s="48" t="s">
        <v>1580</v>
      </c>
      <c r="U214" s="37" t="s">
        <v>105</v>
      </c>
      <c r="V214" s="37" t="s">
        <v>74</v>
      </c>
      <c r="W214" s="37" t="s">
        <v>1581</v>
      </c>
      <c r="X214" s="37" t="s">
        <v>1217</v>
      </c>
      <c r="Y214" s="37"/>
      <c r="Z214" s="37"/>
      <c r="AA214" s="37"/>
      <c r="AB214" s="37"/>
      <c r="AC214" s="25"/>
      <c r="AD214" s="115" t="s">
        <v>77</v>
      </c>
      <c r="AE214" s="120" t="s">
        <v>78</v>
      </c>
      <c r="AF214" s="120"/>
      <c r="AG214" s="120"/>
      <c r="AH214" s="88"/>
      <c r="AI214" s="120" t="s">
        <v>127</v>
      </c>
      <c r="AJ214" s="120" t="s">
        <v>76</v>
      </c>
      <c r="AK214" s="120"/>
      <c r="AL214" s="124" t="s">
        <v>1582</v>
      </c>
      <c r="AM214" s="65" t="s">
        <v>77</v>
      </c>
      <c r="AN214" s="120" t="s">
        <v>150</v>
      </c>
      <c r="AO214" s="120"/>
      <c r="AP214" s="66" t="s">
        <v>738</v>
      </c>
      <c r="AQ214" s="69" t="s">
        <v>1583</v>
      </c>
      <c r="AR214" s="120" t="s">
        <v>85</v>
      </c>
      <c r="AS214" s="20" t="s">
        <v>659</v>
      </c>
      <c r="AT214" s="25" t="s">
        <v>101</v>
      </c>
      <c r="AU214" s="45"/>
      <c r="AV214" s="18"/>
      <c r="AW214" s="17"/>
      <c r="AX214" s="17"/>
      <c r="AY214" s="34">
        <v>7340101</v>
      </c>
      <c r="AZ214" s="33">
        <v>233</v>
      </c>
      <c r="BB214" s="17"/>
      <c r="BC214" s="50" t="s">
        <v>2198</v>
      </c>
      <c r="BD214" s="17"/>
      <c r="BM214" s="46"/>
      <c r="BN214" s="46"/>
      <c r="BO214" s="47"/>
    </row>
    <row r="215" spans="1:67" ht="24.95" customHeight="1" x14ac:dyDescent="0.25">
      <c r="B215" s="36">
        <f>SUBTOTAL(103,$M$2:M215)</f>
        <v>214</v>
      </c>
      <c r="C215" s="37" t="s">
        <v>154</v>
      </c>
      <c r="D215" s="33" t="s">
        <v>79</v>
      </c>
      <c r="E215" s="33" t="s">
        <v>3</v>
      </c>
      <c r="F215" s="33" t="s">
        <v>34</v>
      </c>
      <c r="G215" s="33" t="s">
        <v>2675</v>
      </c>
      <c r="H215" s="33" t="s">
        <v>2677</v>
      </c>
      <c r="I215" s="33" t="s">
        <v>2533</v>
      </c>
      <c r="J215" s="33" t="s">
        <v>2528</v>
      </c>
      <c r="K215" s="25" t="s">
        <v>1584</v>
      </c>
      <c r="L215" s="25" t="s">
        <v>167</v>
      </c>
      <c r="M215" s="38" t="s">
        <v>2246</v>
      </c>
      <c r="N215" s="33" t="s">
        <v>70</v>
      </c>
      <c r="O215" s="33">
        <v>0</v>
      </c>
      <c r="P215" s="33">
        <v>1</v>
      </c>
      <c r="Q215" s="33" t="s">
        <v>71</v>
      </c>
      <c r="R215" s="34" t="s">
        <v>2648</v>
      </c>
      <c r="S215" s="33" t="s">
        <v>2053</v>
      </c>
      <c r="T215" s="25" t="s">
        <v>1585</v>
      </c>
      <c r="U215" s="33">
        <v>2015</v>
      </c>
      <c r="V215" s="33" t="s">
        <v>169</v>
      </c>
      <c r="W215" s="33" t="s">
        <v>1586</v>
      </c>
      <c r="X215" s="33" t="s">
        <v>1587</v>
      </c>
      <c r="Y215" s="33" t="s">
        <v>320</v>
      </c>
      <c r="Z215" s="33" t="s">
        <v>169</v>
      </c>
      <c r="AA215" s="33"/>
      <c r="AB215" s="33"/>
      <c r="AC215" s="25"/>
      <c r="AD215" s="115" t="s">
        <v>77</v>
      </c>
      <c r="AE215" s="67" t="s">
        <v>78</v>
      </c>
      <c r="AF215" s="67" t="s">
        <v>78</v>
      </c>
      <c r="AG215" s="67"/>
      <c r="AH215" s="18"/>
      <c r="AI215" s="66" t="s">
        <v>1588</v>
      </c>
      <c r="AJ215" s="66" t="s">
        <v>76</v>
      </c>
      <c r="AK215" s="67"/>
      <c r="AL215" s="69" t="s">
        <v>1589</v>
      </c>
      <c r="AM215" s="65" t="s">
        <v>77</v>
      </c>
      <c r="AN215" s="66" t="s">
        <v>267</v>
      </c>
      <c r="AO215" s="67"/>
      <c r="AP215" s="66" t="s">
        <v>1590</v>
      </c>
      <c r="AQ215" s="69" t="s">
        <v>1591</v>
      </c>
      <c r="AR215" s="66" t="s">
        <v>85</v>
      </c>
      <c r="AS215" s="20"/>
      <c r="AT215" s="25" t="s">
        <v>740</v>
      </c>
      <c r="AU215" s="45"/>
      <c r="AV215" s="18"/>
      <c r="AW215" s="17"/>
      <c r="AX215" s="17"/>
      <c r="AY215" s="34">
        <v>7340101</v>
      </c>
      <c r="AZ215" s="33">
        <v>234</v>
      </c>
      <c r="BB215" s="17"/>
      <c r="BC215" s="43" t="s">
        <v>2246</v>
      </c>
      <c r="BD215" s="17"/>
      <c r="BM215" s="46"/>
      <c r="BN215" s="46"/>
      <c r="BO215" s="47"/>
    </row>
    <row r="216" spans="1:67" ht="24.95" customHeight="1" x14ac:dyDescent="0.25">
      <c r="B216" s="36">
        <f>SUBTOTAL(103,$M$2:M216)</f>
        <v>215</v>
      </c>
      <c r="C216" s="37" t="s">
        <v>165</v>
      </c>
      <c r="D216" s="33" t="s">
        <v>79</v>
      </c>
      <c r="E216" s="33" t="s">
        <v>3</v>
      </c>
      <c r="F216" s="33" t="s">
        <v>32</v>
      </c>
      <c r="G216" s="33" t="s">
        <v>2675</v>
      </c>
      <c r="H216" s="33" t="s">
        <v>2677</v>
      </c>
      <c r="I216" s="33" t="s">
        <v>2533</v>
      </c>
      <c r="J216" s="33" t="s">
        <v>2529</v>
      </c>
      <c r="K216" s="25" t="s">
        <v>1592</v>
      </c>
      <c r="L216" s="25" t="s">
        <v>592</v>
      </c>
      <c r="M216" s="38" t="s">
        <v>2247</v>
      </c>
      <c r="N216" s="33" t="s">
        <v>70</v>
      </c>
      <c r="O216" s="33">
        <v>0</v>
      </c>
      <c r="P216" s="33">
        <v>1</v>
      </c>
      <c r="Q216" s="33" t="s">
        <v>71</v>
      </c>
      <c r="R216" s="34" t="s">
        <v>2648</v>
      </c>
      <c r="S216" s="33" t="s">
        <v>2053</v>
      </c>
      <c r="T216" s="25" t="s">
        <v>1593</v>
      </c>
      <c r="U216" s="33">
        <v>2014</v>
      </c>
      <c r="V216" s="33" t="s">
        <v>257</v>
      </c>
      <c r="W216" s="33" t="s">
        <v>352</v>
      </c>
      <c r="X216" s="33"/>
      <c r="Y216" s="33" t="s">
        <v>204</v>
      </c>
      <c r="Z216" s="33" t="s">
        <v>169</v>
      </c>
      <c r="AA216" s="37"/>
      <c r="AB216" s="33"/>
      <c r="AC216" s="25"/>
      <c r="AD216" s="115" t="s">
        <v>77</v>
      </c>
      <c r="AE216" s="67" t="s">
        <v>78</v>
      </c>
      <c r="AF216" s="67" t="s">
        <v>78</v>
      </c>
      <c r="AG216" s="67"/>
      <c r="AH216" s="127"/>
      <c r="AI216" s="66" t="s">
        <v>1594</v>
      </c>
      <c r="AJ216" s="66" t="s">
        <v>76</v>
      </c>
      <c r="AK216" s="67"/>
      <c r="AL216" s="69" t="s">
        <v>1595</v>
      </c>
      <c r="AM216" s="65" t="s">
        <v>77</v>
      </c>
      <c r="AN216" s="66" t="s">
        <v>332</v>
      </c>
      <c r="AO216" s="67"/>
      <c r="AP216" s="66" t="s">
        <v>1596</v>
      </c>
      <c r="AQ216" s="69" t="s">
        <v>1597</v>
      </c>
      <c r="AR216" s="66" t="s">
        <v>85</v>
      </c>
      <c r="AS216" s="20"/>
      <c r="AT216" s="53" t="s">
        <v>1046</v>
      </c>
      <c r="AU216" s="45"/>
      <c r="AV216" s="18"/>
      <c r="AW216" s="17"/>
      <c r="AX216" s="17"/>
      <c r="AY216" s="34">
        <v>7340101</v>
      </c>
      <c r="AZ216" s="33">
        <v>235</v>
      </c>
      <c r="BB216" s="17"/>
      <c r="BC216" s="43" t="s">
        <v>2247</v>
      </c>
      <c r="BD216" s="17"/>
      <c r="BM216" s="46"/>
      <c r="BN216" s="46"/>
      <c r="BO216" s="47"/>
    </row>
    <row r="217" spans="1:67" ht="24.95" customHeight="1" x14ac:dyDescent="0.25">
      <c r="B217" s="36">
        <f>SUBTOTAL(103,$M$2:M217)</f>
        <v>216</v>
      </c>
      <c r="C217" s="37" t="s">
        <v>178</v>
      </c>
      <c r="D217" s="33" t="s">
        <v>79</v>
      </c>
      <c r="E217" s="36" t="s">
        <v>3</v>
      </c>
      <c r="F217" s="37" t="s">
        <v>32</v>
      </c>
      <c r="G217" s="33" t="s">
        <v>2675</v>
      </c>
      <c r="H217" s="33" t="s">
        <v>2677</v>
      </c>
      <c r="I217" s="33" t="s">
        <v>2533</v>
      </c>
      <c r="J217" s="33" t="s">
        <v>2530</v>
      </c>
      <c r="K217" s="48" t="s">
        <v>1145</v>
      </c>
      <c r="L217" s="49" t="s">
        <v>1598</v>
      </c>
      <c r="M217" s="50" t="s">
        <v>2248</v>
      </c>
      <c r="N217" s="37" t="s">
        <v>70</v>
      </c>
      <c r="O217" s="33">
        <v>0</v>
      </c>
      <c r="P217" s="33"/>
      <c r="Q217" s="37" t="s">
        <v>71</v>
      </c>
      <c r="R217" s="34" t="s">
        <v>2648</v>
      </c>
      <c r="S217" s="33" t="s">
        <v>2053</v>
      </c>
      <c r="T217" s="48" t="s">
        <v>1599</v>
      </c>
      <c r="U217" s="37" t="s">
        <v>926</v>
      </c>
      <c r="V217" s="37" t="s">
        <v>74</v>
      </c>
      <c r="W217" s="37" t="s">
        <v>75</v>
      </c>
      <c r="X217" s="37"/>
      <c r="Y217" s="37" t="s">
        <v>341</v>
      </c>
      <c r="Z217" s="37" t="s">
        <v>169</v>
      </c>
      <c r="AA217" s="37"/>
      <c r="AB217" s="37"/>
      <c r="AC217" s="25"/>
      <c r="AD217" s="115" t="s">
        <v>77</v>
      </c>
      <c r="AE217" s="120" t="s">
        <v>78</v>
      </c>
      <c r="AF217" s="120" t="s">
        <v>78</v>
      </c>
      <c r="AG217" s="120"/>
      <c r="AH217" s="88"/>
      <c r="AI217" s="120" t="s">
        <v>1600</v>
      </c>
      <c r="AJ217" s="120" t="s">
        <v>76</v>
      </c>
      <c r="AK217" s="120"/>
      <c r="AL217" s="124" t="s">
        <v>1601</v>
      </c>
      <c r="AM217" s="65" t="s">
        <v>77</v>
      </c>
      <c r="AN217" s="120" t="s">
        <v>354</v>
      </c>
      <c r="AO217" s="120"/>
      <c r="AP217" s="120" t="s">
        <v>1602</v>
      </c>
      <c r="AQ217" s="124" t="s">
        <v>1603</v>
      </c>
      <c r="AR217" s="120" t="s">
        <v>85</v>
      </c>
      <c r="AS217" s="20"/>
      <c r="AT217" s="25" t="s">
        <v>233</v>
      </c>
      <c r="AU217" s="45"/>
      <c r="AV217" s="18"/>
      <c r="AW217" s="17"/>
      <c r="AX217" s="17"/>
      <c r="AY217" s="34">
        <v>7340101</v>
      </c>
      <c r="AZ217" s="33">
        <v>236</v>
      </c>
      <c r="BB217" s="17"/>
      <c r="BC217" s="50" t="s">
        <v>2248</v>
      </c>
      <c r="BD217" s="17"/>
      <c r="BM217" s="46"/>
      <c r="BN217" s="46"/>
      <c r="BO217" s="47"/>
    </row>
    <row r="218" spans="1:67" ht="24.95" customHeight="1" x14ac:dyDescent="0.25">
      <c r="A218" s="18" t="s">
        <v>2862</v>
      </c>
      <c r="B218" s="36">
        <f>SUBTOTAL(103,$M$2:M218)</f>
        <v>217</v>
      </c>
      <c r="C218" s="33">
        <v>2</v>
      </c>
      <c r="D218" s="33" t="s">
        <v>79</v>
      </c>
      <c r="E218" s="33" t="s">
        <v>3</v>
      </c>
      <c r="F218" s="34" t="s">
        <v>32</v>
      </c>
      <c r="G218" s="33" t="s">
        <v>2675</v>
      </c>
      <c r="H218" s="33" t="s">
        <v>2677</v>
      </c>
      <c r="I218" s="33" t="s">
        <v>2533</v>
      </c>
      <c r="J218" s="33" t="s">
        <v>2889</v>
      </c>
      <c r="K218" s="25" t="s">
        <v>2830</v>
      </c>
      <c r="L218" s="25" t="s">
        <v>2028</v>
      </c>
      <c r="M218" s="38" t="s">
        <v>2173</v>
      </c>
      <c r="N218" s="33" t="s">
        <v>91</v>
      </c>
      <c r="O218" s="135">
        <v>1</v>
      </c>
      <c r="P218" s="135">
        <v>1</v>
      </c>
      <c r="Q218" s="33" t="s">
        <v>71</v>
      </c>
      <c r="R218" s="34" t="s">
        <v>2648</v>
      </c>
      <c r="S218" s="36" t="s">
        <v>2053</v>
      </c>
      <c r="T218" s="42" t="s">
        <v>2831</v>
      </c>
      <c r="U218" s="33">
        <v>2013</v>
      </c>
      <c r="V218" s="33" t="s">
        <v>257</v>
      </c>
      <c r="W218" s="33" t="s">
        <v>928</v>
      </c>
      <c r="X218" s="33"/>
      <c r="Y218" s="33" t="s">
        <v>570</v>
      </c>
      <c r="Z218" s="33" t="s">
        <v>169</v>
      </c>
      <c r="AA218" s="25"/>
      <c r="AB218" s="33"/>
      <c r="AC218" s="33" t="s">
        <v>3</v>
      </c>
      <c r="AD218" s="33" t="s">
        <v>77</v>
      </c>
      <c r="AE218" s="25" t="s">
        <v>78</v>
      </c>
      <c r="AF218" s="25" t="s">
        <v>78</v>
      </c>
      <c r="AG218" s="103"/>
      <c r="AH218" s="25"/>
      <c r="AI218" s="33" t="s">
        <v>1594</v>
      </c>
      <c r="AJ218" s="33" t="s">
        <v>76</v>
      </c>
      <c r="AK218" s="25"/>
      <c r="AL218" s="43" t="s">
        <v>2832</v>
      </c>
      <c r="AM218" s="36" t="s">
        <v>77</v>
      </c>
      <c r="AN218" s="33" t="s">
        <v>628</v>
      </c>
      <c r="AP218" s="33" t="s">
        <v>2833</v>
      </c>
      <c r="AQ218" s="43" t="s">
        <v>2834</v>
      </c>
      <c r="AR218" s="25"/>
      <c r="AS218" s="25"/>
      <c r="AT218" s="25"/>
      <c r="AU218" s="18"/>
      <c r="AV218" s="84" t="s">
        <v>18</v>
      </c>
      <c r="AW218" s="17"/>
    </row>
    <row r="219" spans="1:67" ht="24.95" customHeight="1" x14ac:dyDescent="0.25">
      <c r="B219" s="36">
        <f>SUBTOTAL(103,$M$2:M219)</f>
        <v>218</v>
      </c>
      <c r="C219" s="37" t="s">
        <v>189</v>
      </c>
      <c r="D219" s="33" t="s">
        <v>79</v>
      </c>
      <c r="E219" s="33" t="s">
        <v>3</v>
      </c>
      <c r="F219" s="33" t="s">
        <v>557</v>
      </c>
      <c r="G219" s="33" t="s">
        <v>2675</v>
      </c>
      <c r="H219" s="33" t="s">
        <v>2677</v>
      </c>
      <c r="I219" s="33" t="s">
        <v>2533</v>
      </c>
      <c r="J219" s="33" t="s">
        <v>2531</v>
      </c>
      <c r="K219" s="25" t="s">
        <v>1605</v>
      </c>
      <c r="L219" s="25" t="s">
        <v>1414</v>
      </c>
      <c r="M219" s="71" t="s">
        <v>2164</v>
      </c>
      <c r="N219" s="33" t="s">
        <v>70</v>
      </c>
      <c r="O219" s="33">
        <v>0</v>
      </c>
      <c r="P219" s="33">
        <v>1</v>
      </c>
      <c r="Q219" s="33" t="s">
        <v>71</v>
      </c>
      <c r="R219" s="34" t="s">
        <v>2648</v>
      </c>
      <c r="S219" s="33" t="s">
        <v>2053</v>
      </c>
      <c r="T219" s="25"/>
      <c r="U219" s="33">
        <v>2019</v>
      </c>
      <c r="V219" s="33"/>
      <c r="W219" s="33"/>
      <c r="X219" s="33"/>
      <c r="Y219" s="33" t="s">
        <v>1096</v>
      </c>
      <c r="Z219" s="33" t="s">
        <v>74</v>
      </c>
      <c r="AA219" s="33" t="s">
        <v>2036</v>
      </c>
      <c r="AB219" s="33">
        <v>20.100000000000001</v>
      </c>
      <c r="AC219" s="25"/>
      <c r="AD219" s="115" t="s">
        <v>77</v>
      </c>
      <c r="AE219" s="67" t="s">
        <v>78</v>
      </c>
      <c r="AF219" s="67" t="s">
        <v>78</v>
      </c>
      <c r="AG219" s="67"/>
      <c r="AH219" s="18"/>
      <c r="AI219" s="66" t="s">
        <v>1606</v>
      </c>
      <c r="AJ219" s="66"/>
      <c r="AK219" s="67"/>
      <c r="AL219" s="69" t="s">
        <v>1607</v>
      </c>
      <c r="AM219" s="65" t="s">
        <v>77</v>
      </c>
      <c r="AN219" s="66" t="s">
        <v>413</v>
      </c>
      <c r="AO219" s="67"/>
      <c r="AP219" s="66" t="s">
        <v>1576</v>
      </c>
      <c r="AQ219" s="69" t="s">
        <v>1608</v>
      </c>
      <c r="AR219" s="66" t="s">
        <v>85</v>
      </c>
      <c r="AS219" s="20"/>
      <c r="AT219" s="86" t="s">
        <v>939</v>
      </c>
      <c r="AU219" s="18"/>
      <c r="AV219" s="18"/>
      <c r="AX219" s="17"/>
      <c r="AY219" s="34">
        <v>7340101</v>
      </c>
      <c r="AZ219" s="33">
        <v>237</v>
      </c>
      <c r="BC219" s="33" t="s">
        <v>2164</v>
      </c>
    </row>
    <row r="220" spans="1:67" ht="24.95" customHeight="1" x14ac:dyDescent="0.25">
      <c r="B220" s="36">
        <f>SUBTOTAL(103,$M$2:M220)</f>
        <v>219</v>
      </c>
      <c r="C220" s="37" t="s">
        <v>199</v>
      </c>
      <c r="D220" s="33" t="s">
        <v>79</v>
      </c>
      <c r="E220" s="33" t="s">
        <v>3</v>
      </c>
      <c r="F220" s="33" t="s">
        <v>557</v>
      </c>
      <c r="G220" s="33" t="s">
        <v>2675</v>
      </c>
      <c r="H220" s="33" t="s">
        <v>2677</v>
      </c>
      <c r="I220" s="33" t="s">
        <v>2533</v>
      </c>
      <c r="J220" s="33" t="s">
        <v>2532</v>
      </c>
      <c r="K220" s="25" t="s">
        <v>1609</v>
      </c>
      <c r="L220" s="25" t="s">
        <v>290</v>
      </c>
      <c r="M220" s="38" t="s">
        <v>2249</v>
      </c>
      <c r="N220" s="33" t="s">
        <v>91</v>
      </c>
      <c r="O220" s="36">
        <v>1</v>
      </c>
      <c r="P220" s="36"/>
      <c r="Q220" s="33" t="s">
        <v>71</v>
      </c>
      <c r="R220" s="34" t="s">
        <v>2648</v>
      </c>
      <c r="S220" s="33" t="s">
        <v>2053</v>
      </c>
      <c r="T220" s="25"/>
      <c r="U220" s="33">
        <v>2018</v>
      </c>
      <c r="V220" s="33"/>
      <c r="W220" s="33"/>
      <c r="X220" s="33"/>
      <c r="Y220" s="33" t="s">
        <v>501</v>
      </c>
      <c r="Z220" s="33" t="s">
        <v>74</v>
      </c>
      <c r="AA220" s="33" t="s">
        <v>773</v>
      </c>
      <c r="AB220" s="33">
        <v>21.6</v>
      </c>
      <c r="AC220" s="25"/>
      <c r="AD220" s="115" t="s">
        <v>77</v>
      </c>
      <c r="AE220" s="67" t="s">
        <v>78</v>
      </c>
      <c r="AF220" s="66" t="s">
        <v>78</v>
      </c>
      <c r="AG220" s="67"/>
      <c r="AH220" s="127"/>
      <c r="AI220" s="66" t="s">
        <v>828</v>
      </c>
      <c r="AJ220" s="66"/>
      <c r="AK220" s="67"/>
      <c r="AL220" s="69" t="s">
        <v>1610</v>
      </c>
      <c r="AM220" s="65" t="s">
        <v>77</v>
      </c>
      <c r="AN220" s="120" t="s">
        <v>141</v>
      </c>
      <c r="AO220" s="120"/>
      <c r="AP220" s="66" t="s">
        <v>831</v>
      </c>
      <c r="AQ220" s="69" t="s">
        <v>1611</v>
      </c>
      <c r="AR220" s="66" t="s">
        <v>85</v>
      </c>
      <c r="AS220" s="20"/>
      <c r="AT220" s="25" t="s">
        <v>145</v>
      </c>
      <c r="AU220" s="45"/>
      <c r="AV220" s="18"/>
      <c r="AW220" s="17"/>
      <c r="AX220" s="17"/>
      <c r="AY220" s="34">
        <v>7340101</v>
      </c>
      <c r="AZ220" s="33">
        <v>238</v>
      </c>
      <c r="BB220" s="17"/>
      <c r="BC220" s="43" t="s">
        <v>2249</v>
      </c>
      <c r="BD220" s="17"/>
      <c r="BM220" s="46"/>
      <c r="BN220" s="46"/>
      <c r="BO220" s="47"/>
    </row>
    <row r="221" spans="1:67" ht="24.95" customHeight="1" x14ac:dyDescent="0.25">
      <c r="A221" s="18" t="s">
        <v>2862</v>
      </c>
      <c r="B221" s="36">
        <f>SUBTOTAL(103,$M$2:M221)</f>
        <v>220</v>
      </c>
      <c r="C221" s="33">
        <v>3</v>
      </c>
      <c r="D221" s="33" t="s">
        <v>79</v>
      </c>
      <c r="E221" s="33" t="s">
        <v>3</v>
      </c>
      <c r="F221" s="33" t="s">
        <v>557</v>
      </c>
      <c r="G221" s="33" t="s">
        <v>2675</v>
      </c>
      <c r="H221" s="33" t="s">
        <v>2677</v>
      </c>
      <c r="I221" s="33" t="s">
        <v>2533</v>
      </c>
      <c r="J221" s="33" t="s">
        <v>2890</v>
      </c>
      <c r="K221" s="25" t="s">
        <v>1145</v>
      </c>
      <c r="L221" s="25" t="s">
        <v>1579</v>
      </c>
      <c r="M221" s="38" t="s">
        <v>2835</v>
      </c>
      <c r="N221" s="33" t="s">
        <v>70</v>
      </c>
      <c r="O221" s="135">
        <v>0</v>
      </c>
      <c r="P221" s="135"/>
      <c r="Q221" s="33" t="s">
        <v>71</v>
      </c>
      <c r="R221" s="34" t="s">
        <v>2648</v>
      </c>
      <c r="S221" s="36" t="s">
        <v>2053</v>
      </c>
      <c r="T221" s="42"/>
      <c r="U221" s="33">
        <v>2018</v>
      </c>
      <c r="V221" s="33"/>
      <c r="W221" s="33"/>
      <c r="X221" s="33"/>
      <c r="Y221" s="33" t="s">
        <v>304</v>
      </c>
      <c r="Z221" s="33" t="s">
        <v>74</v>
      </c>
      <c r="AA221" s="25"/>
      <c r="AB221" s="33"/>
      <c r="AC221" s="33" t="s">
        <v>3</v>
      </c>
      <c r="AD221" s="37" t="s">
        <v>77</v>
      </c>
      <c r="AE221" s="25" t="s">
        <v>78</v>
      </c>
      <c r="AF221" s="25" t="s">
        <v>78</v>
      </c>
      <c r="AG221" s="103"/>
      <c r="AH221" s="25"/>
      <c r="AI221" s="33" t="s">
        <v>2836</v>
      </c>
      <c r="AJ221" s="33"/>
      <c r="AK221" s="25"/>
      <c r="AL221" s="43" t="s">
        <v>2837</v>
      </c>
      <c r="AM221" s="36" t="s">
        <v>77</v>
      </c>
      <c r="AN221" s="33" t="s">
        <v>468</v>
      </c>
      <c r="AP221" s="33" t="s">
        <v>2838</v>
      </c>
      <c r="AQ221" s="43" t="s">
        <v>2839</v>
      </c>
      <c r="AR221" s="25"/>
      <c r="AS221" s="25"/>
      <c r="AT221" s="25"/>
      <c r="AU221" s="18"/>
      <c r="AV221" s="84" t="s">
        <v>18</v>
      </c>
      <c r="AW221" s="17"/>
    </row>
    <row r="222" spans="1:67" ht="24.95" customHeight="1" x14ac:dyDescent="0.25">
      <c r="B222" s="36">
        <f>SUBTOTAL(103,$M$2:M222)</f>
        <v>221</v>
      </c>
      <c r="C222" s="33">
        <v>1</v>
      </c>
      <c r="D222" s="33" t="s">
        <v>79</v>
      </c>
      <c r="E222" s="33" t="s">
        <v>3</v>
      </c>
      <c r="F222" s="128" t="s">
        <v>33</v>
      </c>
      <c r="G222" s="33" t="s">
        <v>2675</v>
      </c>
      <c r="H222" s="33" t="s">
        <v>2677</v>
      </c>
      <c r="I222" s="33" t="s">
        <v>2535</v>
      </c>
      <c r="J222" s="33" t="s">
        <v>2534</v>
      </c>
      <c r="K222" s="25" t="s">
        <v>661</v>
      </c>
      <c r="L222" s="25" t="s">
        <v>1612</v>
      </c>
      <c r="M222" s="38" t="s">
        <v>2250</v>
      </c>
      <c r="N222" s="33" t="s">
        <v>91</v>
      </c>
      <c r="O222" s="36">
        <v>1</v>
      </c>
      <c r="P222" s="36">
        <v>1</v>
      </c>
      <c r="Q222" s="33" t="s">
        <v>71</v>
      </c>
      <c r="R222" s="33" t="s">
        <v>2649</v>
      </c>
      <c r="S222" s="33" t="s">
        <v>2053</v>
      </c>
      <c r="T222" s="25" t="s">
        <v>19</v>
      </c>
      <c r="U222" s="33">
        <v>2011</v>
      </c>
      <c r="V222" s="33" t="s">
        <v>257</v>
      </c>
      <c r="W222" s="33"/>
      <c r="X222" s="33"/>
      <c r="Y222" s="33" t="s">
        <v>341</v>
      </c>
      <c r="Z222" s="33" t="s">
        <v>169</v>
      </c>
      <c r="AA222" s="33"/>
      <c r="AB222" s="33"/>
      <c r="AC222" s="25"/>
      <c r="AD222" s="51" t="s">
        <v>77</v>
      </c>
      <c r="AE222" s="25" t="s">
        <v>78</v>
      </c>
      <c r="AF222" s="25" t="s">
        <v>78</v>
      </c>
      <c r="AG222" s="25"/>
      <c r="AH222" s="18"/>
      <c r="AI222" s="129" t="s">
        <v>1613</v>
      </c>
      <c r="AJ222" s="33" t="s">
        <v>76</v>
      </c>
      <c r="AK222" s="25" t="s">
        <v>1614</v>
      </c>
      <c r="AL222" s="43" t="s">
        <v>1615</v>
      </c>
      <c r="AM222" s="36" t="s">
        <v>77</v>
      </c>
      <c r="AN222" s="33" t="s">
        <v>229</v>
      </c>
      <c r="AO222" s="25"/>
      <c r="AP222" s="33" t="s">
        <v>1616</v>
      </c>
      <c r="AQ222" s="43" t="s">
        <v>1617</v>
      </c>
      <c r="AR222" s="33" t="s">
        <v>85</v>
      </c>
      <c r="AS222" s="42" t="s">
        <v>1618</v>
      </c>
      <c r="AT222" s="42" t="s">
        <v>1191</v>
      </c>
      <c r="AU222" s="18"/>
      <c r="AV222" s="18"/>
      <c r="AX222" s="17"/>
      <c r="AY222" s="34">
        <v>7340301</v>
      </c>
      <c r="AZ222" s="33">
        <v>240</v>
      </c>
      <c r="BC222" s="43" t="s">
        <v>2250</v>
      </c>
    </row>
    <row r="223" spans="1:67" ht="24.95" customHeight="1" x14ac:dyDescent="0.25">
      <c r="B223" s="36">
        <f>SUBTOTAL(103,$M$2:M223)</f>
        <v>222</v>
      </c>
      <c r="C223" s="130">
        <v>2</v>
      </c>
      <c r="D223" s="33" t="s">
        <v>79</v>
      </c>
      <c r="E223" s="36" t="s">
        <v>3</v>
      </c>
      <c r="F223" s="34" t="s">
        <v>33</v>
      </c>
      <c r="G223" s="33" t="s">
        <v>2675</v>
      </c>
      <c r="H223" s="33" t="s">
        <v>2677</v>
      </c>
      <c r="I223" s="33" t="s">
        <v>2535</v>
      </c>
      <c r="J223" s="33" t="s">
        <v>2536</v>
      </c>
      <c r="K223" s="25" t="s">
        <v>1619</v>
      </c>
      <c r="L223" s="25" t="s">
        <v>1620</v>
      </c>
      <c r="M223" s="38" t="s">
        <v>2251</v>
      </c>
      <c r="N223" s="33" t="s">
        <v>981</v>
      </c>
      <c r="O223" s="36">
        <v>1</v>
      </c>
      <c r="P223" s="36"/>
      <c r="Q223" s="36" t="s">
        <v>492</v>
      </c>
      <c r="R223" s="33" t="s">
        <v>2649</v>
      </c>
      <c r="S223" s="33" t="s">
        <v>2053</v>
      </c>
      <c r="T223" s="25" t="s">
        <v>202</v>
      </c>
      <c r="U223" s="33">
        <v>2012</v>
      </c>
      <c r="V223" s="36" t="s">
        <v>74</v>
      </c>
      <c r="W223" s="33" t="s">
        <v>1291</v>
      </c>
      <c r="X223" s="33"/>
      <c r="Y223" s="33"/>
      <c r="Z223" s="37"/>
      <c r="AA223" s="37"/>
      <c r="AB223" s="33"/>
      <c r="AC223" s="25"/>
      <c r="AD223" s="51" t="s">
        <v>904</v>
      </c>
      <c r="AE223" s="33" t="s">
        <v>78</v>
      </c>
      <c r="AF223" s="33"/>
      <c r="AG223" s="25"/>
      <c r="AH223" s="127"/>
      <c r="AI223" s="37" t="s">
        <v>1621</v>
      </c>
      <c r="AJ223" s="33" t="s">
        <v>76</v>
      </c>
      <c r="AK223" s="25"/>
      <c r="AL223" s="43" t="s">
        <v>1622</v>
      </c>
      <c r="AM223" s="36" t="s">
        <v>77</v>
      </c>
      <c r="AN223" s="37" t="s">
        <v>1623</v>
      </c>
      <c r="AO223" s="37"/>
      <c r="AP223" s="37" t="s">
        <v>1624</v>
      </c>
      <c r="AQ223" s="43" t="s">
        <v>1625</v>
      </c>
      <c r="AR223" s="33" t="s">
        <v>85</v>
      </c>
      <c r="AS223" s="64" t="s">
        <v>659</v>
      </c>
      <c r="AT223" s="25" t="s">
        <v>1004</v>
      </c>
      <c r="AU223" s="45"/>
      <c r="AV223" s="18"/>
      <c r="AW223" s="17"/>
      <c r="AX223" s="17"/>
      <c r="AY223" s="34">
        <v>7340301</v>
      </c>
      <c r="AZ223" s="33">
        <v>241</v>
      </c>
      <c r="BB223" s="17"/>
      <c r="BC223" s="43" t="s">
        <v>2251</v>
      </c>
      <c r="BD223" s="17"/>
      <c r="BM223" s="46"/>
      <c r="BN223" s="46"/>
      <c r="BO223" s="47"/>
    </row>
    <row r="224" spans="1:67" ht="24.95" customHeight="1" x14ac:dyDescent="0.25">
      <c r="B224" s="36">
        <f>SUBTOTAL(103,$M$2:M224)</f>
        <v>223</v>
      </c>
      <c r="C224" s="33">
        <v>3</v>
      </c>
      <c r="D224" s="33" t="s">
        <v>79</v>
      </c>
      <c r="E224" s="33" t="s">
        <v>3</v>
      </c>
      <c r="F224" s="34" t="s">
        <v>33</v>
      </c>
      <c r="G224" s="33" t="s">
        <v>2675</v>
      </c>
      <c r="H224" s="33" t="s">
        <v>2677</v>
      </c>
      <c r="I224" s="33" t="s">
        <v>2535</v>
      </c>
      <c r="J224" s="33" t="s">
        <v>2537</v>
      </c>
      <c r="K224" s="25" t="s">
        <v>357</v>
      </c>
      <c r="L224" s="25" t="s">
        <v>742</v>
      </c>
      <c r="M224" s="38" t="s">
        <v>2145</v>
      </c>
      <c r="N224" s="36" t="s">
        <v>91</v>
      </c>
      <c r="O224" s="36">
        <v>1</v>
      </c>
      <c r="P224" s="36">
        <v>1</v>
      </c>
      <c r="Q224" s="36" t="s">
        <v>71</v>
      </c>
      <c r="R224" s="33" t="s">
        <v>2649</v>
      </c>
      <c r="S224" s="33" t="s">
        <v>2053</v>
      </c>
      <c r="T224" s="25" t="s">
        <v>1626</v>
      </c>
      <c r="U224" s="33">
        <v>2012</v>
      </c>
      <c r="V224" s="36" t="s">
        <v>169</v>
      </c>
      <c r="W224" s="33" t="s">
        <v>538</v>
      </c>
      <c r="X224" s="33"/>
      <c r="Y224" s="33"/>
      <c r="Z224" s="37"/>
      <c r="AA224" s="37"/>
      <c r="AB224" s="33"/>
      <c r="AC224" s="25"/>
      <c r="AD224" s="51" t="s">
        <v>77</v>
      </c>
      <c r="AE224" s="33" t="s">
        <v>78</v>
      </c>
      <c r="AF224" s="33"/>
      <c r="AG224" s="25"/>
      <c r="AH224" s="127"/>
      <c r="AI224" s="33" t="s">
        <v>1627</v>
      </c>
      <c r="AJ224" s="33" t="s">
        <v>76</v>
      </c>
      <c r="AK224" s="25"/>
      <c r="AL224" s="43" t="s">
        <v>1628</v>
      </c>
      <c r="AM224" s="36" t="s">
        <v>77</v>
      </c>
      <c r="AN224" s="37" t="s">
        <v>720</v>
      </c>
      <c r="AO224" s="37"/>
      <c r="AP224" s="33" t="s">
        <v>1629</v>
      </c>
      <c r="AQ224" s="43" t="s">
        <v>1630</v>
      </c>
      <c r="AR224" s="33" t="s">
        <v>550</v>
      </c>
      <c r="AS224" s="42"/>
      <c r="AT224" s="25" t="s">
        <v>917</v>
      </c>
      <c r="AU224" s="45"/>
      <c r="AV224" s="18"/>
      <c r="AW224" s="17"/>
      <c r="AX224" s="17"/>
      <c r="AY224" s="34">
        <v>7340301</v>
      </c>
      <c r="AZ224" s="33">
        <v>242</v>
      </c>
      <c r="BB224" s="17"/>
      <c r="BC224" s="43" t="s">
        <v>2145</v>
      </c>
      <c r="BD224" s="17"/>
      <c r="BM224" s="46"/>
      <c r="BN224" s="46"/>
      <c r="BO224" s="47"/>
    </row>
    <row r="225" spans="1:67" ht="24.95" customHeight="1" x14ac:dyDescent="0.25">
      <c r="B225" s="36">
        <f>SUBTOTAL(103,$M$2:M225)</f>
        <v>224</v>
      </c>
      <c r="C225" s="130">
        <v>4</v>
      </c>
      <c r="D225" s="33" t="s">
        <v>79</v>
      </c>
      <c r="E225" s="36" t="s">
        <v>3</v>
      </c>
      <c r="F225" s="34" t="s">
        <v>33</v>
      </c>
      <c r="G225" s="33" t="s">
        <v>2675</v>
      </c>
      <c r="H225" s="33" t="s">
        <v>2677</v>
      </c>
      <c r="I225" s="33" t="s">
        <v>2535</v>
      </c>
      <c r="J225" s="33" t="s">
        <v>2538</v>
      </c>
      <c r="K225" s="25" t="s">
        <v>376</v>
      </c>
      <c r="L225" s="25" t="s">
        <v>262</v>
      </c>
      <c r="M225" s="38" t="s">
        <v>2252</v>
      </c>
      <c r="N225" s="36" t="s">
        <v>91</v>
      </c>
      <c r="O225" s="36">
        <v>1</v>
      </c>
      <c r="P225" s="36">
        <v>1</v>
      </c>
      <c r="Q225" s="36" t="s">
        <v>71</v>
      </c>
      <c r="R225" s="33" t="s">
        <v>2649</v>
      </c>
      <c r="S225" s="33" t="s">
        <v>2053</v>
      </c>
      <c r="T225" s="25" t="s">
        <v>1631</v>
      </c>
      <c r="U225" s="33">
        <v>2021</v>
      </c>
      <c r="V225" s="36" t="s">
        <v>74</v>
      </c>
      <c r="W225" s="33" t="s">
        <v>501</v>
      </c>
      <c r="X225" s="33" t="s">
        <v>445</v>
      </c>
      <c r="Y225" s="33" t="s">
        <v>436</v>
      </c>
      <c r="Z225" s="37" t="s">
        <v>74</v>
      </c>
      <c r="AA225" s="37"/>
      <c r="AB225" s="33"/>
      <c r="AC225" s="25"/>
      <c r="AD225" s="88" t="s">
        <v>77</v>
      </c>
      <c r="AE225" s="17" t="s">
        <v>78</v>
      </c>
      <c r="AF225" s="17" t="s">
        <v>78</v>
      </c>
      <c r="AH225" s="127"/>
      <c r="AI225" s="17" t="s">
        <v>1632</v>
      </c>
      <c r="AJ225" s="17" t="s">
        <v>76</v>
      </c>
      <c r="AL225" s="107" t="s">
        <v>1633</v>
      </c>
      <c r="AM225" s="19" t="s">
        <v>77</v>
      </c>
      <c r="AN225" s="88" t="s">
        <v>150</v>
      </c>
      <c r="AO225" s="88"/>
      <c r="AP225" s="17" t="s">
        <v>1634</v>
      </c>
      <c r="AQ225" s="107" t="s">
        <v>1635</v>
      </c>
      <c r="AR225" s="24" t="s">
        <v>85</v>
      </c>
      <c r="AS225" s="20"/>
      <c r="AT225" s="25" t="s">
        <v>531</v>
      </c>
      <c r="AU225" s="45"/>
      <c r="AV225" s="18"/>
      <c r="AW225" s="17"/>
      <c r="AX225" s="17"/>
      <c r="AY225" s="17">
        <v>7340301</v>
      </c>
      <c r="AZ225" s="33">
        <v>243</v>
      </c>
      <c r="BB225" s="17"/>
      <c r="BC225" s="43" t="s">
        <v>2252</v>
      </c>
      <c r="BD225" s="17"/>
      <c r="BM225" s="46"/>
      <c r="BN225" s="46"/>
      <c r="BO225" s="47"/>
    </row>
    <row r="226" spans="1:67" ht="24.95" customHeight="1" x14ac:dyDescent="0.25">
      <c r="B226" s="36">
        <f>SUBTOTAL(103,$M$2:M226)</f>
        <v>225</v>
      </c>
      <c r="C226" s="33">
        <v>5</v>
      </c>
      <c r="D226" s="33" t="s">
        <v>79</v>
      </c>
      <c r="E226" s="33" t="s">
        <v>3</v>
      </c>
      <c r="F226" s="34" t="s">
        <v>33</v>
      </c>
      <c r="G226" s="33" t="s">
        <v>2675</v>
      </c>
      <c r="H226" s="33" t="s">
        <v>2677</v>
      </c>
      <c r="I226" s="33" t="s">
        <v>2535</v>
      </c>
      <c r="J226" s="33" t="s">
        <v>2539</v>
      </c>
      <c r="K226" s="25" t="s">
        <v>1636</v>
      </c>
      <c r="L226" s="25" t="s">
        <v>126</v>
      </c>
      <c r="M226" s="38" t="s">
        <v>2091</v>
      </c>
      <c r="N226" s="33" t="s">
        <v>91</v>
      </c>
      <c r="O226" s="36">
        <v>1</v>
      </c>
      <c r="P226" s="36">
        <v>1</v>
      </c>
      <c r="Q226" s="33" t="s">
        <v>71</v>
      </c>
      <c r="R226" s="33" t="s">
        <v>2649</v>
      </c>
      <c r="S226" s="33" t="s">
        <v>2053</v>
      </c>
      <c r="T226" s="25" t="s">
        <v>1631</v>
      </c>
      <c r="U226" s="33">
        <v>2011</v>
      </c>
      <c r="V226" s="33" t="s">
        <v>157</v>
      </c>
      <c r="W226" s="33" t="s">
        <v>609</v>
      </c>
      <c r="X226" s="33"/>
      <c r="Y226" s="33" t="s">
        <v>352</v>
      </c>
      <c r="Z226" s="37" t="s">
        <v>74</v>
      </c>
      <c r="AA226" s="37"/>
      <c r="AB226" s="33"/>
      <c r="AC226" s="25"/>
      <c r="AD226" s="51" t="s">
        <v>77</v>
      </c>
      <c r="AE226" s="25" t="s">
        <v>78</v>
      </c>
      <c r="AF226" s="25" t="s">
        <v>78</v>
      </c>
      <c r="AG226" s="25"/>
      <c r="AH226" s="127"/>
      <c r="AI226" s="33" t="s">
        <v>1637</v>
      </c>
      <c r="AJ226" s="33"/>
      <c r="AK226" s="25"/>
      <c r="AL226" s="43" t="s">
        <v>1638</v>
      </c>
      <c r="AM226" s="36" t="s">
        <v>77</v>
      </c>
      <c r="AN226" s="33" t="s">
        <v>468</v>
      </c>
      <c r="AO226" s="25"/>
      <c r="AP226" s="33" t="s">
        <v>1639</v>
      </c>
      <c r="AQ226" s="43" t="s">
        <v>1640</v>
      </c>
      <c r="AR226" s="33" t="s">
        <v>85</v>
      </c>
      <c r="AS226" s="20"/>
      <c r="AT226" s="25" t="s">
        <v>145</v>
      </c>
      <c r="AU226" s="45"/>
      <c r="AV226" s="18"/>
      <c r="AW226" s="17"/>
      <c r="AX226" s="17"/>
      <c r="AY226" s="34">
        <v>7340301</v>
      </c>
      <c r="AZ226" s="33">
        <v>244</v>
      </c>
      <c r="BB226" s="17"/>
      <c r="BC226" s="43" t="s">
        <v>2091</v>
      </c>
      <c r="BD226" s="17"/>
      <c r="BM226" s="46"/>
      <c r="BN226" s="46"/>
      <c r="BO226" s="47"/>
    </row>
    <row r="227" spans="1:67" ht="24.95" customHeight="1" x14ac:dyDescent="0.25">
      <c r="B227" s="36">
        <f>SUBTOTAL(103,$M$2:M227)</f>
        <v>226</v>
      </c>
      <c r="C227" s="130">
        <v>6</v>
      </c>
      <c r="D227" s="33" t="s">
        <v>79</v>
      </c>
      <c r="E227" s="33" t="s">
        <v>3</v>
      </c>
      <c r="F227" s="34" t="s">
        <v>33</v>
      </c>
      <c r="G227" s="33" t="s">
        <v>2675</v>
      </c>
      <c r="H227" s="33" t="s">
        <v>2677</v>
      </c>
      <c r="I227" s="33" t="s">
        <v>2535</v>
      </c>
      <c r="J227" s="33" t="s">
        <v>2540</v>
      </c>
      <c r="K227" s="25" t="s">
        <v>442</v>
      </c>
      <c r="L227" s="25" t="s">
        <v>850</v>
      </c>
      <c r="M227" s="38" t="s">
        <v>2253</v>
      </c>
      <c r="N227" s="33" t="s">
        <v>91</v>
      </c>
      <c r="O227" s="36">
        <v>1</v>
      </c>
      <c r="P227" s="36"/>
      <c r="Q227" s="33" t="s">
        <v>71</v>
      </c>
      <c r="R227" s="33" t="s">
        <v>2649</v>
      </c>
      <c r="S227" s="33" t="s">
        <v>2053</v>
      </c>
      <c r="T227" s="25" t="s">
        <v>19</v>
      </c>
      <c r="U227" s="33">
        <v>2012</v>
      </c>
      <c r="V227" s="33" t="s">
        <v>257</v>
      </c>
      <c r="W227" s="33" t="s">
        <v>1386</v>
      </c>
      <c r="X227" s="33"/>
      <c r="Y227" s="33"/>
      <c r="Z227" s="33"/>
      <c r="AA227" s="37"/>
      <c r="AB227" s="33"/>
      <c r="AC227" s="25"/>
      <c r="AD227" s="115" t="s">
        <v>77</v>
      </c>
      <c r="AE227" s="67" t="s">
        <v>78</v>
      </c>
      <c r="AF227" s="67"/>
      <c r="AG227" s="67"/>
      <c r="AH227" s="18"/>
      <c r="AI227" s="66" t="s">
        <v>1641</v>
      </c>
      <c r="AJ227" s="65" t="s">
        <v>76</v>
      </c>
      <c r="AK227" s="67"/>
      <c r="AL227" s="69" t="s">
        <v>1642</v>
      </c>
      <c r="AM227" s="65" t="s">
        <v>77</v>
      </c>
      <c r="AN227" s="120" t="s">
        <v>150</v>
      </c>
      <c r="AO227" s="120"/>
      <c r="AP227" s="66" t="s">
        <v>1643</v>
      </c>
      <c r="AQ227" s="69" t="s">
        <v>1644</v>
      </c>
      <c r="AR227" s="66" t="s">
        <v>85</v>
      </c>
      <c r="AS227" s="68" t="s">
        <v>1645</v>
      </c>
      <c r="AT227" s="67" t="s">
        <v>472</v>
      </c>
      <c r="AU227" s="45"/>
      <c r="AV227" s="18"/>
      <c r="AW227" s="17"/>
      <c r="AX227" s="17"/>
      <c r="AY227" s="34">
        <v>7340301</v>
      </c>
      <c r="AZ227" s="33">
        <v>245</v>
      </c>
      <c r="BB227" s="17"/>
      <c r="BC227" s="43" t="s">
        <v>2253</v>
      </c>
      <c r="BD227" s="17"/>
      <c r="BM227" s="46"/>
      <c r="BN227" s="46"/>
      <c r="BO227" s="47"/>
    </row>
    <row r="228" spans="1:67" ht="24.95" customHeight="1" x14ac:dyDescent="0.25">
      <c r="B228" s="36">
        <f>SUBTOTAL(103,$M$2:M228)</f>
        <v>227</v>
      </c>
      <c r="C228" s="33">
        <v>7</v>
      </c>
      <c r="D228" s="33" t="s">
        <v>79</v>
      </c>
      <c r="E228" s="33" t="s">
        <v>3</v>
      </c>
      <c r="F228" s="131" t="s">
        <v>33</v>
      </c>
      <c r="G228" s="33" t="s">
        <v>2675</v>
      </c>
      <c r="H228" s="33" t="s">
        <v>2677</v>
      </c>
      <c r="I228" s="33" t="s">
        <v>2535</v>
      </c>
      <c r="J228" s="33" t="s">
        <v>2541</v>
      </c>
      <c r="K228" s="48" t="s">
        <v>234</v>
      </c>
      <c r="L228" s="49" t="s">
        <v>290</v>
      </c>
      <c r="M228" s="50" t="s">
        <v>2254</v>
      </c>
      <c r="N228" s="37" t="s">
        <v>91</v>
      </c>
      <c r="O228" s="36">
        <v>1</v>
      </c>
      <c r="P228" s="36"/>
      <c r="Q228" s="37" t="s">
        <v>71</v>
      </c>
      <c r="R228" s="33" t="s">
        <v>2649</v>
      </c>
      <c r="S228" s="33" t="s">
        <v>2053</v>
      </c>
      <c r="T228" s="48" t="s">
        <v>1646</v>
      </c>
      <c r="U228" s="37" t="s">
        <v>1647</v>
      </c>
      <c r="V228" s="37" t="s">
        <v>257</v>
      </c>
      <c r="W228" s="37" t="s">
        <v>1648</v>
      </c>
      <c r="X228" s="37"/>
      <c r="Y228" s="37" t="s">
        <v>570</v>
      </c>
      <c r="Z228" s="37" t="s">
        <v>169</v>
      </c>
      <c r="AA228" s="37"/>
      <c r="AB228" s="37"/>
      <c r="AC228" s="25"/>
      <c r="AD228" s="115" t="s">
        <v>77</v>
      </c>
      <c r="AE228" s="120" t="s">
        <v>78</v>
      </c>
      <c r="AF228" s="120" t="s">
        <v>78</v>
      </c>
      <c r="AG228" s="120"/>
      <c r="AH228" s="88"/>
      <c r="AI228" s="120" t="s">
        <v>1649</v>
      </c>
      <c r="AJ228" s="120" t="s">
        <v>76</v>
      </c>
      <c r="AK228" s="120"/>
      <c r="AL228" s="124" t="s">
        <v>1650</v>
      </c>
      <c r="AM228" s="65" t="s">
        <v>77</v>
      </c>
      <c r="AN228" s="120" t="s">
        <v>354</v>
      </c>
      <c r="AO228" s="120"/>
      <c r="AP228" s="120" t="s">
        <v>1651</v>
      </c>
      <c r="AQ228" s="124" t="s">
        <v>1652</v>
      </c>
      <c r="AR228" s="120" t="s">
        <v>85</v>
      </c>
      <c r="AS228" s="68"/>
      <c r="AT228" s="67" t="s">
        <v>101</v>
      </c>
      <c r="AU228" s="45"/>
      <c r="AV228" s="18"/>
      <c r="AW228" s="17"/>
      <c r="AX228" s="17"/>
      <c r="AY228" s="34">
        <v>7340301</v>
      </c>
      <c r="AZ228" s="33">
        <v>246</v>
      </c>
      <c r="BB228" s="17"/>
      <c r="BC228" s="50" t="s">
        <v>2254</v>
      </c>
      <c r="BD228" s="17"/>
      <c r="BM228" s="46"/>
      <c r="BN228" s="46"/>
      <c r="BO228" s="47"/>
    </row>
    <row r="229" spans="1:67" ht="24.95" customHeight="1" x14ac:dyDescent="0.25">
      <c r="B229" s="36">
        <f>SUBTOTAL(103,$M$2:M229)</f>
        <v>228</v>
      </c>
      <c r="C229" s="130">
        <v>8</v>
      </c>
      <c r="D229" s="33" t="s">
        <v>79</v>
      </c>
      <c r="E229" s="33" t="s">
        <v>3</v>
      </c>
      <c r="F229" s="131" t="s">
        <v>33</v>
      </c>
      <c r="G229" s="33" t="s">
        <v>2675</v>
      </c>
      <c r="H229" s="33" t="s">
        <v>2677</v>
      </c>
      <c r="I229" s="33" t="s">
        <v>2535</v>
      </c>
      <c r="J229" s="33" t="s">
        <v>2542</v>
      </c>
      <c r="K229" s="25" t="s">
        <v>1653</v>
      </c>
      <c r="L229" s="74" t="s">
        <v>290</v>
      </c>
      <c r="M229" s="38" t="s">
        <v>2255</v>
      </c>
      <c r="N229" s="36" t="s">
        <v>91</v>
      </c>
      <c r="O229" s="36">
        <v>1</v>
      </c>
      <c r="P229" s="36">
        <v>1</v>
      </c>
      <c r="Q229" s="36" t="s">
        <v>71</v>
      </c>
      <c r="R229" s="33" t="s">
        <v>2649</v>
      </c>
      <c r="S229" s="33" t="s">
        <v>2053</v>
      </c>
      <c r="T229" s="25" t="s">
        <v>18</v>
      </c>
      <c r="U229" s="33">
        <v>2017</v>
      </c>
      <c r="V229" s="36" t="s">
        <v>257</v>
      </c>
      <c r="W229" s="33" t="s">
        <v>1654</v>
      </c>
      <c r="X229" s="33"/>
      <c r="Y229" s="33"/>
      <c r="Z229" s="33"/>
      <c r="AA229" s="37"/>
      <c r="AB229" s="33"/>
      <c r="AC229" s="25"/>
      <c r="AD229" s="115" t="s">
        <v>77</v>
      </c>
      <c r="AE229" s="66" t="s">
        <v>78</v>
      </c>
      <c r="AF229" s="66"/>
      <c r="AG229" s="67"/>
      <c r="AH229" s="127"/>
      <c r="AI229" s="66" t="s">
        <v>1655</v>
      </c>
      <c r="AJ229" s="66" t="s">
        <v>76</v>
      </c>
      <c r="AK229" s="67"/>
      <c r="AL229" s="69" t="s">
        <v>1656</v>
      </c>
      <c r="AM229" s="65" t="s">
        <v>77</v>
      </c>
      <c r="AN229" s="120" t="s">
        <v>150</v>
      </c>
      <c r="AO229" s="120"/>
      <c r="AP229" s="66" t="s">
        <v>208</v>
      </c>
      <c r="AQ229" s="69" t="s">
        <v>1657</v>
      </c>
      <c r="AR229" s="66" t="s">
        <v>85</v>
      </c>
      <c r="AS229" s="68" t="s">
        <v>1658</v>
      </c>
      <c r="AT229" s="67" t="s">
        <v>1074</v>
      </c>
      <c r="AU229" s="45"/>
      <c r="AV229" s="18"/>
      <c r="AW229" s="17"/>
      <c r="AX229" s="17"/>
      <c r="AY229" s="34">
        <v>7340301</v>
      </c>
      <c r="AZ229" s="33">
        <v>247</v>
      </c>
      <c r="BB229" s="17"/>
      <c r="BC229" s="43" t="s">
        <v>2255</v>
      </c>
      <c r="BD229" s="17"/>
      <c r="BM229" s="46"/>
      <c r="BN229" s="46"/>
      <c r="BO229" s="47"/>
    </row>
    <row r="230" spans="1:67" ht="24.95" customHeight="1" x14ac:dyDescent="0.25">
      <c r="A230" s="18" t="s">
        <v>2862</v>
      </c>
      <c r="B230" s="36">
        <f>SUBTOTAL(103,$M$2:M230)</f>
        <v>229</v>
      </c>
      <c r="C230" s="33">
        <v>1</v>
      </c>
      <c r="D230" s="33" t="s">
        <v>79</v>
      </c>
      <c r="E230" s="33" t="s">
        <v>3</v>
      </c>
      <c r="F230" s="34" t="s">
        <v>33</v>
      </c>
      <c r="G230" s="33" t="s">
        <v>2675</v>
      </c>
      <c r="H230" s="33" t="s">
        <v>2677</v>
      </c>
      <c r="I230" s="33" t="s">
        <v>2535</v>
      </c>
      <c r="J230" s="33" t="s">
        <v>2884</v>
      </c>
      <c r="K230" s="25" t="s">
        <v>2718</v>
      </c>
      <c r="L230" s="25" t="s">
        <v>2029</v>
      </c>
      <c r="M230" s="38" t="s">
        <v>2719</v>
      </c>
      <c r="N230" s="33" t="s">
        <v>70</v>
      </c>
      <c r="O230" s="135">
        <v>0</v>
      </c>
      <c r="P230" s="135">
        <v>1</v>
      </c>
      <c r="Q230" s="33" t="s">
        <v>71</v>
      </c>
      <c r="R230" s="33" t="s">
        <v>2649</v>
      </c>
      <c r="S230" s="36" t="s">
        <v>2053</v>
      </c>
      <c r="T230" s="125" t="s">
        <v>19</v>
      </c>
      <c r="U230" s="33">
        <v>2020</v>
      </c>
      <c r="V230" s="33" t="s">
        <v>169</v>
      </c>
      <c r="W230" s="33" t="s">
        <v>2720</v>
      </c>
      <c r="X230" s="33"/>
      <c r="Y230" s="33" t="s">
        <v>466</v>
      </c>
      <c r="Z230" s="33" t="s">
        <v>74</v>
      </c>
      <c r="AA230" s="25"/>
      <c r="AB230" s="33"/>
      <c r="AC230" s="33" t="s">
        <v>3</v>
      </c>
      <c r="AD230" s="37" t="s">
        <v>77</v>
      </c>
      <c r="AE230" s="25" t="s">
        <v>78</v>
      </c>
      <c r="AF230" s="25" t="s">
        <v>78</v>
      </c>
      <c r="AG230" s="103"/>
      <c r="AH230" s="25"/>
      <c r="AI230" s="33" t="s">
        <v>2721</v>
      </c>
      <c r="AJ230" s="33" t="s">
        <v>76</v>
      </c>
      <c r="AK230" s="25"/>
      <c r="AL230" s="43" t="s">
        <v>2722</v>
      </c>
      <c r="AM230" s="36" t="s">
        <v>77</v>
      </c>
      <c r="AN230" s="33" t="s">
        <v>2723</v>
      </c>
      <c r="AP230" s="33" t="s">
        <v>2724</v>
      </c>
      <c r="AQ230" s="43" t="s">
        <v>2725</v>
      </c>
      <c r="AR230" s="25"/>
      <c r="AS230" s="25"/>
      <c r="AT230" s="25"/>
      <c r="AU230" s="18"/>
      <c r="AV230" s="84" t="s">
        <v>19</v>
      </c>
      <c r="AW230" s="17"/>
      <c r="BC230" s="18"/>
      <c r="BN230" s="18"/>
      <c r="BO230" s="18"/>
    </row>
    <row r="231" spans="1:67" ht="24.95" customHeight="1" x14ac:dyDescent="0.25">
      <c r="A231" s="18" t="s">
        <v>2862</v>
      </c>
      <c r="B231" s="36">
        <f>SUBTOTAL(103,$M$2:M231)</f>
        <v>230</v>
      </c>
      <c r="C231" s="33">
        <v>2</v>
      </c>
      <c r="D231" s="33" t="s">
        <v>79</v>
      </c>
      <c r="E231" s="33" t="s">
        <v>3</v>
      </c>
      <c r="F231" s="34" t="s">
        <v>33</v>
      </c>
      <c r="G231" s="33" t="s">
        <v>2675</v>
      </c>
      <c r="H231" s="33" t="s">
        <v>2677</v>
      </c>
      <c r="I231" s="33" t="s">
        <v>2535</v>
      </c>
      <c r="J231" s="33" t="s">
        <v>2885</v>
      </c>
      <c r="K231" s="25" t="s">
        <v>103</v>
      </c>
      <c r="L231" s="25" t="s">
        <v>1534</v>
      </c>
      <c r="M231" s="38" t="s">
        <v>2726</v>
      </c>
      <c r="N231" s="33" t="s">
        <v>91</v>
      </c>
      <c r="O231" s="135">
        <v>1</v>
      </c>
      <c r="P231" s="135"/>
      <c r="Q231" s="33" t="s">
        <v>71</v>
      </c>
      <c r="R231" s="33" t="s">
        <v>2649</v>
      </c>
      <c r="S231" s="36" t="s">
        <v>2053</v>
      </c>
      <c r="T231" s="125" t="s">
        <v>1431</v>
      </c>
      <c r="U231" s="33">
        <v>2014</v>
      </c>
      <c r="V231" s="33" t="s">
        <v>257</v>
      </c>
      <c r="W231" s="33" t="s">
        <v>1896</v>
      </c>
      <c r="X231" s="33"/>
      <c r="Y231" s="33"/>
      <c r="Z231" s="33"/>
      <c r="AA231" s="25"/>
      <c r="AB231" s="33"/>
      <c r="AC231" s="33" t="s">
        <v>3</v>
      </c>
      <c r="AD231" s="37" t="s">
        <v>77</v>
      </c>
      <c r="AE231" s="25" t="s">
        <v>78</v>
      </c>
      <c r="AF231" s="25"/>
      <c r="AG231" s="103"/>
      <c r="AH231" s="25"/>
      <c r="AI231" s="33" t="s">
        <v>2727</v>
      </c>
      <c r="AJ231" s="33" t="s">
        <v>76</v>
      </c>
      <c r="AK231" s="25"/>
      <c r="AL231" s="43" t="s">
        <v>2728</v>
      </c>
      <c r="AM231" s="36" t="s">
        <v>77</v>
      </c>
      <c r="AN231" s="33" t="s">
        <v>2729</v>
      </c>
      <c r="AP231" s="33" t="s">
        <v>2730</v>
      </c>
      <c r="AQ231" s="43" t="s">
        <v>2731</v>
      </c>
      <c r="AR231" s="25"/>
      <c r="AS231" s="25"/>
      <c r="AT231" s="25"/>
      <c r="AU231" s="18"/>
      <c r="AV231" s="84" t="s">
        <v>19</v>
      </c>
      <c r="AW231" s="17"/>
      <c r="BC231" s="18"/>
      <c r="BN231" s="18"/>
      <c r="BO231" s="18"/>
    </row>
    <row r="232" spans="1:67" ht="24.95" customHeight="1" x14ac:dyDescent="0.25">
      <c r="A232" s="18" t="s">
        <v>2862</v>
      </c>
      <c r="B232" s="36">
        <f>SUBTOTAL(103,$M$2:M232)</f>
        <v>231</v>
      </c>
      <c r="C232" s="33">
        <v>3</v>
      </c>
      <c r="D232" s="33" t="s">
        <v>79</v>
      </c>
      <c r="E232" s="33" t="s">
        <v>3</v>
      </c>
      <c r="F232" s="34" t="s">
        <v>33</v>
      </c>
      <c r="G232" s="33" t="s">
        <v>2675</v>
      </c>
      <c r="H232" s="33" t="s">
        <v>2677</v>
      </c>
      <c r="I232" s="33" t="s">
        <v>2535</v>
      </c>
      <c r="J232" s="33" t="s">
        <v>2886</v>
      </c>
      <c r="K232" s="25" t="s">
        <v>390</v>
      </c>
      <c r="L232" s="25" t="s">
        <v>290</v>
      </c>
      <c r="M232" s="38" t="s">
        <v>2732</v>
      </c>
      <c r="N232" s="33" t="s">
        <v>91</v>
      </c>
      <c r="O232" s="135">
        <v>1</v>
      </c>
      <c r="P232" s="135"/>
      <c r="Q232" s="33" t="s">
        <v>71</v>
      </c>
      <c r="R232" s="33" t="s">
        <v>2649</v>
      </c>
      <c r="S232" s="36" t="s">
        <v>2053</v>
      </c>
      <c r="T232" s="125" t="s">
        <v>19</v>
      </c>
      <c r="U232" s="33">
        <v>2020</v>
      </c>
      <c r="V232" s="33" t="s">
        <v>74</v>
      </c>
      <c r="W232" s="33"/>
      <c r="X232" s="33"/>
      <c r="Y232" s="33"/>
      <c r="Z232" s="33"/>
      <c r="AA232" s="25"/>
      <c r="AB232" s="33"/>
      <c r="AC232" s="33" t="s">
        <v>3</v>
      </c>
      <c r="AD232" s="37" t="s">
        <v>77</v>
      </c>
      <c r="AE232" s="25" t="s">
        <v>78</v>
      </c>
      <c r="AF232" s="25"/>
      <c r="AG232" s="103"/>
      <c r="AH232" s="25"/>
      <c r="AI232" s="33" t="s">
        <v>678</v>
      </c>
      <c r="AJ232" s="33" t="s">
        <v>76</v>
      </c>
      <c r="AK232" s="25"/>
      <c r="AL232" s="43" t="s">
        <v>2733</v>
      </c>
      <c r="AM232" s="36" t="s">
        <v>77</v>
      </c>
      <c r="AN232" s="33" t="s">
        <v>286</v>
      </c>
      <c r="AP232" s="33" t="s">
        <v>2734</v>
      </c>
      <c r="AQ232" s="43" t="s">
        <v>2735</v>
      </c>
      <c r="AR232" s="25"/>
      <c r="AS232" s="25"/>
      <c r="AT232" s="25"/>
      <c r="AU232" s="18"/>
      <c r="AV232" s="84" t="s">
        <v>19</v>
      </c>
      <c r="AW232" s="17"/>
      <c r="BC232" s="18"/>
      <c r="BN232" s="18"/>
      <c r="BO232" s="18"/>
    </row>
    <row r="233" spans="1:67" ht="24.95" customHeight="1" x14ac:dyDescent="0.25">
      <c r="B233" s="36">
        <f>SUBTOTAL(103,$M$2:M233)</f>
        <v>232</v>
      </c>
      <c r="C233" s="33">
        <v>9</v>
      </c>
      <c r="D233" s="33" t="s">
        <v>79</v>
      </c>
      <c r="E233" s="33" t="s">
        <v>3</v>
      </c>
      <c r="F233" s="34" t="s">
        <v>34</v>
      </c>
      <c r="G233" s="33" t="s">
        <v>2675</v>
      </c>
      <c r="H233" s="33" t="s">
        <v>2677</v>
      </c>
      <c r="I233" s="33" t="s">
        <v>2535</v>
      </c>
      <c r="J233" s="35" t="s">
        <v>2543</v>
      </c>
      <c r="K233" s="25" t="s">
        <v>1659</v>
      </c>
      <c r="L233" s="25" t="s">
        <v>592</v>
      </c>
      <c r="M233" s="38" t="s">
        <v>2256</v>
      </c>
      <c r="N233" s="33" t="s">
        <v>70</v>
      </c>
      <c r="O233" s="33">
        <v>0</v>
      </c>
      <c r="P233" s="33">
        <v>1</v>
      </c>
      <c r="Q233" s="33" t="s">
        <v>71</v>
      </c>
      <c r="R233" s="33" t="s">
        <v>2649</v>
      </c>
      <c r="S233" s="33" t="s">
        <v>2053</v>
      </c>
      <c r="T233" s="25" t="s">
        <v>21</v>
      </c>
      <c r="U233" s="33">
        <v>2023</v>
      </c>
      <c r="V233" s="33" t="s">
        <v>74</v>
      </c>
      <c r="W233" s="33"/>
      <c r="X233" s="33" t="s">
        <v>694</v>
      </c>
      <c r="Y233" s="33" t="s">
        <v>75</v>
      </c>
      <c r="Z233" s="33" t="s">
        <v>74</v>
      </c>
      <c r="AA233" s="37"/>
      <c r="AB233" s="33"/>
      <c r="AC233" s="25"/>
      <c r="AD233" s="115" t="s">
        <v>77</v>
      </c>
      <c r="AE233" s="67" t="s">
        <v>78</v>
      </c>
      <c r="AF233" s="67" t="s">
        <v>78</v>
      </c>
      <c r="AG233" s="67"/>
      <c r="AH233" s="18"/>
      <c r="AI233" s="66" t="s">
        <v>1660</v>
      </c>
      <c r="AJ233" s="66" t="s">
        <v>76</v>
      </c>
      <c r="AK233" s="67"/>
      <c r="AL233" s="69" t="s">
        <v>1661</v>
      </c>
      <c r="AM233" s="65" t="s">
        <v>77</v>
      </c>
      <c r="AN233" s="66" t="s">
        <v>413</v>
      </c>
      <c r="AO233" s="67"/>
      <c r="AP233" s="66" t="s">
        <v>1662</v>
      </c>
      <c r="AQ233" s="69" t="s">
        <v>1663</v>
      </c>
      <c r="AR233" s="66" t="s">
        <v>85</v>
      </c>
      <c r="AS233" s="68"/>
      <c r="AT233" s="68" t="s">
        <v>1191</v>
      </c>
      <c r="AU233" s="18"/>
      <c r="AV233" s="18"/>
      <c r="AX233" s="17"/>
      <c r="AY233" s="34">
        <v>7340301</v>
      </c>
      <c r="AZ233" s="33">
        <v>248</v>
      </c>
      <c r="BC233" s="43" t="s">
        <v>2256</v>
      </c>
    </row>
    <row r="234" spans="1:67" ht="24.95" customHeight="1" x14ac:dyDescent="0.25">
      <c r="B234" s="36">
        <f>SUBTOTAL(103,$M$2:M234)</f>
        <v>233</v>
      </c>
      <c r="C234" s="130">
        <v>10</v>
      </c>
      <c r="D234" s="33" t="s">
        <v>79</v>
      </c>
      <c r="E234" s="33" t="s">
        <v>3</v>
      </c>
      <c r="F234" s="34" t="s">
        <v>34</v>
      </c>
      <c r="G234" s="33" t="s">
        <v>2675</v>
      </c>
      <c r="H234" s="33" t="s">
        <v>2677</v>
      </c>
      <c r="I234" s="33" t="s">
        <v>2535</v>
      </c>
      <c r="J234" s="35" t="s">
        <v>2544</v>
      </c>
      <c r="K234" s="25" t="s">
        <v>1664</v>
      </c>
      <c r="L234" s="25" t="s">
        <v>753</v>
      </c>
      <c r="M234" s="38" t="s">
        <v>2257</v>
      </c>
      <c r="N234" s="33" t="s">
        <v>91</v>
      </c>
      <c r="O234" s="36">
        <v>1</v>
      </c>
      <c r="P234" s="36"/>
      <c r="Q234" s="33" t="s">
        <v>71</v>
      </c>
      <c r="R234" s="33" t="s">
        <v>2649</v>
      </c>
      <c r="S234" s="33" t="s">
        <v>2053</v>
      </c>
      <c r="T234" s="25" t="s">
        <v>202</v>
      </c>
      <c r="U234" s="33">
        <v>2023</v>
      </c>
      <c r="V234" s="33" t="s">
        <v>74</v>
      </c>
      <c r="W234" s="33"/>
      <c r="X234" s="33" t="s">
        <v>1665</v>
      </c>
      <c r="Y234" s="33"/>
      <c r="Z234" s="33"/>
      <c r="AA234" s="33"/>
      <c r="AB234" s="33"/>
      <c r="AC234" s="25"/>
      <c r="AD234" s="115" t="s">
        <v>77</v>
      </c>
      <c r="AE234" s="67" t="s">
        <v>78</v>
      </c>
      <c r="AF234" s="67"/>
      <c r="AG234" s="67"/>
      <c r="AH234" s="18"/>
      <c r="AI234" s="66" t="s">
        <v>1660</v>
      </c>
      <c r="AJ234" s="66" t="s">
        <v>76</v>
      </c>
      <c r="AK234" s="67"/>
      <c r="AL234" s="69" t="s">
        <v>1666</v>
      </c>
      <c r="AM234" s="65" t="s">
        <v>1667</v>
      </c>
      <c r="AN234" s="66" t="s">
        <v>1668</v>
      </c>
      <c r="AO234" s="67"/>
      <c r="AP234" s="66" t="s">
        <v>1669</v>
      </c>
      <c r="AQ234" s="69" t="s">
        <v>1670</v>
      </c>
      <c r="AR234" s="66" t="s">
        <v>85</v>
      </c>
      <c r="AS234" s="68" t="s">
        <v>1671</v>
      </c>
      <c r="AT234" s="68" t="s">
        <v>1672</v>
      </c>
      <c r="AU234" s="18"/>
      <c r="AV234" s="18"/>
      <c r="AX234" s="17"/>
      <c r="AY234" s="34">
        <v>7340301</v>
      </c>
      <c r="AZ234" s="33">
        <v>249</v>
      </c>
      <c r="BC234" s="43" t="s">
        <v>2257</v>
      </c>
    </row>
    <row r="235" spans="1:67" ht="24.95" customHeight="1" x14ac:dyDescent="0.25">
      <c r="B235" s="36">
        <f>SUBTOTAL(103,$M$2:M235)</f>
        <v>234</v>
      </c>
      <c r="C235" s="33">
        <v>11</v>
      </c>
      <c r="D235" s="33" t="s">
        <v>79</v>
      </c>
      <c r="E235" s="36" t="s">
        <v>3</v>
      </c>
      <c r="F235" s="34" t="s">
        <v>34</v>
      </c>
      <c r="G235" s="33" t="s">
        <v>2675</v>
      </c>
      <c r="H235" s="33" t="s">
        <v>2677</v>
      </c>
      <c r="I235" s="33" t="s">
        <v>2535</v>
      </c>
      <c r="J235" s="35" t="s">
        <v>2545</v>
      </c>
      <c r="K235" s="25" t="s">
        <v>1673</v>
      </c>
      <c r="L235" s="25" t="s">
        <v>224</v>
      </c>
      <c r="M235" s="38" t="s">
        <v>2258</v>
      </c>
      <c r="N235" s="36" t="s">
        <v>91</v>
      </c>
      <c r="O235" s="36">
        <v>1</v>
      </c>
      <c r="P235" s="36">
        <v>1</v>
      </c>
      <c r="Q235" s="36" t="s">
        <v>71</v>
      </c>
      <c r="R235" s="33" t="s">
        <v>2649</v>
      </c>
      <c r="S235" s="33" t="s">
        <v>2053</v>
      </c>
      <c r="T235" s="25" t="s">
        <v>18</v>
      </c>
      <c r="U235" s="33">
        <v>2023</v>
      </c>
      <c r="V235" s="36" t="s">
        <v>157</v>
      </c>
      <c r="W235" s="33" t="s">
        <v>466</v>
      </c>
      <c r="X235" s="33" t="s">
        <v>1674</v>
      </c>
      <c r="Y235" s="33" t="s">
        <v>695</v>
      </c>
      <c r="Z235" s="37" t="s">
        <v>74</v>
      </c>
      <c r="AA235" s="37"/>
      <c r="AB235" s="33"/>
      <c r="AC235" s="25"/>
      <c r="AD235" s="115" t="s">
        <v>77</v>
      </c>
      <c r="AE235" s="66"/>
      <c r="AF235" s="66" t="s">
        <v>78</v>
      </c>
      <c r="AG235" s="67"/>
      <c r="AH235" s="127"/>
      <c r="AI235" s="66" t="s">
        <v>1675</v>
      </c>
      <c r="AJ235" s="66"/>
      <c r="AK235" s="67"/>
      <c r="AL235" s="69" t="s">
        <v>1676</v>
      </c>
      <c r="AM235" s="65" t="s">
        <v>77</v>
      </c>
      <c r="AN235" s="120" t="s">
        <v>141</v>
      </c>
      <c r="AO235" s="120"/>
      <c r="AP235" s="120" t="s">
        <v>1677</v>
      </c>
      <c r="AQ235" s="69" t="s">
        <v>1678</v>
      </c>
      <c r="AR235" s="132" t="s">
        <v>85</v>
      </c>
      <c r="AS235" s="68" t="s">
        <v>113</v>
      </c>
      <c r="AT235" s="67" t="s">
        <v>781</v>
      </c>
      <c r="AU235" s="45"/>
      <c r="AV235" s="18"/>
      <c r="AW235" s="17"/>
      <c r="AX235" s="17"/>
      <c r="AY235" s="34">
        <v>7340301</v>
      </c>
      <c r="AZ235" s="33">
        <v>250</v>
      </c>
      <c r="BB235" s="17"/>
      <c r="BC235" s="43" t="s">
        <v>2258</v>
      </c>
      <c r="BD235" s="17"/>
      <c r="BM235" s="46"/>
      <c r="BN235" s="46"/>
      <c r="BO235" s="47"/>
    </row>
    <row r="236" spans="1:67" ht="24.95" customHeight="1" x14ac:dyDescent="0.25">
      <c r="B236" s="36">
        <f>SUBTOTAL(103,$M$2:M236)</f>
        <v>235</v>
      </c>
      <c r="C236" s="130">
        <v>12</v>
      </c>
      <c r="D236" s="33" t="s">
        <v>79</v>
      </c>
      <c r="E236" s="33" t="s">
        <v>3</v>
      </c>
      <c r="F236" s="34" t="s">
        <v>34</v>
      </c>
      <c r="G236" s="33" t="s">
        <v>2675</v>
      </c>
      <c r="H236" s="33" t="s">
        <v>2677</v>
      </c>
      <c r="I236" s="33" t="s">
        <v>2535</v>
      </c>
      <c r="J236" s="35" t="s">
        <v>2546</v>
      </c>
      <c r="K236" s="25" t="s">
        <v>1679</v>
      </c>
      <c r="L236" s="25" t="s">
        <v>1680</v>
      </c>
      <c r="M236" s="38" t="s">
        <v>2139</v>
      </c>
      <c r="N236" s="33" t="s">
        <v>91</v>
      </c>
      <c r="O236" s="36">
        <v>1</v>
      </c>
      <c r="P236" s="36">
        <v>1</v>
      </c>
      <c r="Q236" s="33" t="s">
        <v>71</v>
      </c>
      <c r="R236" s="33" t="s">
        <v>2649</v>
      </c>
      <c r="S236" s="33" t="s">
        <v>2053</v>
      </c>
      <c r="T236" s="25" t="s">
        <v>2037</v>
      </c>
      <c r="U236" s="33">
        <v>2023</v>
      </c>
      <c r="V236" s="33" t="s">
        <v>157</v>
      </c>
      <c r="W236" s="33"/>
      <c r="X236" s="33" t="s">
        <v>476</v>
      </c>
      <c r="Y236" s="33" t="s">
        <v>94</v>
      </c>
      <c r="Z236" s="33" t="s">
        <v>74</v>
      </c>
      <c r="AA236" s="33"/>
      <c r="AB236" s="33"/>
      <c r="AC236" s="25"/>
      <c r="AD236" s="115" t="s">
        <v>77</v>
      </c>
      <c r="AE236" s="67" t="s">
        <v>78</v>
      </c>
      <c r="AF236" s="67" t="s">
        <v>78</v>
      </c>
      <c r="AG236" s="67"/>
      <c r="AH236" s="18"/>
      <c r="AI236" s="66" t="s">
        <v>1681</v>
      </c>
      <c r="AJ236" s="17" t="s">
        <v>76</v>
      </c>
      <c r="AL236" s="69" t="s">
        <v>1682</v>
      </c>
      <c r="AM236" s="65" t="s">
        <v>77</v>
      </c>
      <c r="AN236" s="66" t="s">
        <v>1683</v>
      </c>
      <c r="AO236" s="67"/>
      <c r="AP236" s="66" t="s">
        <v>1684</v>
      </c>
      <c r="AQ236" s="69" t="s">
        <v>1685</v>
      </c>
      <c r="AR236" s="66" t="s">
        <v>85</v>
      </c>
      <c r="AS236" s="68" t="s">
        <v>54</v>
      </c>
      <c r="AT236" s="133"/>
      <c r="AU236" s="18"/>
      <c r="AV236" s="18"/>
      <c r="AX236" s="17"/>
      <c r="AY236" s="34">
        <v>7340301</v>
      </c>
      <c r="AZ236" s="33">
        <v>251</v>
      </c>
      <c r="BC236" s="43" t="s">
        <v>2139</v>
      </c>
    </row>
    <row r="237" spans="1:67" ht="24.95" customHeight="1" x14ac:dyDescent="0.25">
      <c r="B237" s="36">
        <f>SUBTOTAL(103,$M$2:M237)</f>
        <v>236</v>
      </c>
      <c r="C237" s="33">
        <v>13</v>
      </c>
      <c r="D237" s="33" t="s">
        <v>79</v>
      </c>
      <c r="E237" s="33" t="s">
        <v>3</v>
      </c>
      <c r="F237" s="34" t="s">
        <v>34</v>
      </c>
      <c r="G237" s="33" t="s">
        <v>2675</v>
      </c>
      <c r="H237" s="33" t="s">
        <v>2677</v>
      </c>
      <c r="I237" s="33" t="s">
        <v>2535</v>
      </c>
      <c r="J237" s="35" t="s">
        <v>2547</v>
      </c>
      <c r="K237" s="25" t="s">
        <v>1063</v>
      </c>
      <c r="L237" s="25" t="s">
        <v>70</v>
      </c>
      <c r="M237" s="38" t="s">
        <v>2259</v>
      </c>
      <c r="N237" s="33" t="s">
        <v>70</v>
      </c>
      <c r="O237" s="33">
        <v>0</v>
      </c>
      <c r="P237" s="33">
        <v>1</v>
      </c>
      <c r="Q237" s="36" t="s">
        <v>71</v>
      </c>
      <c r="R237" s="33" t="s">
        <v>2649</v>
      </c>
      <c r="S237" s="33" t="s">
        <v>2053</v>
      </c>
      <c r="T237" s="25" t="s">
        <v>18</v>
      </c>
      <c r="U237" s="33">
        <v>2011</v>
      </c>
      <c r="V237" s="36" t="s">
        <v>169</v>
      </c>
      <c r="W237" s="33" t="s">
        <v>1686</v>
      </c>
      <c r="X237" s="33"/>
      <c r="Y237" s="33"/>
      <c r="Z237" s="37"/>
      <c r="AA237" s="37"/>
      <c r="AB237" s="33"/>
      <c r="AC237" s="25"/>
      <c r="AD237" s="115" t="s">
        <v>77</v>
      </c>
      <c r="AE237" s="67" t="s">
        <v>78</v>
      </c>
      <c r="AF237" s="66"/>
      <c r="AG237" s="66"/>
      <c r="AH237" s="127"/>
      <c r="AI237" s="66" t="s">
        <v>1687</v>
      </c>
      <c r="AJ237" s="17" t="s">
        <v>76</v>
      </c>
      <c r="AL237" s="69" t="s">
        <v>1688</v>
      </c>
      <c r="AM237" s="65" t="s">
        <v>77</v>
      </c>
      <c r="AN237" s="120" t="s">
        <v>468</v>
      </c>
      <c r="AO237" s="120"/>
      <c r="AP237" s="66" t="s">
        <v>1452</v>
      </c>
      <c r="AQ237" s="69" t="s">
        <v>1689</v>
      </c>
      <c r="AR237" s="66" t="s">
        <v>85</v>
      </c>
      <c r="AS237" s="67" t="s">
        <v>1690</v>
      </c>
      <c r="AT237" s="67" t="s">
        <v>198</v>
      </c>
      <c r="AU237" s="45"/>
      <c r="AV237" s="18"/>
      <c r="AW237" s="17"/>
      <c r="AX237" s="17"/>
      <c r="AY237" s="34">
        <v>7340301</v>
      </c>
      <c r="AZ237" s="33">
        <v>252</v>
      </c>
      <c r="BB237" s="17"/>
      <c r="BC237" s="43" t="s">
        <v>2259</v>
      </c>
      <c r="BD237" s="17"/>
      <c r="BM237" s="46"/>
      <c r="BN237" s="46"/>
      <c r="BO237" s="47"/>
    </row>
    <row r="238" spans="1:67" ht="24.95" customHeight="1" x14ac:dyDescent="0.25">
      <c r="B238" s="36">
        <f>SUBTOTAL(103,$M$2:M238)</f>
        <v>237</v>
      </c>
      <c r="C238" s="130">
        <v>14</v>
      </c>
      <c r="D238" s="33" t="s">
        <v>79</v>
      </c>
      <c r="E238" s="33" t="s">
        <v>3</v>
      </c>
      <c r="F238" s="34" t="s">
        <v>34</v>
      </c>
      <c r="G238" s="33" t="s">
        <v>2675</v>
      </c>
      <c r="H238" s="33" t="s">
        <v>2677</v>
      </c>
      <c r="I238" s="33" t="s">
        <v>2535</v>
      </c>
      <c r="J238" s="35" t="s">
        <v>2548</v>
      </c>
      <c r="K238" s="25" t="s">
        <v>1691</v>
      </c>
      <c r="L238" s="25" t="s">
        <v>646</v>
      </c>
      <c r="M238" s="38" t="s">
        <v>2260</v>
      </c>
      <c r="N238" s="33" t="s">
        <v>91</v>
      </c>
      <c r="O238" s="36">
        <v>1</v>
      </c>
      <c r="P238" s="36">
        <v>1</v>
      </c>
      <c r="Q238" s="33" t="s">
        <v>71</v>
      </c>
      <c r="R238" s="33" t="s">
        <v>2649</v>
      </c>
      <c r="S238" s="33" t="s">
        <v>2053</v>
      </c>
      <c r="T238" s="25" t="s">
        <v>30</v>
      </c>
      <c r="U238" s="33">
        <v>2023</v>
      </c>
      <c r="V238" s="33" t="s">
        <v>157</v>
      </c>
      <c r="W238" s="33" t="s">
        <v>1692</v>
      </c>
      <c r="X238" s="33"/>
      <c r="Y238" s="33" t="s">
        <v>525</v>
      </c>
      <c r="Z238" s="33" t="s">
        <v>157</v>
      </c>
      <c r="AA238" s="33"/>
      <c r="AB238" s="33"/>
      <c r="AC238" s="25"/>
      <c r="AD238" s="115" t="s">
        <v>77</v>
      </c>
      <c r="AE238" s="67" t="s">
        <v>78</v>
      </c>
      <c r="AF238" s="66" t="s">
        <v>78</v>
      </c>
      <c r="AH238" s="18"/>
      <c r="AI238" s="66" t="s">
        <v>283</v>
      </c>
      <c r="AJ238" s="66" t="s">
        <v>76</v>
      </c>
      <c r="AK238" s="67"/>
      <c r="AL238" s="69" t="s">
        <v>1693</v>
      </c>
      <c r="AM238" s="65" t="s">
        <v>77</v>
      </c>
      <c r="AN238" s="120" t="s">
        <v>150</v>
      </c>
      <c r="AO238" s="120"/>
      <c r="AP238" s="120" t="s">
        <v>1402</v>
      </c>
      <c r="AQ238" s="69" t="s">
        <v>1694</v>
      </c>
      <c r="AR238" s="66" t="s">
        <v>85</v>
      </c>
      <c r="AT238" s="67" t="s">
        <v>715</v>
      </c>
      <c r="AU238" s="45"/>
      <c r="AV238" s="18"/>
      <c r="AW238" s="17"/>
      <c r="AX238" s="17"/>
      <c r="AY238" s="34">
        <v>7340301</v>
      </c>
      <c r="AZ238" s="33">
        <v>253</v>
      </c>
      <c r="BB238" s="17"/>
      <c r="BC238" s="43" t="s">
        <v>2260</v>
      </c>
      <c r="BD238" s="17"/>
      <c r="BM238" s="46"/>
      <c r="BN238" s="46"/>
      <c r="BO238" s="47"/>
    </row>
    <row r="239" spans="1:67" ht="24.95" customHeight="1" x14ac:dyDescent="0.25">
      <c r="B239" s="36">
        <f>SUBTOTAL(103,$M$2:M239)</f>
        <v>238</v>
      </c>
      <c r="C239" s="33">
        <v>15</v>
      </c>
      <c r="D239" s="33" t="s">
        <v>79</v>
      </c>
      <c r="E239" s="33" t="s">
        <v>3</v>
      </c>
      <c r="F239" s="34" t="s">
        <v>34</v>
      </c>
      <c r="G239" s="33" t="s">
        <v>2675</v>
      </c>
      <c r="H239" s="33" t="s">
        <v>2677</v>
      </c>
      <c r="I239" s="33" t="s">
        <v>2535</v>
      </c>
      <c r="J239" s="35" t="s">
        <v>2549</v>
      </c>
      <c r="K239" s="25" t="s">
        <v>390</v>
      </c>
      <c r="L239" s="25" t="s">
        <v>104</v>
      </c>
      <c r="M239" s="38" t="s">
        <v>2261</v>
      </c>
      <c r="N239" s="33" t="s">
        <v>91</v>
      </c>
      <c r="O239" s="36">
        <v>1</v>
      </c>
      <c r="P239" s="36"/>
      <c r="Q239" s="33" t="s">
        <v>71</v>
      </c>
      <c r="R239" s="33" t="s">
        <v>2649</v>
      </c>
      <c r="S239" s="33" t="s">
        <v>2053</v>
      </c>
      <c r="T239" s="25" t="s">
        <v>1695</v>
      </c>
      <c r="U239" s="33">
        <v>2012</v>
      </c>
      <c r="V239" s="33" t="s">
        <v>74</v>
      </c>
      <c r="W239" s="33"/>
      <c r="X239" s="33" t="s">
        <v>1316</v>
      </c>
      <c r="Y239" s="33" t="s">
        <v>330</v>
      </c>
      <c r="Z239" s="33" t="s">
        <v>74</v>
      </c>
      <c r="AA239" s="33"/>
      <c r="AB239" s="33"/>
      <c r="AC239" s="25"/>
      <c r="AD239" s="115" t="s">
        <v>77</v>
      </c>
      <c r="AE239" s="67" t="s">
        <v>78</v>
      </c>
      <c r="AF239" s="67" t="s">
        <v>78</v>
      </c>
      <c r="AH239" s="18"/>
      <c r="AI239" s="66" t="s">
        <v>149</v>
      </c>
      <c r="AJ239" s="66" t="s">
        <v>76</v>
      </c>
      <c r="AK239" s="67"/>
      <c r="AL239" s="69" t="s">
        <v>1696</v>
      </c>
      <c r="AM239" s="65" t="s">
        <v>77</v>
      </c>
      <c r="AN239" s="66" t="s">
        <v>150</v>
      </c>
      <c r="AO239" s="67"/>
      <c r="AP239" s="66" t="s">
        <v>1697</v>
      </c>
      <c r="AQ239" s="69" t="s">
        <v>1698</v>
      </c>
      <c r="AR239" s="66" t="s">
        <v>85</v>
      </c>
      <c r="AS239" s="20"/>
      <c r="AT239" s="133" t="s">
        <v>505</v>
      </c>
      <c r="AU239" s="18"/>
      <c r="AV239" s="18"/>
      <c r="AX239" s="17"/>
      <c r="AY239" s="34">
        <v>7340301</v>
      </c>
      <c r="AZ239" s="33">
        <v>254</v>
      </c>
      <c r="BC239" s="43" t="s">
        <v>2261</v>
      </c>
    </row>
    <row r="240" spans="1:67" ht="24.95" customHeight="1" x14ac:dyDescent="0.25">
      <c r="B240" s="36">
        <f>SUBTOTAL(103,$M$2:M240)</f>
        <v>239</v>
      </c>
      <c r="C240" s="130">
        <v>16</v>
      </c>
      <c r="D240" s="33" t="s">
        <v>79</v>
      </c>
      <c r="E240" s="33" t="s">
        <v>3</v>
      </c>
      <c r="F240" s="34" t="s">
        <v>34</v>
      </c>
      <c r="G240" s="33" t="s">
        <v>2675</v>
      </c>
      <c r="H240" s="33" t="s">
        <v>2677</v>
      </c>
      <c r="I240" s="33" t="s">
        <v>2535</v>
      </c>
      <c r="J240" s="35" t="s">
        <v>2550</v>
      </c>
      <c r="K240" s="25" t="s">
        <v>759</v>
      </c>
      <c r="L240" s="25" t="s">
        <v>1378</v>
      </c>
      <c r="M240" s="38" t="s">
        <v>2262</v>
      </c>
      <c r="N240" s="33" t="s">
        <v>981</v>
      </c>
      <c r="O240" s="36">
        <v>1</v>
      </c>
      <c r="P240" s="36"/>
      <c r="Q240" s="36" t="s">
        <v>492</v>
      </c>
      <c r="R240" s="33" t="s">
        <v>2649</v>
      </c>
      <c r="S240" s="33" t="s">
        <v>2053</v>
      </c>
      <c r="T240" s="25" t="s">
        <v>16</v>
      </c>
      <c r="U240" s="33">
        <v>2016</v>
      </c>
      <c r="V240" s="36" t="s">
        <v>74</v>
      </c>
      <c r="W240" s="33" t="s">
        <v>93</v>
      </c>
      <c r="X240" s="33"/>
      <c r="Y240" s="33"/>
      <c r="Z240" s="33"/>
      <c r="AA240" s="37"/>
      <c r="AB240" s="33"/>
      <c r="AC240" s="25"/>
      <c r="AD240" s="115" t="s">
        <v>77</v>
      </c>
      <c r="AE240" s="66"/>
      <c r="AF240" s="66"/>
      <c r="AH240" s="127"/>
      <c r="AI240" s="66" t="s">
        <v>1317</v>
      </c>
      <c r="AJ240" s="66" t="s">
        <v>76</v>
      </c>
      <c r="AK240" s="67"/>
      <c r="AL240" s="69" t="s">
        <v>1699</v>
      </c>
      <c r="AM240" s="65" t="s">
        <v>77</v>
      </c>
      <c r="AN240" s="120" t="s">
        <v>110</v>
      </c>
      <c r="AO240" s="120"/>
      <c r="AP240" s="66" t="s">
        <v>1700</v>
      </c>
      <c r="AQ240" s="69" t="s">
        <v>1701</v>
      </c>
      <c r="AR240" s="66" t="s">
        <v>85</v>
      </c>
      <c r="AS240" s="20"/>
      <c r="AT240" s="67" t="s">
        <v>254</v>
      </c>
      <c r="AU240" s="45"/>
      <c r="AV240" s="18"/>
      <c r="AW240" s="17"/>
      <c r="AX240" s="17"/>
      <c r="AY240" s="34">
        <v>7340301</v>
      </c>
      <c r="AZ240" s="33">
        <v>255</v>
      </c>
      <c r="BB240" s="17"/>
      <c r="BC240" s="43" t="s">
        <v>2262</v>
      </c>
      <c r="BD240" s="17"/>
      <c r="BM240" s="46"/>
      <c r="BN240" s="46"/>
      <c r="BO240" s="47"/>
    </row>
    <row r="241" spans="1:67" ht="24.95" customHeight="1" x14ac:dyDescent="0.25">
      <c r="A241" s="18" t="s">
        <v>2862</v>
      </c>
      <c r="B241" s="36">
        <f>SUBTOTAL(103,$M$2:M241)</f>
        <v>240</v>
      </c>
      <c r="C241" s="33">
        <v>4</v>
      </c>
      <c r="D241" s="33" t="s">
        <v>79</v>
      </c>
      <c r="E241" s="33" t="s">
        <v>3</v>
      </c>
      <c r="F241" s="34" t="s">
        <v>34</v>
      </c>
      <c r="G241" s="33" t="s">
        <v>2675</v>
      </c>
      <c r="H241" s="33" t="s">
        <v>2677</v>
      </c>
      <c r="I241" s="33" t="s">
        <v>2535</v>
      </c>
      <c r="J241" s="33" t="s">
        <v>2887</v>
      </c>
      <c r="K241" s="25" t="s">
        <v>390</v>
      </c>
      <c r="L241" s="25" t="s">
        <v>1135</v>
      </c>
      <c r="M241" s="38" t="s">
        <v>2736</v>
      </c>
      <c r="N241" s="33" t="s">
        <v>91</v>
      </c>
      <c r="O241" s="135">
        <v>1</v>
      </c>
      <c r="P241" s="135">
        <v>1</v>
      </c>
      <c r="Q241" s="33" t="s">
        <v>71</v>
      </c>
      <c r="R241" s="33" t="s">
        <v>2649</v>
      </c>
      <c r="S241" s="36" t="s">
        <v>2053</v>
      </c>
      <c r="T241" s="125" t="s">
        <v>2737</v>
      </c>
      <c r="U241" s="33">
        <v>2018</v>
      </c>
      <c r="V241" s="33" t="s">
        <v>74</v>
      </c>
      <c r="W241" s="33" t="s">
        <v>1979</v>
      </c>
      <c r="X241" s="33"/>
      <c r="Y241" s="33" t="s">
        <v>160</v>
      </c>
      <c r="Z241" s="33" t="s">
        <v>74</v>
      </c>
      <c r="AA241" s="25"/>
      <c r="AB241" s="33"/>
      <c r="AC241" s="33" t="s">
        <v>3</v>
      </c>
      <c r="AD241" s="37" t="s">
        <v>77</v>
      </c>
      <c r="AE241" s="25" t="s">
        <v>78</v>
      </c>
      <c r="AF241" s="25" t="s">
        <v>78</v>
      </c>
      <c r="AG241" s="103"/>
      <c r="AH241" s="25"/>
      <c r="AI241" s="33" t="s">
        <v>2738</v>
      </c>
      <c r="AJ241" s="33" t="s">
        <v>76</v>
      </c>
      <c r="AK241" s="25"/>
      <c r="AL241" s="43" t="s">
        <v>2739</v>
      </c>
      <c r="AM241" s="36" t="s">
        <v>77</v>
      </c>
      <c r="AN241" s="33" t="s">
        <v>413</v>
      </c>
      <c r="AP241" s="33" t="s">
        <v>2740</v>
      </c>
      <c r="AQ241" s="43" t="s">
        <v>2741</v>
      </c>
      <c r="AR241" s="25"/>
      <c r="AS241" s="25"/>
      <c r="AT241" s="25"/>
      <c r="AU241" s="18"/>
      <c r="AV241" s="84" t="s">
        <v>19</v>
      </c>
      <c r="AW241" s="17"/>
      <c r="BC241" s="18"/>
      <c r="BN241" s="18"/>
      <c r="BO241" s="18"/>
    </row>
    <row r="242" spans="1:67" ht="24.95" customHeight="1" x14ac:dyDescent="0.25">
      <c r="B242" s="36">
        <f>SUBTOTAL(103,$M$2:M242)</f>
        <v>241</v>
      </c>
      <c r="C242" s="33">
        <v>17</v>
      </c>
      <c r="D242" s="33" t="s">
        <v>79</v>
      </c>
      <c r="E242" s="36" t="s">
        <v>3</v>
      </c>
      <c r="F242" s="131" t="s">
        <v>32</v>
      </c>
      <c r="G242" s="33" t="s">
        <v>2675</v>
      </c>
      <c r="H242" s="33" t="s">
        <v>2677</v>
      </c>
      <c r="I242" s="33" t="s">
        <v>2535</v>
      </c>
      <c r="J242" s="51" t="s">
        <v>2551</v>
      </c>
      <c r="K242" s="48" t="s">
        <v>1702</v>
      </c>
      <c r="L242" s="49" t="s">
        <v>592</v>
      </c>
      <c r="M242" s="50" t="s">
        <v>2263</v>
      </c>
      <c r="N242" s="37" t="s">
        <v>91</v>
      </c>
      <c r="O242" s="36">
        <v>1</v>
      </c>
      <c r="P242" s="36">
        <v>1</v>
      </c>
      <c r="Q242" s="37" t="s">
        <v>71</v>
      </c>
      <c r="R242" s="33" t="s">
        <v>2649</v>
      </c>
      <c r="S242" s="33" t="s">
        <v>2053</v>
      </c>
      <c r="T242" s="48" t="s">
        <v>19</v>
      </c>
      <c r="U242" s="37" t="s">
        <v>226</v>
      </c>
      <c r="V242" s="37" t="s">
        <v>169</v>
      </c>
      <c r="W242" s="37" t="s">
        <v>570</v>
      </c>
      <c r="X242" s="37"/>
      <c r="Y242" s="37" t="s">
        <v>304</v>
      </c>
      <c r="Z242" s="37" t="s">
        <v>74</v>
      </c>
      <c r="AA242" s="37" t="s">
        <v>1718</v>
      </c>
      <c r="AB242" s="37" t="s">
        <v>2038</v>
      </c>
      <c r="AC242" s="25"/>
      <c r="AD242" s="51" t="s">
        <v>77</v>
      </c>
      <c r="AE242" s="37" t="s">
        <v>78</v>
      </c>
      <c r="AF242" s="37" t="s">
        <v>78</v>
      </c>
      <c r="AG242" s="37"/>
      <c r="AH242" s="37"/>
      <c r="AI242" s="37" t="s">
        <v>1703</v>
      </c>
      <c r="AJ242" s="37" t="s">
        <v>76</v>
      </c>
      <c r="AK242" s="37"/>
      <c r="AL242" s="146" t="s">
        <v>1704</v>
      </c>
      <c r="AM242" s="36" t="s">
        <v>77</v>
      </c>
      <c r="AN242" s="41" t="s">
        <v>1091</v>
      </c>
      <c r="AO242" s="41"/>
      <c r="AP242" s="37" t="s">
        <v>1705</v>
      </c>
      <c r="AQ242" s="50" t="s">
        <v>1706</v>
      </c>
      <c r="AR242" s="37" t="s">
        <v>85</v>
      </c>
      <c r="AS242" s="42"/>
      <c r="AT242" s="25" t="s">
        <v>233</v>
      </c>
      <c r="AU242" s="32"/>
      <c r="AV242" s="25"/>
      <c r="AW242" s="33"/>
      <c r="AX242" s="34"/>
      <c r="AY242" s="34">
        <v>7340301</v>
      </c>
      <c r="AZ242" s="33">
        <v>256</v>
      </c>
      <c r="BA242" s="61"/>
      <c r="BB242" s="17"/>
      <c r="BC242" s="50" t="s">
        <v>2263</v>
      </c>
      <c r="BD242" s="17"/>
      <c r="BM242" s="46"/>
      <c r="BN242" s="46"/>
      <c r="BO242" s="47"/>
    </row>
    <row r="243" spans="1:67" ht="24.95" customHeight="1" x14ac:dyDescent="0.25">
      <c r="B243" s="36">
        <f>SUBTOTAL(103,$M$2:M243)</f>
        <v>242</v>
      </c>
      <c r="C243" s="130">
        <v>18</v>
      </c>
      <c r="D243" s="33" t="s">
        <v>79</v>
      </c>
      <c r="E243" s="33" t="s">
        <v>3</v>
      </c>
      <c r="F243" s="34" t="s">
        <v>32</v>
      </c>
      <c r="G243" s="33" t="s">
        <v>2675</v>
      </c>
      <c r="H243" s="33" t="s">
        <v>2677</v>
      </c>
      <c r="I243" s="33" t="s">
        <v>2535</v>
      </c>
      <c r="J243" s="51" t="s">
        <v>2552</v>
      </c>
      <c r="K243" s="25" t="s">
        <v>103</v>
      </c>
      <c r="L243" s="25" t="s">
        <v>1707</v>
      </c>
      <c r="M243" s="38" t="s">
        <v>2264</v>
      </c>
      <c r="N243" s="33" t="s">
        <v>91</v>
      </c>
      <c r="O243" s="36">
        <v>1</v>
      </c>
      <c r="P243" s="36"/>
      <c r="Q243" s="33" t="s">
        <v>71</v>
      </c>
      <c r="R243" s="33" t="s">
        <v>2649</v>
      </c>
      <c r="S243" s="33" t="s">
        <v>2053</v>
      </c>
      <c r="T243" s="25" t="s">
        <v>1708</v>
      </c>
      <c r="U243" s="33">
        <v>2009</v>
      </c>
      <c r="V243" s="33" t="s">
        <v>257</v>
      </c>
      <c r="W243" s="33" t="s">
        <v>928</v>
      </c>
      <c r="X243" s="33"/>
      <c r="Y243" s="33" t="s">
        <v>436</v>
      </c>
      <c r="Z243" s="33" t="s">
        <v>74</v>
      </c>
      <c r="AA243" s="33" t="s">
        <v>2036</v>
      </c>
      <c r="AB243" s="33">
        <v>18.7</v>
      </c>
      <c r="AC243" s="25"/>
      <c r="AD243" s="51" t="s">
        <v>77</v>
      </c>
      <c r="AE243" s="25" t="s">
        <v>78</v>
      </c>
      <c r="AF243" s="25" t="s">
        <v>78</v>
      </c>
      <c r="AG243" s="25"/>
      <c r="AH243" s="25"/>
      <c r="AI243" s="33" t="s">
        <v>1709</v>
      </c>
      <c r="AJ243" s="33" t="s">
        <v>76</v>
      </c>
      <c r="AK243" s="25"/>
      <c r="AL243" s="78" t="s">
        <v>1710</v>
      </c>
      <c r="AM243" s="36" t="s">
        <v>77</v>
      </c>
      <c r="AN243" s="40" t="s">
        <v>628</v>
      </c>
      <c r="AO243" s="62"/>
      <c r="AP243" s="33" t="s">
        <v>1711</v>
      </c>
      <c r="AQ243" s="43" t="s">
        <v>1712</v>
      </c>
      <c r="AR243" s="33" t="s">
        <v>85</v>
      </c>
      <c r="AS243" s="42"/>
      <c r="AT243" s="86"/>
      <c r="AU243" s="25"/>
      <c r="AV243" s="25"/>
      <c r="AW243" s="25"/>
      <c r="AX243" s="34"/>
      <c r="AY243" s="34">
        <v>7340301</v>
      </c>
      <c r="AZ243" s="33">
        <v>257</v>
      </c>
      <c r="BA243" s="61"/>
      <c r="BC243" s="43" t="s">
        <v>2264</v>
      </c>
    </row>
    <row r="244" spans="1:67" ht="24.95" customHeight="1" x14ac:dyDescent="0.25">
      <c r="B244" s="36">
        <f>SUBTOTAL(103,$M$2:M244)</f>
        <v>243</v>
      </c>
      <c r="C244" s="33">
        <v>19</v>
      </c>
      <c r="D244" s="33" t="s">
        <v>79</v>
      </c>
      <c r="E244" s="33" t="s">
        <v>3</v>
      </c>
      <c r="F244" s="131" t="s">
        <v>32</v>
      </c>
      <c r="G244" s="33" t="s">
        <v>2675</v>
      </c>
      <c r="H244" s="33" t="s">
        <v>2677</v>
      </c>
      <c r="I244" s="33" t="s">
        <v>2535</v>
      </c>
      <c r="J244" s="51" t="s">
        <v>2553</v>
      </c>
      <c r="K244" s="48" t="s">
        <v>1713</v>
      </c>
      <c r="L244" s="49" t="s">
        <v>1714</v>
      </c>
      <c r="M244" s="50" t="s">
        <v>2265</v>
      </c>
      <c r="N244" s="37" t="s">
        <v>91</v>
      </c>
      <c r="O244" s="36">
        <v>1</v>
      </c>
      <c r="P244" s="36">
        <v>1</v>
      </c>
      <c r="Q244" s="37" t="s">
        <v>71</v>
      </c>
      <c r="R244" s="33" t="s">
        <v>2649</v>
      </c>
      <c r="S244" s="33" t="s">
        <v>2053</v>
      </c>
      <c r="T244" s="48" t="s">
        <v>1631</v>
      </c>
      <c r="U244" s="37" t="s">
        <v>73</v>
      </c>
      <c r="V244" s="37" t="s">
        <v>74</v>
      </c>
      <c r="W244" s="37" t="s">
        <v>304</v>
      </c>
      <c r="X244" s="37"/>
      <c r="Y244" s="37" t="s">
        <v>601</v>
      </c>
      <c r="Z244" s="37" t="s">
        <v>734</v>
      </c>
      <c r="AA244" s="37" t="s">
        <v>1876</v>
      </c>
      <c r="AB244" s="37" t="s">
        <v>2039</v>
      </c>
      <c r="AC244" s="25"/>
      <c r="AD244" s="51" t="s">
        <v>77</v>
      </c>
      <c r="AE244" s="25" t="s">
        <v>78</v>
      </c>
      <c r="AF244" s="37" t="s">
        <v>78</v>
      </c>
      <c r="AG244" s="37"/>
      <c r="AH244" s="37"/>
      <c r="AI244" s="37" t="s">
        <v>1715</v>
      </c>
      <c r="AJ244" s="37" t="s">
        <v>76</v>
      </c>
      <c r="AK244" s="37"/>
      <c r="AL244" s="146" t="s">
        <v>1716</v>
      </c>
      <c r="AM244" s="36" t="s">
        <v>77</v>
      </c>
      <c r="AN244" s="33" t="s">
        <v>150</v>
      </c>
      <c r="AO244" s="25"/>
      <c r="AP244" s="33" t="s">
        <v>1258</v>
      </c>
      <c r="AQ244" s="50" t="s">
        <v>1717</v>
      </c>
      <c r="AR244" s="37" t="s">
        <v>85</v>
      </c>
      <c r="AS244" s="42"/>
      <c r="AT244" s="53" t="s">
        <v>288</v>
      </c>
      <c r="AU244" s="126"/>
      <c r="AV244" s="25"/>
      <c r="AW244" s="33"/>
      <c r="AX244" s="34"/>
      <c r="AY244" s="34">
        <v>7340301</v>
      </c>
      <c r="AZ244" s="33">
        <v>258</v>
      </c>
      <c r="BA244" s="61"/>
      <c r="BB244" s="17"/>
      <c r="BC244" s="50" t="s">
        <v>2265</v>
      </c>
      <c r="BD244" s="17"/>
      <c r="BM244" s="46"/>
      <c r="BN244" s="46"/>
      <c r="BO244" s="47"/>
    </row>
    <row r="245" spans="1:67" ht="24.95" customHeight="1" x14ac:dyDescent="0.25">
      <c r="B245" s="36">
        <f>SUBTOTAL(103,$M$2:M245)</f>
        <v>244</v>
      </c>
      <c r="C245" s="130">
        <v>20</v>
      </c>
      <c r="D245" s="33" t="s">
        <v>79</v>
      </c>
      <c r="E245" s="36" t="s">
        <v>3</v>
      </c>
      <c r="F245" s="131" t="s">
        <v>557</v>
      </c>
      <c r="G245" s="33" t="s">
        <v>2675</v>
      </c>
      <c r="H245" s="33" t="s">
        <v>2677</v>
      </c>
      <c r="I245" s="33" t="s">
        <v>2535</v>
      </c>
      <c r="J245" s="51" t="s">
        <v>2554</v>
      </c>
      <c r="K245" s="25" t="s">
        <v>103</v>
      </c>
      <c r="L245" s="25" t="s">
        <v>483</v>
      </c>
      <c r="M245" s="38" t="s">
        <v>2266</v>
      </c>
      <c r="N245" s="36" t="s">
        <v>91</v>
      </c>
      <c r="O245" s="36">
        <v>1</v>
      </c>
      <c r="P245" s="36"/>
      <c r="Q245" s="36" t="s">
        <v>71</v>
      </c>
      <c r="R245" s="33" t="s">
        <v>2649</v>
      </c>
      <c r="S245" s="33" t="s">
        <v>2053</v>
      </c>
      <c r="T245" s="25"/>
      <c r="U245" s="33">
        <v>2012</v>
      </c>
      <c r="V245" s="36"/>
      <c r="W245" s="33"/>
      <c r="X245" s="33"/>
      <c r="Y245" s="33" t="s">
        <v>352</v>
      </c>
      <c r="Z245" s="37" t="s">
        <v>74</v>
      </c>
      <c r="AA245" s="37" t="s">
        <v>1718</v>
      </c>
      <c r="AB245" s="33" t="s">
        <v>1719</v>
      </c>
      <c r="AC245" s="25"/>
      <c r="AD245" s="51" t="s">
        <v>77</v>
      </c>
      <c r="AE245" s="33" t="s">
        <v>78</v>
      </c>
      <c r="AF245" s="33" t="s">
        <v>78</v>
      </c>
      <c r="AG245" s="25"/>
      <c r="AH245" s="80"/>
      <c r="AI245" s="37" t="s">
        <v>1720</v>
      </c>
      <c r="AJ245" s="33"/>
      <c r="AK245" s="25"/>
      <c r="AL245" s="78" t="s">
        <v>1721</v>
      </c>
      <c r="AM245" s="36" t="s">
        <v>77</v>
      </c>
      <c r="AN245" s="41" t="s">
        <v>185</v>
      </c>
      <c r="AO245" s="41"/>
      <c r="AP245" s="33" t="s">
        <v>1722</v>
      </c>
      <c r="AQ245" s="43" t="s">
        <v>1723</v>
      </c>
      <c r="AR245" s="33" t="s">
        <v>85</v>
      </c>
      <c r="AS245" s="42"/>
      <c r="AT245" s="25" t="s">
        <v>884</v>
      </c>
      <c r="AU245" s="32"/>
      <c r="AV245" s="25"/>
      <c r="AW245" s="33"/>
      <c r="AX245" s="34"/>
      <c r="AY245" s="34">
        <v>7340301</v>
      </c>
      <c r="AZ245" s="33">
        <v>259</v>
      </c>
      <c r="BA245" s="61"/>
      <c r="BB245" s="17"/>
      <c r="BC245" s="43" t="s">
        <v>2266</v>
      </c>
      <c r="BD245" s="17"/>
      <c r="BM245" s="46"/>
      <c r="BN245" s="46"/>
      <c r="BO245" s="47"/>
    </row>
    <row r="246" spans="1:67" ht="24.95" customHeight="1" x14ac:dyDescent="0.25">
      <c r="B246" s="36">
        <f>SUBTOTAL(103,$M$2:M246)</f>
        <v>245</v>
      </c>
      <c r="C246" s="33">
        <v>21</v>
      </c>
      <c r="D246" s="33" t="s">
        <v>79</v>
      </c>
      <c r="E246" s="36" t="s">
        <v>3</v>
      </c>
      <c r="F246" s="34" t="s">
        <v>557</v>
      </c>
      <c r="G246" s="33" t="s">
        <v>2675</v>
      </c>
      <c r="H246" s="33" t="s">
        <v>2677</v>
      </c>
      <c r="I246" s="33" t="s">
        <v>2535</v>
      </c>
      <c r="J246" s="51" t="s">
        <v>2555</v>
      </c>
      <c r="K246" s="25" t="s">
        <v>234</v>
      </c>
      <c r="L246" s="25" t="s">
        <v>377</v>
      </c>
      <c r="M246" s="50" t="s">
        <v>2267</v>
      </c>
      <c r="N246" s="37" t="s">
        <v>91</v>
      </c>
      <c r="O246" s="36">
        <v>1</v>
      </c>
      <c r="P246" s="36">
        <v>1</v>
      </c>
      <c r="Q246" s="37" t="s">
        <v>71</v>
      </c>
      <c r="R246" s="33" t="s">
        <v>2649</v>
      </c>
      <c r="S246" s="33" t="s">
        <v>2053</v>
      </c>
      <c r="T246" s="25"/>
      <c r="U246" s="33">
        <v>2019</v>
      </c>
      <c r="V246" s="36"/>
      <c r="W246" s="33"/>
      <c r="X246" s="33"/>
      <c r="Y246" s="33" t="s">
        <v>75</v>
      </c>
      <c r="Z246" s="33" t="s">
        <v>74</v>
      </c>
      <c r="AA246" s="37" t="s">
        <v>602</v>
      </c>
      <c r="AB246" s="33" t="s">
        <v>1724</v>
      </c>
      <c r="AC246" s="25"/>
      <c r="AD246" s="51" t="s">
        <v>77</v>
      </c>
      <c r="AE246" s="33" t="s">
        <v>78</v>
      </c>
      <c r="AF246" s="33" t="s">
        <v>78</v>
      </c>
      <c r="AG246" s="25"/>
      <c r="AH246" s="80"/>
      <c r="AI246" s="33" t="s">
        <v>755</v>
      </c>
      <c r="AJ246" s="33"/>
      <c r="AK246" s="25"/>
      <c r="AL246" s="101" t="s">
        <v>1725</v>
      </c>
      <c r="AM246" s="83" t="s">
        <v>77</v>
      </c>
      <c r="AN246" s="41" t="s">
        <v>1726</v>
      </c>
      <c r="AO246" s="56"/>
      <c r="AP246" s="111" t="s">
        <v>1727</v>
      </c>
      <c r="AQ246" s="82" t="s">
        <v>1728</v>
      </c>
      <c r="AR246" s="41" t="s">
        <v>85</v>
      </c>
      <c r="AS246" s="42"/>
      <c r="AT246" s="25" t="s">
        <v>233</v>
      </c>
      <c r="AU246" s="32"/>
      <c r="AV246" s="25"/>
      <c r="AW246" s="33"/>
      <c r="AX246" s="34"/>
      <c r="AY246" s="34">
        <v>7340301</v>
      </c>
      <c r="AZ246" s="33">
        <v>260</v>
      </c>
      <c r="BA246" s="61"/>
      <c r="BB246" s="17"/>
      <c r="BC246" s="50" t="s">
        <v>2267</v>
      </c>
      <c r="BD246" s="17"/>
      <c r="BM246" s="46"/>
      <c r="BN246" s="46"/>
      <c r="BO246" s="47"/>
    </row>
    <row r="247" spans="1:67" ht="24.95" customHeight="1" x14ac:dyDescent="0.25">
      <c r="B247" s="36">
        <f>SUBTOTAL(103,$M$2:M247)</f>
        <v>246</v>
      </c>
      <c r="C247" s="130">
        <v>22</v>
      </c>
      <c r="D247" s="33" t="s">
        <v>79</v>
      </c>
      <c r="E247" s="36" t="s">
        <v>3</v>
      </c>
      <c r="F247" s="34" t="s">
        <v>557</v>
      </c>
      <c r="G247" s="33" t="s">
        <v>2675</v>
      </c>
      <c r="H247" s="33" t="s">
        <v>2677</v>
      </c>
      <c r="I247" s="33" t="s">
        <v>2535</v>
      </c>
      <c r="J247" s="51" t="s">
        <v>2556</v>
      </c>
      <c r="K247" s="25" t="s">
        <v>1729</v>
      </c>
      <c r="L247" s="25" t="s">
        <v>1337</v>
      </c>
      <c r="M247" s="38" t="s">
        <v>2268</v>
      </c>
      <c r="N247" s="36" t="s">
        <v>91</v>
      </c>
      <c r="O247" s="36">
        <v>1</v>
      </c>
      <c r="P247" s="36"/>
      <c r="Q247" s="36" t="s">
        <v>427</v>
      </c>
      <c r="R247" s="33" t="s">
        <v>2649</v>
      </c>
      <c r="S247" s="33" t="s">
        <v>2053</v>
      </c>
      <c r="T247" s="25"/>
      <c r="U247" s="33">
        <v>2021</v>
      </c>
      <c r="V247" s="36"/>
      <c r="W247" s="33"/>
      <c r="X247" s="33"/>
      <c r="Y247" s="33" t="s">
        <v>695</v>
      </c>
      <c r="Z247" s="33" t="s">
        <v>74</v>
      </c>
      <c r="AA247" s="33" t="s">
        <v>1604</v>
      </c>
      <c r="AB247" s="33" t="s">
        <v>1730</v>
      </c>
      <c r="AC247" s="25"/>
      <c r="AD247" s="51" t="s">
        <v>77</v>
      </c>
      <c r="AE247" s="33" t="s">
        <v>78</v>
      </c>
      <c r="AF247" s="33" t="s">
        <v>78</v>
      </c>
      <c r="AG247" s="25"/>
      <c r="AH247" s="80"/>
      <c r="AI247" s="33" t="s">
        <v>1731</v>
      </c>
      <c r="AJ247" s="33"/>
      <c r="AK247" s="25"/>
      <c r="AL247" s="101" t="s">
        <v>1732</v>
      </c>
      <c r="AM247" s="83" t="s">
        <v>77</v>
      </c>
      <c r="AN247" s="41" t="s">
        <v>307</v>
      </c>
      <c r="AO247" s="41"/>
      <c r="AP247" s="40" t="s">
        <v>1733</v>
      </c>
      <c r="AQ247" s="82" t="s">
        <v>1734</v>
      </c>
      <c r="AR247" s="40" t="s">
        <v>550</v>
      </c>
      <c r="AS247" s="20"/>
      <c r="AT247" s="25" t="s">
        <v>917</v>
      </c>
      <c r="AU247" s="32"/>
      <c r="AV247" s="25"/>
      <c r="AW247" s="33"/>
      <c r="AX247" s="34"/>
      <c r="AY247" s="34">
        <v>7340301</v>
      </c>
      <c r="AZ247" s="33">
        <v>261</v>
      </c>
      <c r="BA247" s="61"/>
      <c r="BB247" s="17"/>
      <c r="BC247" s="43" t="s">
        <v>2268</v>
      </c>
      <c r="BD247" s="17"/>
      <c r="BM247" s="46"/>
      <c r="BN247" s="46"/>
      <c r="BO247" s="47"/>
    </row>
    <row r="248" spans="1:67" ht="24.95" customHeight="1" x14ac:dyDescent="0.25">
      <c r="B248" s="36">
        <f>SUBTOTAL(103,$M$2:M248)</f>
        <v>247</v>
      </c>
      <c r="C248" s="33">
        <v>23</v>
      </c>
      <c r="D248" s="33" t="s">
        <v>79</v>
      </c>
      <c r="E248" s="33" t="s">
        <v>3</v>
      </c>
      <c r="F248" s="34" t="s">
        <v>557</v>
      </c>
      <c r="G248" s="33" t="s">
        <v>2675</v>
      </c>
      <c r="H248" s="33" t="s">
        <v>2677</v>
      </c>
      <c r="I248" s="33" t="s">
        <v>2535</v>
      </c>
      <c r="J248" s="51" t="s">
        <v>2557</v>
      </c>
      <c r="K248" s="25" t="s">
        <v>1029</v>
      </c>
      <c r="L248" s="25" t="s">
        <v>319</v>
      </c>
      <c r="M248" s="38" t="s">
        <v>2269</v>
      </c>
      <c r="N248" s="33" t="s">
        <v>91</v>
      </c>
      <c r="O248" s="36">
        <v>1</v>
      </c>
      <c r="P248" s="36"/>
      <c r="Q248" s="33" t="s">
        <v>71</v>
      </c>
      <c r="R248" s="33" t="s">
        <v>2649</v>
      </c>
      <c r="S248" s="33" t="s">
        <v>2053</v>
      </c>
      <c r="T248" s="25"/>
      <c r="U248" s="33">
        <v>2019</v>
      </c>
      <c r="V248" s="33"/>
      <c r="W248" s="33"/>
      <c r="X248" s="33"/>
      <c r="Y248" s="33" t="s">
        <v>501</v>
      </c>
      <c r="Z248" s="33" t="s">
        <v>74</v>
      </c>
      <c r="AA248" s="33" t="s">
        <v>773</v>
      </c>
      <c r="AB248" s="33">
        <v>19.100000000000001</v>
      </c>
      <c r="AC248" s="25"/>
      <c r="AD248" s="51" t="s">
        <v>77</v>
      </c>
      <c r="AE248" s="25" t="s">
        <v>78</v>
      </c>
      <c r="AF248" s="25" t="s">
        <v>78</v>
      </c>
      <c r="AG248" s="25"/>
      <c r="AH248" s="25"/>
      <c r="AI248" s="33" t="s">
        <v>1735</v>
      </c>
      <c r="AJ248" s="33"/>
      <c r="AK248" s="25"/>
      <c r="AL248" s="101" t="s">
        <v>1736</v>
      </c>
      <c r="AM248" s="83" t="s">
        <v>77</v>
      </c>
      <c r="AN248" s="40" t="s">
        <v>628</v>
      </c>
      <c r="AO248" s="62"/>
      <c r="AP248" s="40" t="s">
        <v>1737</v>
      </c>
      <c r="AQ248" s="82" t="s">
        <v>1738</v>
      </c>
      <c r="AR248" s="40" t="s">
        <v>85</v>
      </c>
      <c r="AS248" s="42" t="s">
        <v>1739</v>
      </c>
      <c r="AT248" s="86" t="s">
        <v>644</v>
      </c>
      <c r="AU248" s="25"/>
      <c r="AV248" s="25"/>
      <c r="AW248" s="25"/>
      <c r="AX248" s="34"/>
      <c r="AY248" s="34">
        <v>7340301</v>
      </c>
      <c r="AZ248" s="33">
        <v>262</v>
      </c>
      <c r="BA248" s="61"/>
      <c r="BC248" s="43" t="s">
        <v>2269</v>
      </c>
    </row>
    <row r="249" spans="1:67" ht="24.95" customHeight="1" x14ac:dyDescent="0.25">
      <c r="B249" s="36">
        <f>SUBTOTAL(103,$M$2:M249)</f>
        <v>248</v>
      </c>
      <c r="C249" s="37" t="s">
        <v>67</v>
      </c>
      <c r="D249" s="33" t="s">
        <v>79</v>
      </c>
      <c r="E249" s="33" t="s">
        <v>3</v>
      </c>
      <c r="F249" s="33" t="s">
        <v>33</v>
      </c>
      <c r="G249" s="33" t="s">
        <v>2675</v>
      </c>
      <c r="H249" s="33" t="s">
        <v>2677</v>
      </c>
      <c r="I249" s="33" t="s">
        <v>2583</v>
      </c>
      <c r="J249" s="33" t="s">
        <v>2558</v>
      </c>
      <c r="K249" s="25" t="s">
        <v>1741</v>
      </c>
      <c r="L249" s="25" t="s">
        <v>1742</v>
      </c>
      <c r="M249" s="38" t="s">
        <v>2270</v>
      </c>
      <c r="N249" s="33" t="s">
        <v>70</v>
      </c>
      <c r="O249" s="33">
        <v>0</v>
      </c>
      <c r="P249" s="33"/>
      <c r="Q249" s="33" t="s">
        <v>71</v>
      </c>
      <c r="R249" s="33" t="s">
        <v>2650</v>
      </c>
      <c r="S249" s="33" t="s">
        <v>2054</v>
      </c>
      <c r="T249" s="25" t="s">
        <v>1743</v>
      </c>
      <c r="U249" s="33">
        <v>2022</v>
      </c>
      <c r="V249" s="36" t="s">
        <v>157</v>
      </c>
      <c r="W249" s="33" t="s">
        <v>564</v>
      </c>
      <c r="X249" s="33"/>
      <c r="Y249" s="33" t="s">
        <v>466</v>
      </c>
      <c r="Z249" s="33" t="s">
        <v>74</v>
      </c>
      <c r="AA249" s="37"/>
      <c r="AB249" s="33"/>
      <c r="AC249" s="25"/>
      <c r="AD249" s="51" t="s">
        <v>77</v>
      </c>
      <c r="AE249" s="25" t="s">
        <v>78</v>
      </c>
      <c r="AF249" s="25" t="s">
        <v>78</v>
      </c>
      <c r="AG249" s="25"/>
      <c r="AH249" s="80"/>
      <c r="AI249" s="33" t="s">
        <v>1744</v>
      </c>
      <c r="AJ249" s="33" t="s">
        <v>76</v>
      </c>
      <c r="AK249" s="25"/>
      <c r="AL249" s="101" t="s">
        <v>1745</v>
      </c>
      <c r="AM249" s="83" t="s">
        <v>77</v>
      </c>
      <c r="AN249" s="40" t="s">
        <v>286</v>
      </c>
      <c r="AO249" s="62"/>
      <c r="AP249" s="40" t="s">
        <v>1746</v>
      </c>
      <c r="AQ249" s="82" t="s">
        <v>1747</v>
      </c>
      <c r="AR249" s="40">
        <v>200</v>
      </c>
      <c r="AS249" s="42"/>
      <c r="AT249" s="53" t="s">
        <v>752</v>
      </c>
      <c r="AU249" s="32"/>
      <c r="AV249" s="25"/>
      <c r="AW249" s="33"/>
      <c r="AX249" s="34"/>
      <c r="AY249" s="34">
        <v>7380101</v>
      </c>
      <c r="AZ249" s="33">
        <v>264</v>
      </c>
      <c r="BA249" s="61"/>
      <c r="BB249" s="17"/>
      <c r="BC249" s="43" t="s">
        <v>2270</v>
      </c>
      <c r="BD249" s="17"/>
      <c r="BM249" s="46"/>
      <c r="BN249" s="46"/>
      <c r="BO249" s="47"/>
    </row>
    <row r="250" spans="1:67" ht="24.95" customHeight="1" x14ac:dyDescent="0.25">
      <c r="B250" s="36">
        <f>SUBTOTAL(103,$M$2:M250)</f>
        <v>249</v>
      </c>
      <c r="C250" s="37" t="s">
        <v>88</v>
      </c>
      <c r="D250" s="33" t="s">
        <v>79</v>
      </c>
      <c r="E250" s="33" t="s">
        <v>3</v>
      </c>
      <c r="F250" s="37" t="s">
        <v>33</v>
      </c>
      <c r="G250" s="33" t="s">
        <v>2675</v>
      </c>
      <c r="H250" s="33" t="s">
        <v>2677</v>
      </c>
      <c r="I250" s="33" t="s">
        <v>2583</v>
      </c>
      <c r="J250" s="33" t="s">
        <v>2559</v>
      </c>
      <c r="K250" s="48" t="s">
        <v>1748</v>
      </c>
      <c r="L250" s="49" t="s">
        <v>1579</v>
      </c>
      <c r="M250" s="50" t="s">
        <v>2271</v>
      </c>
      <c r="N250" s="37" t="s">
        <v>70</v>
      </c>
      <c r="O250" s="33">
        <v>0</v>
      </c>
      <c r="P250" s="33"/>
      <c r="Q250" s="37" t="s">
        <v>71</v>
      </c>
      <c r="R250" s="33" t="s">
        <v>2650</v>
      </c>
      <c r="S250" s="33" t="s">
        <v>2054</v>
      </c>
      <c r="T250" s="48" t="s">
        <v>1749</v>
      </c>
      <c r="U250" s="37" t="s">
        <v>1750</v>
      </c>
      <c r="V250" s="37" t="s">
        <v>257</v>
      </c>
      <c r="W250" s="37"/>
      <c r="X250" s="37"/>
      <c r="Y250" s="37"/>
      <c r="Z250" s="37"/>
      <c r="AA250" s="37"/>
      <c r="AB250" s="37"/>
      <c r="AC250" s="25"/>
      <c r="AD250" s="51" t="s">
        <v>77</v>
      </c>
      <c r="AE250" s="37" t="s">
        <v>78</v>
      </c>
      <c r="AF250" s="37"/>
      <c r="AG250" s="37"/>
      <c r="AH250" s="37"/>
      <c r="AI250" s="37" t="s">
        <v>1751</v>
      </c>
      <c r="AJ250" s="37"/>
      <c r="AK250" s="37"/>
      <c r="AL250" s="148" t="s">
        <v>1752</v>
      </c>
      <c r="AM250" s="83" t="s">
        <v>77</v>
      </c>
      <c r="AN250" s="41" t="s">
        <v>468</v>
      </c>
      <c r="AO250" s="41"/>
      <c r="AP250" s="41" t="s">
        <v>1753</v>
      </c>
      <c r="AQ250" s="81" t="s">
        <v>1754</v>
      </c>
      <c r="AR250" s="41" t="s">
        <v>85</v>
      </c>
      <c r="AS250" s="42" t="s">
        <v>1755</v>
      </c>
      <c r="AT250" s="25" t="s">
        <v>87</v>
      </c>
      <c r="AU250" s="32"/>
      <c r="AV250" s="25"/>
      <c r="AW250" s="33"/>
      <c r="AX250" s="34"/>
      <c r="AY250" s="34">
        <v>7380101</v>
      </c>
      <c r="AZ250" s="33">
        <v>265</v>
      </c>
      <c r="BA250" s="61"/>
      <c r="BB250" s="17"/>
      <c r="BC250" s="50" t="s">
        <v>2271</v>
      </c>
      <c r="BD250" s="17"/>
      <c r="BM250" s="46"/>
      <c r="BN250" s="46"/>
      <c r="BO250" s="47"/>
    </row>
    <row r="251" spans="1:67" ht="24.95" customHeight="1" x14ac:dyDescent="0.25">
      <c r="B251" s="36">
        <f>SUBTOTAL(103,$M$2:M251)</f>
        <v>250</v>
      </c>
      <c r="C251" s="33"/>
      <c r="D251" s="36" t="s">
        <v>79</v>
      </c>
      <c r="E251" s="33" t="s">
        <v>3</v>
      </c>
      <c r="F251" s="33" t="s">
        <v>33</v>
      </c>
      <c r="G251" s="33" t="s">
        <v>2675</v>
      </c>
      <c r="H251" s="33" t="s">
        <v>2677</v>
      </c>
      <c r="I251" s="33" t="s">
        <v>2583</v>
      </c>
      <c r="J251" s="36" t="s">
        <v>2970</v>
      </c>
      <c r="K251" s="84" t="s">
        <v>442</v>
      </c>
      <c r="L251" s="84" t="s">
        <v>2920</v>
      </c>
      <c r="M251" s="38" t="s">
        <v>2921</v>
      </c>
      <c r="N251" s="33" t="s">
        <v>91</v>
      </c>
      <c r="O251" s="33">
        <v>1</v>
      </c>
      <c r="P251" s="33"/>
      <c r="Q251" s="33" t="s">
        <v>71</v>
      </c>
      <c r="R251" s="33" t="s">
        <v>2650</v>
      </c>
      <c r="S251" s="33" t="s">
        <v>2054</v>
      </c>
      <c r="T251" s="33" t="s">
        <v>1901</v>
      </c>
      <c r="U251" s="33">
        <v>2011</v>
      </c>
      <c r="V251" s="33" t="s">
        <v>74</v>
      </c>
      <c r="W251" s="33">
        <v>7.04</v>
      </c>
      <c r="X251" s="33"/>
      <c r="Y251" s="33">
        <v>6.6</v>
      </c>
      <c r="Z251" s="33" t="s">
        <v>74</v>
      </c>
      <c r="AA251" s="33"/>
      <c r="AB251" s="36"/>
      <c r="AC251" s="25"/>
      <c r="AD251" s="33" t="s">
        <v>77</v>
      </c>
      <c r="AE251" s="25"/>
      <c r="AF251" s="25"/>
      <c r="AG251" s="25"/>
      <c r="AH251" s="25"/>
      <c r="AI251" s="33" t="s">
        <v>2956</v>
      </c>
      <c r="AJ251" s="33" t="s">
        <v>76</v>
      </c>
      <c r="AK251" s="42"/>
      <c r="AL251" s="43" t="s">
        <v>2957</v>
      </c>
      <c r="AM251" s="36" t="s">
        <v>77</v>
      </c>
      <c r="AN251" s="25" t="s">
        <v>286</v>
      </c>
      <c r="AO251" s="25"/>
      <c r="AP251" s="33" t="s">
        <v>2958</v>
      </c>
      <c r="AQ251" s="43" t="s">
        <v>2959</v>
      </c>
    </row>
    <row r="252" spans="1:67" ht="24.95" customHeight="1" x14ac:dyDescent="0.25">
      <c r="B252" s="36">
        <f>SUBTOTAL(103,$M$2:M252)</f>
        <v>251</v>
      </c>
      <c r="C252" s="37" t="s">
        <v>102</v>
      </c>
      <c r="D252" s="33" t="s">
        <v>79</v>
      </c>
      <c r="E252" s="33" t="s">
        <v>3</v>
      </c>
      <c r="F252" s="33" t="s">
        <v>34</v>
      </c>
      <c r="G252" s="33" t="s">
        <v>2675</v>
      </c>
      <c r="H252" s="33" t="s">
        <v>2677</v>
      </c>
      <c r="I252" s="33" t="s">
        <v>2583</v>
      </c>
      <c r="J252" s="33" t="s">
        <v>2560</v>
      </c>
      <c r="K252" s="25" t="s">
        <v>1756</v>
      </c>
      <c r="L252" s="25" t="s">
        <v>592</v>
      </c>
      <c r="M252" s="38" t="s">
        <v>2272</v>
      </c>
      <c r="N252" s="33" t="s">
        <v>91</v>
      </c>
      <c r="O252" s="36">
        <v>1</v>
      </c>
      <c r="P252" s="36">
        <v>1</v>
      </c>
      <c r="Q252" s="33" t="s">
        <v>71</v>
      </c>
      <c r="R252" s="33" t="s">
        <v>2650</v>
      </c>
      <c r="S252" s="33" t="s">
        <v>2054</v>
      </c>
      <c r="T252" s="25" t="s">
        <v>19</v>
      </c>
      <c r="U252" s="33">
        <v>2018</v>
      </c>
      <c r="V252" s="36" t="s">
        <v>257</v>
      </c>
      <c r="W252" s="33"/>
      <c r="X252" s="33"/>
      <c r="Y252" s="33" t="s">
        <v>1757</v>
      </c>
      <c r="Z252" s="33" t="s">
        <v>169</v>
      </c>
      <c r="AA252" s="37"/>
      <c r="AB252" s="33"/>
      <c r="AC252" s="25"/>
      <c r="AD252" s="51" t="s">
        <v>77</v>
      </c>
      <c r="AE252" s="25" t="s">
        <v>78</v>
      </c>
      <c r="AF252" s="25" t="s">
        <v>78</v>
      </c>
      <c r="AG252" s="25"/>
      <c r="AH252" s="80"/>
      <c r="AI252" s="33" t="s">
        <v>149</v>
      </c>
      <c r="AJ252" s="33" t="s">
        <v>3</v>
      </c>
      <c r="AK252" s="25"/>
      <c r="AL252" s="101" t="s">
        <v>1758</v>
      </c>
      <c r="AM252" s="83" t="s">
        <v>77</v>
      </c>
      <c r="AN252" s="40" t="s">
        <v>150</v>
      </c>
      <c r="AO252" s="62"/>
      <c r="AP252" s="40" t="s">
        <v>1759</v>
      </c>
      <c r="AQ252" s="82" t="s">
        <v>1760</v>
      </c>
      <c r="AR252" s="40" t="s">
        <v>85</v>
      </c>
      <c r="AS252" s="42" t="s">
        <v>1761</v>
      </c>
      <c r="AT252" s="25" t="s">
        <v>145</v>
      </c>
      <c r="AU252" s="32"/>
      <c r="AV252" s="25"/>
      <c r="AW252" s="33"/>
      <c r="AX252" s="34"/>
      <c r="AY252" s="34">
        <v>7380101</v>
      </c>
      <c r="AZ252" s="33">
        <v>266</v>
      </c>
      <c r="BA252" s="61"/>
      <c r="BB252" s="17"/>
      <c r="BC252" s="43" t="s">
        <v>2272</v>
      </c>
      <c r="BD252" s="17"/>
      <c r="BM252" s="46"/>
      <c r="BN252" s="46"/>
      <c r="BO252" s="47"/>
    </row>
    <row r="253" spans="1:67" ht="24.95" customHeight="1" x14ac:dyDescent="0.25">
      <c r="B253" s="36">
        <f>SUBTOTAL(103,$M$2:M253)</f>
        <v>252</v>
      </c>
      <c r="C253" s="37" t="s">
        <v>115</v>
      </c>
      <c r="D253" s="33" t="s">
        <v>79</v>
      </c>
      <c r="E253" s="33" t="s">
        <v>3</v>
      </c>
      <c r="F253" s="33" t="s">
        <v>34</v>
      </c>
      <c r="G253" s="33" t="s">
        <v>2675</v>
      </c>
      <c r="H253" s="33" t="s">
        <v>2677</v>
      </c>
      <c r="I253" s="33" t="s">
        <v>2583</v>
      </c>
      <c r="J253" s="33" t="s">
        <v>2561</v>
      </c>
      <c r="K253" s="25" t="s">
        <v>1762</v>
      </c>
      <c r="L253" s="25" t="s">
        <v>592</v>
      </c>
      <c r="M253" s="38" t="s">
        <v>2273</v>
      </c>
      <c r="N253" s="33" t="s">
        <v>70</v>
      </c>
      <c r="O253" s="33">
        <v>0</v>
      </c>
      <c r="P253" s="33">
        <v>1</v>
      </c>
      <c r="Q253" s="33" t="s">
        <v>71</v>
      </c>
      <c r="R253" s="33" t="s">
        <v>2650</v>
      </c>
      <c r="S253" s="33" t="s">
        <v>2054</v>
      </c>
      <c r="T253" s="25" t="s">
        <v>19</v>
      </c>
      <c r="U253" s="33">
        <v>2014</v>
      </c>
      <c r="V253" s="33" t="s">
        <v>169</v>
      </c>
      <c r="W253" s="33"/>
      <c r="X253" s="33" t="s">
        <v>1407</v>
      </c>
      <c r="Y253" s="100"/>
      <c r="Z253" s="33"/>
      <c r="AA253" s="33"/>
      <c r="AB253" s="33"/>
      <c r="AC253" s="25"/>
      <c r="AD253" s="51" t="s">
        <v>77</v>
      </c>
      <c r="AE253" s="25" t="s">
        <v>78</v>
      </c>
      <c r="AF253" s="25"/>
      <c r="AG253" s="25"/>
      <c r="AH253" s="25"/>
      <c r="AI253" s="33" t="s">
        <v>1763</v>
      </c>
      <c r="AJ253" s="33" t="s">
        <v>76</v>
      </c>
      <c r="AK253" s="25"/>
      <c r="AL253" s="101" t="s">
        <v>1764</v>
      </c>
      <c r="AM253" s="83" t="s">
        <v>77</v>
      </c>
      <c r="AN253" s="40" t="s">
        <v>267</v>
      </c>
      <c r="AO253" s="62"/>
      <c r="AP253" s="40" t="s">
        <v>1765</v>
      </c>
      <c r="AQ253" s="82" t="s">
        <v>1766</v>
      </c>
      <c r="AR253" s="40" t="s">
        <v>85</v>
      </c>
      <c r="AS253" s="42" t="s">
        <v>1454</v>
      </c>
      <c r="AT253" s="25" t="s">
        <v>188</v>
      </c>
      <c r="AU253" s="32"/>
      <c r="AV253" s="25"/>
      <c r="AW253" s="33"/>
      <c r="AX253" s="34"/>
      <c r="AY253" s="34">
        <v>7380101</v>
      </c>
      <c r="AZ253" s="33">
        <v>267</v>
      </c>
      <c r="BA253" s="61"/>
      <c r="BB253" s="17"/>
      <c r="BC253" s="43" t="s">
        <v>2273</v>
      </c>
      <c r="BD253" s="17"/>
      <c r="BM253" s="46"/>
      <c r="BN253" s="46"/>
      <c r="BO253" s="47"/>
    </row>
    <row r="254" spans="1:67" ht="24.95" customHeight="1" x14ac:dyDescent="0.25">
      <c r="B254" s="36">
        <f>SUBTOTAL(103,$M$2:M254)</f>
        <v>253</v>
      </c>
      <c r="C254" s="37" t="s">
        <v>124</v>
      </c>
      <c r="D254" s="33" t="s">
        <v>79</v>
      </c>
      <c r="E254" s="33" t="s">
        <v>3</v>
      </c>
      <c r="F254" s="33" t="s">
        <v>34</v>
      </c>
      <c r="G254" s="33" t="s">
        <v>2675</v>
      </c>
      <c r="H254" s="33" t="s">
        <v>2677</v>
      </c>
      <c r="I254" s="33" t="s">
        <v>2583</v>
      </c>
      <c r="J254" s="33" t="s">
        <v>2562</v>
      </c>
      <c r="K254" s="25" t="s">
        <v>1767</v>
      </c>
      <c r="L254" s="25" t="s">
        <v>1022</v>
      </c>
      <c r="M254" s="38" t="s">
        <v>2274</v>
      </c>
      <c r="N254" s="33" t="s">
        <v>70</v>
      </c>
      <c r="O254" s="33">
        <v>0</v>
      </c>
      <c r="P254" s="33"/>
      <c r="Q254" s="36" t="s">
        <v>71</v>
      </c>
      <c r="R254" s="33" t="s">
        <v>2650</v>
      </c>
      <c r="S254" s="33" t="s">
        <v>2054</v>
      </c>
      <c r="T254" s="25" t="s">
        <v>1768</v>
      </c>
      <c r="U254" s="33">
        <v>2013</v>
      </c>
      <c r="V254" s="36" t="s">
        <v>169</v>
      </c>
      <c r="W254" s="33" t="s">
        <v>170</v>
      </c>
      <c r="X254" s="33"/>
      <c r="Y254" s="33" t="s">
        <v>371</v>
      </c>
      <c r="Z254" s="37" t="s">
        <v>74</v>
      </c>
      <c r="AA254" s="37"/>
      <c r="AB254" s="33"/>
      <c r="AC254" s="25"/>
      <c r="AD254" s="51" t="s">
        <v>77</v>
      </c>
      <c r="AE254" s="25" t="s">
        <v>78</v>
      </c>
      <c r="AF254" s="33" t="s">
        <v>78</v>
      </c>
      <c r="AG254" s="33"/>
      <c r="AH254" s="80"/>
      <c r="AI254" s="33" t="s">
        <v>1769</v>
      </c>
      <c r="AJ254" s="33" t="s">
        <v>76</v>
      </c>
      <c r="AK254" s="42" t="s">
        <v>1770</v>
      </c>
      <c r="AL254" s="78" t="s">
        <v>1771</v>
      </c>
      <c r="AM254" s="36" t="s">
        <v>77</v>
      </c>
      <c r="AN254" s="41" t="s">
        <v>141</v>
      </c>
      <c r="AO254" s="41"/>
      <c r="AP254" s="33" t="s">
        <v>1772</v>
      </c>
      <c r="AQ254" s="43" t="s">
        <v>1773</v>
      </c>
      <c r="AR254" s="33" t="s">
        <v>85</v>
      </c>
      <c r="AS254" s="25"/>
      <c r="AT254" s="25" t="s">
        <v>254</v>
      </c>
      <c r="AU254" s="32"/>
      <c r="AV254" s="25"/>
      <c r="AW254" s="33"/>
      <c r="AX254" s="34"/>
      <c r="AY254" s="34">
        <v>7380101</v>
      </c>
      <c r="AZ254" s="33">
        <v>268</v>
      </c>
      <c r="BA254" s="61"/>
      <c r="BB254" s="17"/>
      <c r="BC254" s="43" t="s">
        <v>2274</v>
      </c>
      <c r="BD254" s="17"/>
      <c r="BM254" s="46"/>
      <c r="BN254" s="46"/>
      <c r="BO254" s="47"/>
    </row>
    <row r="255" spans="1:67" ht="24.95" customHeight="1" x14ac:dyDescent="0.25">
      <c r="B255" s="36">
        <f>SUBTOTAL(103,$M$2:M255)</f>
        <v>254</v>
      </c>
      <c r="C255" s="37" t="s">
        <v>133</v>
      </c>
      <c r="D255" s="33" t="s">
        <v>79</v>
      </c>
      <c r="E255" s="33" t="s">
        <v>3</v>
      </c>
      <c r="F255" s="33" t="s">
        <v>34</v>
      </c>
      <c r="G255" s="33" t="s">
        <v>2675</v>
      </c>
      <c r="H255" s="33" t="s">
        <v>2677</v>
      </c>
      <c r="I255" s="33" t="s">
        <v>2583</v>
      </c>
      <c r="J255" s="33" t="s">
        <v>2563</v>
      </c>
      <c r="K255" s="25" t="s">
        <v>1774</v>
      </c>
      <c r="L255" s="25" t="s">
        <v>1775</v>
      </c>
      <c r="M255" s="38" t="s">
        <v>2275</v>
      </c>
      <c r="N255" s="33" t="s">
        <v>70</v>
      </c>
      <c r="O255" s="33">
        <v>0</v>
      </c>
      <c r="P255" s="33">
        <v>1</v>
      </c>
      <c r="Q255" s="33" t="s">
        <v>71</v>
      </c>
      <c r="R255" s="33" t="s">
        <v>2650</v>
      </c>
      <c r="S255" s="33" t="s">
        <v>2054</v>
      </c>
      <c r="T255" s="25" t="s">
        <v>1776</v>
      </c>
      <c r="U255" s="33">
        <v>2009</v>
      </c>
      <c r="V255" s="33" t="s">
        <v>74</v>
      </c>
      <c r="W255" s="33" t="s">
        <v>1777</v>
      </c>
      <c r="X255" s="33"/>
      <c r="Y255" s="33"/>
      <c r="Z255" s="33"/>
      <c r="AA255" s="33"/>
      <c r="AB255" s="33"/>
      <c r="AC255" s="25"/>
      <c r="AD255" s="51" t="s">
        <v>77</v>
      </c>
      <c r="AE255" s="25" t="s">
        <v>78</v>
      </c>
      <c r="AF255" s="25"/>
      <c r="AG255" s="25"/>
      <c r="AH255" s="25"/>
      <c r="AI255" s="33" t="s">
        <v>1778</v>
      </c>
      <c r="AJ255" s="33" t="s">
        <v>76</v>
      </c>
      <c r="AK255" s="25"/>
      <c r="AL255" s="101" t="s">
        <v>1779</v>
      </c>
      <c r="AM255" s="83" t="s">
        <v>77</v>
      </c>
      <c r="AN255" s="40" t="s">
        <v>628</v>
      </c>
      <c r="AO255" s="62"/>
      <c r="AP255" s="40" t="s">
        <v>629</v>
      </c>
      <c r="AQ255" s="82" t="s">
        <v>1780</v>
      </c>
      <c r="AR255" s="40" t="s">
        <v>85</v>
      </c>
      <c r="AS255" s="42" t="s">
        <v>659</v>
      </c>
      <c r="AT255" s="86" t="s">
        <v>644</v>
      </c>
      <c r="AU255" s="25"/>
      <c r="AV255" s="25"/>
      <c r="AW255" s="25"/>
      <c r="AX255" s="34"/>
      <c r="AY255" s="34">
        <v>7380101</v>
      </c>
      <c r="AZ255" s="33">
        <v>269</v>
      </c>
      <c r="BA255" s="61"/>
      <c r="BC255" s="43" t="s">
        <v>2275</v>
      </c>
    </row>
    <row r="256" spans="1:67" ht="24.95" customHeight="1" x14ac:dyDescent="0.25">
      <c r="B256" s="36">
        <f>SUBTOTAL(103,$M$2:M256)</f>
        <v>255</v>
      </c>
      <c r="C256" s="37" t="s">
        <v>146</v>
      </c>
      <c r="D256" s="33" t="s">
        <v>79</v>
      </c>
      <c r="E256" s="33" t="s">
        <v>3</v>
      </c>
      <c r="F256" s="33" t="s">
        <v>34</v>
      </c>
      <c r="G256" s="33" t="s">
        <v>2675</v>
      </c>
      <c r="H256" s="33" t="s">
        <v>2677</v>
      </c>
      <c r="I256" s="33" t="s">
        <v>2583</v>
      </c>
      <c r="J256" s="33" t="s">
        <v>2564</v>
      </c>
      <c r="K256" s="25" t="s">
        <v>1179</v>
      </c>
      <c r="L256" s="25" t="s">
        <v>1781</v>
      </c>
      <c r="M256" s="38" t="s">
        <v>2276</v>
      </c>
      <c r="N256" s="33" t="s">
        <v>70</v>
      </c>
      <c r="O256" s="33">
        <v>0</v>
      </c>
      <c r="P256" s="33"/>
      <c r="Q256" s="36" t="s">
        <v>71</v>
      </c>
      <c r="R256" s="33" t="s">
        <v>2650</v>
      </c>
      <c r="S256" s="33" t="s">
        <v>2054</v>
      </c>
      <c r="T256" s="25" t="s">
        <v>1782</v>
      </c>
      <c r="U256" s="33">
        <v>2014</v>
      </c>
      <c r="V256" s="36" t="s">
        <v>257</v>
      </c>
      <c r="W256" s="33" t="s">
        <v>1160</v>
      </c>
      <c r="X256" s="33"/>
      <c r="Y256" s="33" t="s">
        <v>570</v>
      </c>
      <c r="Z256" s="37" t="s">
        <v>169</v>
      </c>
      <c r="AA256" s="37"/>
      <c r="AB256" s="33"/>
      <c r="AC256" s="25"/>
      <c r="AD256" s="51" t="s">
        <v>77</v>
      </c>
      <c r="AE256" s="25" t="s">
        <v>78</v>
      </c>
      <c r="AF256" s="33" t="s">
        <v>78</v>
      </c>
      <c r="AG256" s="33"/>
      <c r="AH256" s="80"/>
      <c r="AI256" s="33" t="s">
        <v>1529</v>
      </c>
      <c r="AJ256" s="33" t="s">
        <v>76</v>
      </c>
      <c r="AK256" s="25"/>
      <c r="AL256" s="101" t="s">
        <v>1783</v>
      </c>
      <c r="AM256" s="83" t="s">
        <v>77</v>
      </c>
      <c r="AN256" s="41" t="s">
        <v>141</v>
      </c>
      <c r="AO256" s="41"/>
      <c r="AP256" s="40" t="s">
        <v>1784</v>
      </c>
      <c r="AQ256" s="82" t="s">
        <v>1785</v>
      </c>
      <c r="AR256" s="40" t="s">
        <v>85</v>
      </c>
      <c r="AS256" s="42"/>
      <c r="AT256" s="25" t="s">
        <v>254</v>
      </c>
      <c r="AU256" s="32"/>
      <c r="AV256" s="25"/>
      <c r="AW256" s="33"/>
      <c r="AX256" s="34"/>
      <c r="AY256" s="34">
        <v>7380101</v>
      </c>
      <c r="AZ256" s="33">
        <v>270</v>
      </c>
      <c r="BA256" s="61"/>
      <c r="BB256" s="17"/>
      <c r="BC256" s="43" t="s">
        <v>2276</v>
      </c>
      <c r="BD256" s="17"/>
      <c r="BM256" s="46"/>
      <c r="BN256" s="46"/>
      <c r="BO256" s="47"/>
    </row>
    <row r="257" spans="1:67" ht="24.95" customHeight="1" x14ac:dyDescent="0.25">
      <c r="B257" s="36">
        <f>SUBTOTAL(103,$M$2:M257)</f>
        <v>256</v>
      </c>
      <c r="C257" s="37" t="s">
        <v>154</v>
      </c>
      <c r="D257" s="33" t="s">
        <v>79</v>
      </c>
      <c r="E257" s="33" t="s">
        <v>3</v>
      </c>
      <c r="F257" s="33" t="s">
        <v>34</v>
      </c>
      <c r="G257" s="33" t="s">
        <v>2675</v>
      </c>
      <c r="H257" s="33" t="s">
        <v>2677</v>
      </c>
      <c r="I257" s="33" t="s">
        <v>2583</v>
      </c>
      <c r="J257" s="33" t="s">
        <v>2565</v>
      </c>
      <c r="K257" s="25" t="s">
        <v>1786</v>
      </c>
      <c r="L257" s="25" t="s">
        <v>1787</v>
      </c>
      <c r="M257" s="38" t="s">
        <v>2174</v>
      </c>
      <c r="N257" s="33" t="s">
        <v>91</v>
      </c>
      <c r="O257" s="36">
        <v>1</v>
      </c>
      <c r="P257" s="36">
        <v>1</v>
      </c>
      <c r="Q257" s="33" t="s">
        <v>71</v>
      </c>
      <c r="R257" s="33" t="s">
        <v>2650</v>
      </c>
      <c r="S257" s="33" t="s">
        <v>2054</v>
      </c>
      <c r="T257" s="25" t="s">
        <v>1254</v>
      </c>
      <c r="U257" s="33">
        <v>2025</v>
      </c>
      <c r="V257" s="33" t="s">
        <v>74</v>
      </c>
      <c r="W257" s="33" t="s">
        <v>1788</v>
      </c>
      <c r="X257" s="33"/>
      <c r="Y257" s="33" t="s">
        <v>466</v>
      </c>
      <c r="Z257" s="33" t="s">
        <v>74</v>
      </c>
      <c r="AA257" s="33"/>
      <c r="AB257" s="33"/>
      <c r="AC257" s="25"/>
      <c r="AD257" s="51" t="s">
        <v>77</v>
      </c>
      <c r="AE257" s="25" t="s">
        <v>78</v>
      </c>
      <c r="AF257" s="25" t="s">
        <v>78</v>
      </c>
      <c r="AG257" s="25"/>
      <c r="AH257" s="25"/>
      <c r="AI257" s="33" t="s">
        <v>1161</v>
      </c>
      <c r="AJ257" s="33" t="s">
        <v>76</v>
      </c>
      <c r="AK257" s="25"/>
      <c r="AL257" s="101" t="s">
        <v>1789</v>
      </c>
      <c r="AM257" s="83" t="s">
        <v>77</v>
      </c>
      <c r="AN257" s="40" t="s">
        <v>267</v>
      </c>
      <c r="AO257" s="52"/>
      <c r="AP257" s="111" t="s">
        <v>1790</v>
      </c>
      <c r="AQ257" s="82" t="s">
        <v>1791</v>
      </c>
      <c r="AR257" s="40" t="s">
        <v>85</v>
      </c>
      <c r="AS257" s="42"/>
      <c r="AT257" s="25" t="s">
        <v>891</v>
      </c>
      <c r="AU257" s="32"/>
      <c r="AV257" s="25"/>
      <c r="AW257" s="33"/>
      <c r="AX257" s="34"/>
      <c r="AY257" s="34">
        <v>7380101</v>
      </c>
      <c r="AZ257" s="33">
        <v>271</v>
      </c>
      <c r="BA257" s="61"/>
      <c r="BB257" s="17"/>
      <c r="BC257" s="43" t="s">
        <v>2174</v>
      </c>
      <c r="BD257" s="17"/>
      <c r="BM257" s="46"/>
      <c r="BN257" s="46"/>
      <c r="BO257" s="47"/>
    </row>
    <row r="258" spans="1:67" ht="24.95" customHeight="1" x14ac:dyDescent="0.25">
      <c r="B258" s="36">
        <f>SUBTOTAL(103,$M$2:M258)</f>
        <v>257</v>
      </c>
      <c r="C258" s="37" t="s">
        <v>165</v>
      </c>
      <c r="D258" s="33" t="s">
        <v>79</v>
      </c>
      <c r="E258" s="33" t="s">
        <v>3</v>
      </c>
      <c r="F258" s="33" t="s">
        <v>34</v>
      </c>
      <c r="G258" s="33" t="s">
        <v>2675</v>
      </c>
      <c r="H258" s="33" t="s">
        <v>2677</v>
      </c>
      <c r="I258" s="33" t="s">
        <v>2583</v>
      </c>
      <c r="J258" s="33" t="s">
        <v>2566</v>
      </c>
      <c r="K258" s="25" t="s">
        <v>1480</v>
      </c>
      <c r="L258" s="25" t="s">
        <v>211</v>
      </c>
      <c r="M258" s="38" t="s">
        <v>2277</v>
      </c>
      <c r="N258" s="33" t="s">
        <v>91</v>
      </c>
      <c r="O258" s="36">
        <v>1</v>
      </c>
      <c r="P258" s="36">
        <v>1</v>
      </c>
      <c r="Q258" s="33" t="s">
        <v>71</v>
      </c>
      <c r="R258" s="33" t="s">
        <v>2650</v>
      </c>
      <c r="S258" s="33" t="s">
        <v>2054</v>
      </c>
      <c r="T258" s="25" t="s">
        <v>19</v>
      </c>
      <c r="U258" s="33">
        <v>2018</v>
      </c>
      <c r="V258" s="36" t="s">
        <v>257</v>
      </c>
      <c r="W258" s="33" t="s">
        <v>1333</v>
      </c>
      <c r="X258" s="33"/>
      <c r="Y258" s="33" t="s">
        <v>436</v>
      </c>
      <c r="Z258" s="37" t="s">
        <v>74</v>
      </c>
      <c r="AA258" s="37"/>
      <c r="AB258" s="33"/>
      <c r="AC258" s="25"/>
      <c r="AD258" s="51" t="s">
        <v>77</v>
      </c>
      <c r="AE258" s="25" t="s">
        <v>78</v>
      </c>
      <c r="AF258" s="33" t="s">
        <v>78</v>
      </c>
      <c r="AG258" s="25"/>
      <c r="AH258" s="80"/>
      <c r="AI258" s="37" t="s">
        <v>149</v>
      </c>
      <c r="AJ258" s="33" t="s">
        <v>3</v>
      </c>
      <c r="AK258" s="25"/>
      <c r="AL258" s="101" t="s">
        <v>1792</v>
      </c>
      <c r="AM258" s="83" t="s">
        <v>77</v>
      </c>
      <c r="AN258" s="40" t="s">
        <v>229</v>
      </c>
      <c r="AO258" s="62"/>
      <c r="AP258" s="40" t="s">
        <v>1793</v>
      </c>
      <c r="AQ258" s="82" t="s">
        <v>1794</v>
      </c>
      <c r="AR258" s="40" t="s">
        <v>85</v>
      </c>
      <c r="AS258" s="20"/>
      <c r="AT258" s="18" t="s">
        <v>145</v>
      </c>
      <c r="AU258" s="32"/>
      <c r="AV258" s="25"/>
      <c r="AW258" s="33"/>
      <c r="AX258" s="34"/>
      <c r="AY258" s="34">
        <v>7380101</v>
      </c>
      <c r="AZ258" s="33">
        <v>272</v>
      </c>
      <c r="BA258" s="61"/>
      <c r="BB258" s="17"/>
      <c r="BC258" s="43" t="s">
        <v>2277</v>
      </c>
      <c r="BD258" s="17"/>
      <c r="BM258" s="46"/>
      <c r="BN258" s="46"/>
      <c r="BO258" s="47"/>
    </row>
    <row r="259" spans="1:67" ht="24.95" customHeight="1" x14ac:dyDescent="0.25">
      <c r="B259" s="36">
        <f>SUBTOTAL(103,$M$2:M259)</f>
        <v>258</v>
      </c>
      <c r="C259" s="37" t="s">
        <v>178</v>
      </c>
      <c r="D259" s="33" t="s">
        <v>79</v>
      </c>
      <c r="E259" s="33" t="s">
        <v>3</v>
      </c>
      <c r="F259" s="33" t="s">
        <v>34</v>
      </c>
      <c r="G259" s="33" t="s">
        <v>2675</v>
      </c>
      <c r="H259" s="33" t="s">
        <v>2677</v>
      </c>
      <c r="I259" s="33" t="s">
        <v>2583</v>
      </c>
      <c r="J259" s="33" t="s">
        <v>2567</v>
      </c>
      <c r="K259" s="25" t="s">
        <v>103</v>
      </c>
      <c r="L259" s="25" t="s">
        <v>211</v>
      </c>
      <c r="M259" s="38" t="s">
        <v>2278</v>
      </c>
      <c r="N259" s="33" t="s">
        <v>91</v>
      </c>
      <c r="O259" s="36">
        <v>1</v>
      </c>
      <c r="P259" s="36"/>
      <c r="Q259" s="33" t="s">
        <v>71</v>
      </c>
      <c r="R259" s="33" t="s">
        <v>2650</v>
      </c>
      <c r="S259" s="33" t="s">
        <v>2054</v>
      </c>
      <c r="T259" s="25" t="s">
        <v>1795</v>
      </c>
      <c r="U259" s="33">
        <v>2016</v>
      </c>
      <c r="V259" s="33" t="s">
        <v>74</v>
      </c>
      <c r="W259" s="33" t="s">
        <v>1796</v>
      </c>
      <c r="X259" s="33"/>
      <c r="Y259" s="33"/>
      <c r="Z259" s="33"/>
      <c r="AA259" s="33"/>
      <c r="AB259" s="33"/>
      <c r="AC259" s="25"/>
      <c r="AD259" s="51" t="s">
        <v>77</v>
      </c>
      <c r="AE259" s="25" t="s">
        <v>78</v>
      </c>
      <c r="AF259" s="25"/>
      <c r="AG259" s="25"/>
      <c r="AH259" s="25"/>
      <c r="AI259" s="33" t="s">
        <v>1797</v>
      </c>
      <c r="AJ259" s="33" t="s">
        <v>3</v>
      </c>
      <c r="AK259" s="25" t="s">
        <v>1798</v>
      </c>
      <c r="AL259" s="101" t="s">
        <v>1799</v>
      </c>
      <c r="AM259" s="83" t="s">
        <v>77</v>
      </c>
      <c r="AN259" s="40" t="s">
        <v>401</v>
      </c>
      <c r="AO259" s="62"/>
      <c r="AP259" s="40" t="s">
        <v>1800</v>
      </c>
      <c r="AQ259" s="82" t="s">
        <v>1801</v>
      </c>
      <c r="AR259" s="40" t="s">
        <v>85</v>
      </c>
      <c r="AS259" s="20"/>
      <c r="AT259" s="20" t="s">
        <v>1672</v>
      </c>
      <c r="AU259" s="25"/>
      <c r="AV259" s="25"/>
      <c r="AW259" s="25"/>
      <c r="AX259" s="34"/>
      <c r="AY259" s="34">
        <v>7380101</v>
      </c>
      <c r="AZ259" s="33">
        <v>273</v>
      </c>
      <c r="BA259" s="61"/>
      <c r="BC259" s="43" t="s">
        <v>2278</v>
      </c>
    </row>
    <row r="260" spans="1:67" ht="24.95" customHeight="1" x14ac:dyDescent="0.25">
      <c r="B260" s="36">
        <f>SUBTOTAL(103,$M$2:M260)</f>
        <v>259</v>
      </c>
      <c r="C260" s="37" t="s">
        <v>189</v>
      </c>
      <c r="D260" s="33" t="s">
        <v>79</v>
      </c>
      <c r="E260" s="33" t="s">
        <v>3</v>
      </c>
      <c r="F260" s="33" t="s">
        <v>34</v>
      </c>
      <c r="G260" s="33" t="s">
        <v>2675</v>
      </c>
      <c r="H260" s="33" t="s">
        <v>2677</v>
      </c>
      <c r="I260" s="33" t="s">
        <v>2583</v>
      </c>
      <c r="J260" s="33" t="s">
        <v>2568</v>
      </c>
      <c r="K260" s="25" t="s">
        <v>103</v>
      </c>
      <c r="L260" s="25" t="s">
        <v>391</v>
      </c>
      <c r="M260" s="38" t="s">
        <v>2279</v>
      </c>
      <c r="N260" s="33" t="s">
        <v>91</v>
      </c>
      <c r="O260" s="36">
        <v>1</v>
      </c>
      <c r="P260" s="36">
        <v>1</v>
      </c>
      <c r="Q260" s="33" t="s">
        <v>71</v>
      </c>
      <c r="R260" s="33" t="s">
        <v>2650</v>
      </c>
      <c r="S260" s="33" t="s">
        <v>2054</v>
      </c>
      <c r="T260" s="25" t="s">
        <v>19</v>
      </c>
      <c r="U260" s="33">
        <v>2012</v>
      </c>
      <c r="V260" s="33" t="s">
        <v>74</v>
      </c>
      <c r="W260" s="33"/>
      <c r="X260" s="33" t="s">
        <v>1802</v>
      </c>
      <c r="Y260" s="33" t="s">
        <v>570</v>
      </c>
      <c r="Z260" s="33" t="s">
        <v>169</v>
      </c>
      <c r="AA260" s="37"/>
      <c r="AB260" s="33"/>
      <c r="AC260" s="25"/>
      <c r="AD260" s="51" t="s">
        <v>77</v>
      </c>
      <c r="AE260" s="25" t="s">
        <v>78</v>
      </c>
      <c r="AF260" s="33" t="s">
        <v>78</v>
      </c>
      <c r="AG260" s="33"/>
      <c r="AH260" s="80"/>
      <c r="AI260" s="37" t="s">
        <v>1803</v>
      </c>
      <c r="AJ260" s="33" t="s">
        <v>76</v>
      </c>
      <c r="AK260" s="25"/>
      <c r="AL260" s="101" t="s">
        <v>1804</v>
      </c>
      <c r="AM260" s="83" t="s">
        <v>77</v>
      </c>
      <c r="AN260" s="40" t="s">
        <v>267</v>
      </c>
      <c r="AO260" s="52"/>
      <c r="AP260" s="111" t="s">
        <v>1805</v>
      </c>
      <c r="AQ260" s="82" t="s">
        <v>1806</v>
      </c>
      <c r="AR260" s="40" t="s">
        <v>85</v>
      </c>
      <c r="AS260" s="20"/>
      <c r="AT260" s="18" t="s">
        <v>367</v>
      </c>
      <c r="AU260" s="32"/>
      <c r="AV260" s="25"/>
      <c r="AW260" s="33"/>
      <c r="AX260" s="34"/>
      <c r="AY260" s="34">
        <v>7380101</v>
      </c>
      <c r="AZ260" s="33">
        <v>274</v>
      </c>
      <c r="BA260" s="61"/>
      <c r="BB260" s="17"/>
      <c r="BC260" s="43" t="s">
        <v>2279</v>
      </c>
      <c r="BD260" s="17"/>
      <c r="BM260" s="46"/>
      <c r="BN260" s="46"/>
      <c r="BO260" s="47"/>
    </row>
    <row r="261" spans="1:67" ht="24.95" customHeight="1" x14ac:dyDescent="0.25">
      <c r="B261" s="36">
        <f>SUBTOTAL(103,$M$2:M261)</f>
        <v>260</v>
      </c>
      <c r="C261" s="37" t="s">
        <v>199</v>
      </c>
      <c r="D261" s="33" t="s">
        <v>79</v>
      </c>
      <c r="E261" s="33" t="s">
        <v>3</v>
      </c>
      <c r="F261" s="37" t="s">
        <v>34</v>
      </c>
      <c r="G261" s="33" t="s">
        <v>2675</v>
      </c>
      <c r="H261" s="33" t="s">
        <v>2677</v>
      </c>
      <c r="I261" s="33" t="s">
        <v>2583</v>
      </c>
      <c r="J261" s="33" t="s">
        <v>2569</v>
      </c>
      <c r="K261" s="25" t="s">
        <v>1807</v>
      </c>
      <c r="L261" s="25" t="s">
        <v>1296</v>
      </c>
      <c r="M261" s="38" t="s">
        <v>2280</v>
      </c>
      <c r="N261" s="36" t="s">
        <v>70</v>
      </c>
      <c r="O261" s="33">
        <v>0</v>
      </c>
      <c r="P261" s="33"/>
      <c r="Q261" s="36" t="s">
        <v>71</v>
      </c>
      <c r="R261" s="33" t="s">
        <v>2650</v>
      </c>
      <c r="S261" s="33" t="s">
        <v>2054</v>
      </c>
      <c r="T261" s="25" t="s">
        <v>19</v>
      </c>
      <c r="U261" s="33">
        <v>2011</v>
      </c>
      <c r="V261" s="33" t="s">
        <v>257</v>
      </c>
      <c r="W261" s="33" t="s">
        <v>1808</v>
      </c>
      <c r="X261" s="33"/>
      <c r="Y261" s="33"/>
      <c r="Z261" s="33"/>
      <c r="AA261" s="37"/>
      <c r="AB261" s="33"/>
      <c r="AC261" s="25"/>
      <c r="AD261" s="51" t="s">
        <v>77</v>
      </c>
      <c r="AE261" s="25" t="s">
        <v>78</v>
      </c>
      <c r="AF261" s="25"/>
      <c r="AG261" s="25"/>
      <c r="AH261" s="25"/>
      <c r="AI261" s="33" t="s">
        <v>149</v>
      </c>
      <c r="AJ261" s="33" t="s">
        <v>3</v>
      </c>
      <c r="AK261" s="25"/>
      <c r="AL261" s="101" t="s">
        <v>1809</v>
      </c>
      <c r="AM261" s="83" t="s">
        <v>77</v>
      </c>
      <c r="AN261" s="40" t="s">
        <v>150</v>
      </c>
      <c r="AO261" s="52"/>
      <c r="AP261" s="111" t="s">
        <v>1810</v>
      </c>
      <c r="AQ261" s="82" t="s">
        <v>1811</v>
      </c>
      <c r="AR261" s="40" t="s">
        <v>85</v>
      </c>
      <c r="AS261" s="20" t="s">
        <v>1812</v>
      </c>
      <c r="AT261" s="18" t="s">
        <v>472</v>
      </c>
      <c r="AU261" s="32"/>
      <c r="AV261" s="25"/>
      <c r="AW261" s="33"/>
      <c r="AX261" s="34"/>
      <c r="AY261" s="34">
        <v>7380101</v>
      </c>
      <c r="AZ261" s="33">
        <v>275</v>
      </c>
      <c r="BA261" s="61"/>
      <c r="BB261" s="17"/>
      <c r="BC261" s="43" t="s">
        <v>2280</v>
      </c>
      <c r="BD261" s="17"/>
      <c r="BM261" s="46"/>
      <c r="BN261" s="46"/>
      <c r="BO261" s="47"/>
    </row>
    <row r="262" spans="1:67" ht="24.95" customHeight="1" x14ac:dyDescent="0.25">
      <c r="B262" s="36">
        <f>SUBTOTAL(103,$M$2:M262)</f>
        <v>261</v>
      </c>
      <c r="C262" s="37" t="s">
        <v>310</v>
      </c>
      <c r="D262" s="33" t="s">
        <v>79</v>
      </c>
      <c r="E262" s="33" t="s">
        <v>3</v>
      </c>
      <c r="F262" s="33" t="s">
        <v>34</v>
      </c>
      <c r="G262" s="33" t="s">
        <v>2675</v>
      </c>
      <c r="H262" s="33" t="s">
        <v>2677</v>
      </c>
      <c r="I262" s="33" t="s">
        <v>2583</v>
      </c>
      <c r="J262" s="33" t="s">
        <v>2570</v>
      </c>
      <c r="K262" s="25" t="s">
        <v>1306</v>
      </c>
      <c r="L262" s="25" t="s">
        <v>1365</v>
      </c>
      <c r="M262" s="38" t="s">
        <v>2281</v>
      </c>
      <c r="N262" s="33" t="s">
        <v>70</v>
      </c>
      <c r="O262" s="33">
        <v>0</v>
      </c>
      <c r="P262" s="33"/>
      <c r="Q262" s="33" t="s">
        <v>71</v>
      </c>
      <c r="R262" s="33" t="s">
        <v>2650</v>
      </c>
      <c r="S262" s="33" t="s">
        <v>2054</v>
      </c>
      <c r="T262" s="25" t="s">
        <v>1813</v>
      </c>
      <c r="U262" s="33">
        <v>2012</v>
      </c>
      <c r="V262" s="36" t="s">
        <v>74</v>
      </c>
      <c r="W262" s="33" t="s">
        <v>1814</v>
      </c>
      <c r="X262" s="33"/>
      <c r="Y262" s="33" t="s">
        <v>501</v>
      </c>
      <c r="Z262" s="37" t="s">
        <v>74</v>
      </c>
      <c r="AA262" s="37"/>
      <c r="AB262" s="33"/>
      <c r="AC262" s="25"/>
      <c r="AD262" s="51" t="s">
        <v>77</v>
      </c>
      <c r="AE262" s="25" t="s">
        <v>78</v>
      </c>
      <c r="AF262" s="25" t="s">
        <v>78</v>
      </c>
      <c r="AG262" s="25"/>
      <c r="AH262" s="80"/>
      <c r="AI262" s="33" t="s">
        <v>1769</v>
      </c>
      <c r="AJ262" s="33" t="s">
        <v>76</v>
      </c>
      <c r="AK262" s="42" t="s">
        <v>1815</v>
      </c>
      <c r="AL262" s="101" t="s">
        <v>1816</v>
      </c>
      <c r="AM262" s="83" t="s">
        <v>77</v>
      </c>
      <c r="AN262" s="40" t="s">
        <v>141</v>
      </c>
      <c r="AO262" s="62"/>
      <c r="AP262" s="40" t="s">
        <v>1817</v>
      </c>
      <c r="AQ262" s="82" t="s">
        <v>1818</v>
      </c>
      <c r="AR262" s="40" t="s">
        <v>85</v>
      </c>
      <c r="AS262" s="18" t="s">
        <v>1226</v>
      </c>
      <c r="AT262" s="58" t="s">
        <v>145</v>
      </c>
      <c r="AU262" s="32"/>
      <c r="AV262" s="25"/>
      <c r="AW262" s="33"/>
      <c r="AX262" s="34"/>
      <c r="AY262" s="34">
        <v>7380101</v>
      </c>
      <c r="AZ262" s="33">
        <v>276</v>
      </c>
      <c r="BA262" s="61"/>
      <c r="BB262" s="17"/>
      <c r="BC262" s="43" t="s">
        <v>2281</v>
      </c>
      <c r="BD262" s="17"/>
      <c r="BM262" s="46"/>
      <c r="BN262" s="46"/>
      <c r="BO262" s="47"/>
    </row>
    <row r="263" spans="1:67" ht="24.95" customHeight="1" x14ac:dyDescent="0.25">
      <c r="B263" s="36">
        <f>SUBTOTAL(103,$M$2:M263)</f>
        <v>262</v>
      </c>
      <c r="C263" s="37" t="s">
        <v>317</v>
      </c>
      <c r="D263" s="33" t="s">
        <v>79</v>
      </c>
      <c r="E263" s="33" t="s">
        <v>3</v>
      </c>
      <c r="F263" s="33" t="s">
        <v>34</v>
      </c>
      <c r="G263" s="33" t="s">
        <v>2675</v>
      </c>
      <c r="H263" s="33" t="s">
        <v>2677</v>
      </c>
      <c r="I263" s="33" t="s">
        <v>2583</v>
      </c>
      <c r="J263" s="33" t="s">
        <v>2571</v>
      </c>
      <c r="K263" s="25" t="s">
        <v>1306</v>
      </c>
      <c r="L263" s="25" t="s">
        <v>1819</v>
      </c>
      <c r="M263" s="38" t="s">
        <v>2282</v>
      </c>
      <c r="N263" s="33" t="s">
        <v>70</v>
      </c>
      <c r="O263" s="33">
        <v>0</v>
      </c>
      <c r="P263" s="33"/>
      <c r="Q263" s="33" t="s">
        <v>71</v>
      </c>
      <c r="R263" s="33" t="s">
        <v>2650</v>
      </c>
      <c r="S263" s="33" t="s">
        <v>2054</v>
      </c>
      <c r="T263" s="25" t="s">
        <v>1344</v>
      </c>
      <c r="U263" s="33">
        <v>2009</v>
      </c>
      <c r="V263" s="33" t="s">
        <v>169</v>
      </c>
      <c r="W263" s="33" t="s">
        <v>1757</v>
      </c>
      <c r="X263" s="33"/>
      <c r="Y263" s="33"/>
      <c r="Z263" s="33"/>
      <c r="AA263" s="33"/>
      <c r="AB263" s="33"/>
      <c r="AC263" s="25"/>
      <c r="AD263" s="51" t="s">
        <v>77</v>
      </c>
      <c r="AE263" s="25"/>
      <c r="AF263" s="25"/>
      <c r="AG263" s="25"/>
      <c r="AH263" s="25"/>
      <c r="AI263" s="33" t="s">
        <v>127</v>
      </c>
      <c r="AJ263" s="33" t="s">
        <v>76</v>
      </c>
      <c r="AK263" s="25"/>
      <c r="AL263" s="101" t="s">
        <v>1820</v>
      </c>
      <c r="AM263" s="83" t="s">
        <v>77</v>
      </c>
      <c r="AN263" s="40" t="s">
        <v>628</v>
      </c>
      <c r="AO263" s="62"/>
      <c r="AP263" s="40" t="s">
        <v>1821</v>
      </c>
      <c r="AQ263" s="82" t="s">
        <v>1822</v>
      </c>
      <c r="AR263" s="40" t="s">
        <v>85</v>
      </c>
      <c r="AS263" s="20" t="s">
        <v>144</v>
      </c>
      <c r="AT263" s="63" t="s">
        <v>644</v>
      </c>
      <c r="AU263" s="25"/>
      <c r="AV263" s="25"/>
      <c r="AW263" s="25"/>
      <c r="AX263" s="34"/>
      <c r="AY263" s="34">
        <v>7380101</v>
      </c>
      <c r="AZ263" s="33">
        <v>277</v>
      </c>
      <c r="BA263" s="61"/>
      <c r="BC263" s="43" t="s">
        <v>2282</v>
      </c>
    </row>
    <row r="264" spans="1:67" ht="24.95" customHeight="1" x14ac:dyDescent="0.25">
      <c r="B264" s="36">
        <f>SUBTOTAL(103,$M$2:M264)</f>
        <v>263</v>
      </c>
      <c r="C264" s="37" t="s">
        <v>326</v>
      </c>
      <c r="D264" s="33" t="s">
        <v>79</v>
      </c>
      <c r="E264" s="33" t="s">
        <v>3</v>
      </c>
      <c r="F264" s="33" t="s">
        <v>34</v>
      </c>
      <c r="G264" s="33" t="s">
        <v>2675</v>
      </c>
      <c r="H264" s="33" t="s">
        <v>2677</v>
      </c>
      <c r="I264" s="33" t="s">
        <v>2583</v>
      </c>
      <c r="J264" s="33" t="s">
        <v>2572</v>
      </c>
      <c r="K264" s="25" t="s">
        <v>390</v>
      </c>
      <c r="L264" s="25" t="s">
        <v>653</v>
      </c>
      <c r="M264" s="38" t="s">
        <v>2283</v>
      </c>
      <c r="N264" s="33" t="s">
        <v>91</v>
      </c>
      <c r="O264" s="36">
        <v>1</v>
      </c>
      <c r="P264" s="36">
        <v>1</v>
      </c>
      <c r="Q264" s="33" t="s">
        <v>71</v>
      </c>
      <c r="R264" s="33" t="s">
        <v>2650</v>
      </c>
      <c r="S264" s="33" t="s">
        <v>2054</v>
      </c>
      <c r="T264" s="25" t="s">
        <v>19</v>
      </c>
      <c r="U264" s="33">
        <v>2010</v>
      </c>
      <c r="V264" s="33" t="s">
        <v>169</v>
      </c>
      <c r="W264" s="33"/>
      <c r="X264" s="33"/>
      <c r="Y264" s="33" t="s">
        <v>320</v>
      </c>
      <c r="Z264" s="33" t="s">
        <v>169</v>
      </c>
      <c r="AA264" s="37"/>
      <c r="AB264" s="33"/>
      <c r="AC264" s="25"/>
      <c r="AD264" s="51" t="s">
        <v>77</v>
      </c>
      <c r="AE264" s="25" t="s">
        <v>78</v>
      </c>
      <c r="AF264" s="33" t="s">
        <v>78</v>
      </c>
      <c r="AG264" s="33"/>
      <c r="AH264" s="80"/>
      <c r="AI264" s="37" t="s">
        <v>283</v>
      </c>
      <c r="AJ264" s="33" t="s">
        <v>3</v>
      </c>
      <c r="AK264" s="25" t="s">
        <v>1388</v>
      </c>
      <c r="AL264" s="101" t="s">
        <v>1823</v>
      </c>
      <c r="AM264" s="83" t="s">
        <v>77</v>
      </c>
      <c r="AN264" s="40" t="s">
        <v>267</v>
      </c>
      <c r="AO264" s="62"/>
      <c r="AP264" s="40" t="s">
        <v>1824</v>
      </c>
      <c r="AQ264" s="82" t="s">
        <v>1825</v>
      </c>
      <c r="AR264" s="40" t="s">
        <v>85</v>
      </c>
      <c r="AS264" s="20" t="s">
        <v>1826</v>
      </c>
      <c r="AT264" s="18" t="s">
        <v>367</v>
      </c>
      <c r="AU264" s="32"/>
      <c r="AV264" s="25"/>
      <c r="AW264" s="33"/>
      <c r="AX264" s="34"/>
      <c r="AY264" s="34">
        <v>7380101</v>
      </c>
      <c r="AZ264" s="33">
        <v>278</v>
      </c>
      <c r="BA264" s="61"/>
      <c r="BB264" s="17"/>
      <c r="BC264" s="43" t="s">
        <v>2283</v>
      </c>
      <c r="BD264" s="17"/>
      <c r="BM264" s="46"/>
      <c r="BN264" s="46"/>
      <c r="BO264" s="47"/>
    </row>
    <row r="265" spans="1:67" ht="24.95" customHeight="1" x14ac:dyDescent="0.25">
      <c r="B265" s="36">
        <f>SUBTOTAL(103,$M$2:M265)</f>
        <v>264</v>
      </c>
      <c r="C265" s="37" t="s">
        <v>334</v>
      </c>
      <c r="D265" s="33" t="s">
        <v>79</v>
      </c>
      <c r="E265" s="33" t="s">
        <v>3</v>
      </c>
      <c r="F265" s="33" t="s">
        <v>34</v>
      </c>
      <c r="G265" s="33" t="s">
        <v>2675</v>
      </c>
      <c r="H265" s="33" t="s">
        <v>2677</v>
      </c>
      <c r="I265" s="33" t="s">
        <v>2583</v>
      </c>
      <c r="J265" s="33" t="s">
        <v>2573</v>
      </c>
      <c r="K265" s="25" t="s">
        <v>849</v>
      </c>
      <c r="L265" s="25" t="s">
        <v>1378</v>
      </c>
      <c r="M265" s="38" t="s">
        <v>2284</v>
      </c>
      <c r="N265" s="33" t="s">
        <v>91</v>
      </c>
      <c r="O265" s="36">
        <v>1</v>
      </c>
      <c r="P265" s="36"/>
      <c r="Q265" s="33" t="s">
        <v>71</v>
      </c>
      <c r="R265" s="33" t="s">
        <v>2650</v>
      </c>
      <c r="S265" s="33" t="s">
        <v>2054</v>
      </c>
      <c r="T265" s="25" t="s">
        <v>202</v>
      </c>
      <c r="U265" s="33">
        <v>2014</v>
      </c>
      <c r="V265" s="33" t="s">
        <v>74</v>
      </c>
      <c r="W265" s="33" t="s">
        <v>1827</v>
      </c>
      <c r="X265" s="33"/>
      <c r="Y265" s="33"/>
      <c r="Z265" s="33"/>
      <c r="AA265" s="37"/>
      <c r="AB265" s="33"/>
      <c r="AC265" s="25"/>
      <c r="AD265" s="51" t="s">
        <v>77</v>
      </c>
      <c r="AE265" s="25"/>
      <c r="AF265" s="25"/>
      <c r="AG265" s="25"/>
      <c r="AH265" s="80"/>
      <c r="AI265" s="33" t="s">
        <v>1828</v>
      </c>
      <c r="AJ265" s="33" t="s">
        <v>76</v>
      </c>
      <c r="AK265" s="25"/>
      <c r="AL265" s="101" t="s">
        <v>1829</v>
      </c>
      <c r="AM265" s="83" t="s">
        <v>77</v>
      </c>
      <c r="AN265" s="40" t="s">
        <v>1830</v>
      </c>
      <c r="AO265" s="62"/>
      <c r="AP265" s="40" t="s">
        <v>1831</v>
      </c>
      <c r="AQ265" s="82" t="s">
        <v>1832</v>
      </c>
      <c r="AR265" s="40" t="s">
        <v>85</v>
      </c>
      <c r="AS265" s="20" t="s">
        <v>1833</v>
      </c>
      <c r="AT265" s="58" t="s">
        <v>1046</v>
      </c>
      <c r="AU265" s="32"/>
      <c r="AV265" s="25"/>
      <c r="AW265" s="33"/>
      <c r="AX265" s="34"/>
      <c r="AY265" s="34">
        <v>7380101</v>
      </c>
      <c r="AZ265" s="33">
        <v>279</v>
      </c>
      <c r="BA265" s="61"/>
      <c r="BB265" s="17"/>
      <c r="BC265" s="43" t="s">
        <v>2284</v>
      </c>
      <c r="BD265" s="17"/>
      <c r="BM265" s="46"/>
      <c r="BN265" s="46"/>
      <c r="BO265" s="47"/>
    </row>
    <row r="266" spans="1:67" ht="24.95" customHeight="1" x14ac:dyDescent="0.25">
      <c r="B266" s="36">
        <f>SUBTOTAL(103,$M$2:M266)</f>
        <v>265</v>
      </c>
      <c r="C266" s="37" t="s">
        <v>461</v>
      </c>
      <c r="D266" s="33" t="s">
        <v>79</v>
      </c>
      <c r="E266" s="33" t="s">
        <v>3</v>
      </c>
      <c r="F266" s="33" t="s">
        <v>34</v>
      </c>
      <c r="G266" s="33" t="s">
        <v>2675</v>
      </c>
      <c r="H266" s="33" t="s">
        <v>2677</v>
      </c>
      <c r="I266" s="33" t="s">
        <v>2583</v>
      </c>
      <c r="J266" s="33" t="s">
        <v>2574</v>
      </c>
      <c r="K266" s="25" t="s">
        <v>1140</v>
      </c>
      <c r="L266" s="25" t="s">
        <v>1437</v>
      </c>
      <c r="M266" s="38" t="s">
        <v>2285</v>
      </c>
      <c r="N266" s="33" t="s">
        <v>70</v>
      </c>
      <c r="O266" s="33">
        <v>0</v>
      </c>
      <c r="P266" s="33"/>
      <c r="Q266" s="33" t="s">
        <v>71</v>
      </c>
      <c r="R266" s="33" t="s">
        <v>2650</v>
      </c>
      <c r="S266" s="33" t="s">
        <v>2054</v>
      </c>
      <c r="T266" s="25" t="s">
        <v>1834</v>
      </c>
      <c r="U266" s="33">
        <v>2009</v>
      </c>
      <c r="V266" s="33" t="s">
        <v>74</v>
      </c>
      <c r="W266" s="33"/>
      <c r="X266" s="33"/>
      <c r="Y266" s="33"/>
      <c r="Z266" s="33"/>
      <c r="AA266" s="33"/>
      <c r="AB266" s="33"/>
      <c r="AC266" s="25"/>
      <c r="AD266" s="51" t="s">
        <v>77</v>
      </c>
      <c r="AE266" s="25" t="s">
        <v>78</v>
      </c>
      <c r="AF266" s="25"/>
      <c r="AG266" s="25"/>
      <c r="AH266" s="25"/>
      <c r="AI266" s="33" t="s">
        <v>149</v>
      </c>
      <c r="AJ266" s="33" t="s">
        <v>1249</v>
      </c>
      <c r="AK266" s="25"/>
      <c r="AL266" s="101" t="s">
        <v>1835</v>
      </c>
      <c r="AM266" s="83" t="s">
        <v>77</v>
      </c>
      <c r="AN266" s="40" t="s">
        <v>110</v>
      </c>
      <c r="AO266" s="62"/>
      <c r="AP266" s="40" t="s">
        <v>1700</v>
      </c>
      <c r="AQ266" s="82" t="s">
        <v>1836</v>
      </c>
      <c r="AR266" s="40" t="s">
        <v>751</v>
      </c>
      <c r="AS266" s="20" t="s">
        <v>1837</v>
      </c>
      <c r="AT266" s="63"/>
      <c r="AU266" s="25"/>
      <c r="AV266" s="25"/>
      <c r="AW266" s="25"/>
      <c r="AX266" s="34"/>
      <c r="AY266" s="34">
        <v>7380101</v>
      </c>
      <c r="AZ266" s="33">
        <v>280</v>
      </c>
      <c r="BA266" s="61"/>
      <c r="BC266" s="43" t="s">
        <v>2285</v>
      </c>
    </row>
    <row r="267" spans="1:67" ht="24.95" customHeight="1" x14ac:dyDescent="0.25">
      <c r="B267" s="36">
        <f>SUBTOTAL(103,$M$2:M267)</f>
        <v>266</v>
      </c>
      <c r="C267" s="37" t="s">
        <v>473</v>
      </c>
      <c r="D267" s="33" t="s">
        <v>79</v>
      </c>
      <c r="E267" s="33" t="s">
        <v>3</v>
      </c>
      <c r="F267" s="33" t="s">
        <v>34</v>
      </c>
      <c r="G267" s="33" t="s">
        <v>2675</v>
      </c>
      <c r="H267" s="33" t="s">
        <v>2677</v>
      </c>
      <c r="I267" s="33" t="s">
        <v>2583</v>
      </c>
      <c r="J267" s="33" t="s">
        <v>2575</v>
      </c>
      <c r="K267" s="25" t="s">
        <v>1838</v>
      </c>
      <c r="L267" s="25" t="s">
        <v>201</v>
      </c>
      <c r="M267" s="38" t="s">
        <v>2286</v>
      </c>
      <c r="N267" s="33" t="s">
        <v>70</v>
      </c>
      <c r="O267" s="33">
        <v>0</v>
      </c>
      <c r="P267" s="33"/>
      <c r="Q267" s="33" t="s">
        <v>71</v>
      </c>
      <c r="R267" s="33" t="s">
        <v>2650</v>
      </c>
      <c r="S267" s="33" t="s">
        <v>2054</v>
      </c>
      <c r="T267" s="25" t="s">
        <v>18</v>
      </c>
      <c r="U267" s="33">
        <v>2025</v>
      </c>
      <c r="V267" s="33" t="s">
        <v>169</v>
      </c>
      <c r="W267" s="33" t="s">
        <v>1839</v>
      </c>
      <c r="X267" s="33"/>
      <c r="Y267" s="33" t="s">
        <v>570</v>
      </c>
      <c r="Z267" s="33" t="s">
        <v>169</v>
      </c>
      <c r="AA267" s="33"/>
      <c r="AB267" s="33"/>
      <c r="AC267" s="25"/>
      <c r="AD267" s="51" t="s">
        <v>77</v>
      </c>
      <c r="AE267" s="25" t="s">
        <v>78</v>
      </c>
      <c r="AF267" s="25" t="s">
        <v>78</v>
      </c>
      <c r="AG267" s="25"/>
      <c r="AH267" s="25"/>
      <c r="AI267" s="33" t="s">
        <v>149</v>
      </c>
      <c r="AJ267" s="33" t="s">
        <v>76</v>
      </c>
      <c r="AK267" s="25"/>
      <c r="AL267" s="101" t="s">
        <v>1840</v>
      </c>
      <c r="AM267" s="83" t="s">
        <v>77</v>
      </c>
      <c r="AN267" s="41" t="s">
        <v>150</v>
      </c>
      <c r="AO267" s="41"/>
      <c r="AP267" s="41" t="s">
        <v>1810</v>
      </c>
      <c r="AQ267" s="82" t="s">
        <v>1841</v>
      </c>
      <c r="AR267" s="40" t="s">
        <v>85</v>
      </c>
      <c r="AS267" s="20" t="s">
        <v>1842</v>
      </c>
      <c r="AT267" s="18" t="s">
        <v>254</v>
      </c>
      <c r="AU267" s="32"/>
      <c r="AV267" s="25"/>
      <c r="AW267" s="33"/>
      <c r="AX267" s="34"/>
      <c r="AY267" s="34">
        <v>7380101</v>
      </c>
      <c r="AZ267" s="33">
        <v>281</v>
      </c>
      <c r="BA267" s="61"/>
      <c r="BB267" s="17"/>
      <c r="BC267" s="43" t="s">
        <v>2286</v>
      </c>
      <c r="BD267" s="17"/>
      <c r="BM267" s="46"/>
      <c r="BN267" s="46"/>
      <c r="BO267" s="47"/>
    </row>
    <row r="268" spans="1:67" ht="24.95" customHeight="1" x14ac:dyDescent="0.25">
      <c r="B268" s="36">
        <f>SUBTOTAL(103,$M$2:M268)</f>
        <v>267</v>
      </c>
      <c r="C268" s="37" t="s">
        <v>481</v>
      </c>
      <c r="D268" s="33" t="s">
        <v>79</v>
      </c>
      <c r="E268" s="33" t="s">
        <v>3</v>
      </c>
      <c r="F268" s="33" t="s">
        <v>34</v>
      </c>
      <c r="G268" s="33" t="s">
        <v>2675</v>
      </c>
      <c r="H268" s="33" t="s">
        <v>2677</v>
      </c>
      <c r="I268" s="33" t="s">
        <v>2583</v>
      </c>
      <c r="J268" s="33" t="s">
        <v>2576</v>
      </c>
      <c r="K268" s="25" t="s">
        <v>1843</v>
      </c>
      <c r="L268" s="25" t="s">
        <v>933</v>
      </c>
      <c r="M268" s="38" t="s">
        <v>2287</v>
      </c>
      <c r="N268" s="33" t="s">
        <v>70</v>
      </c>
      <c r="O268" s="33">
        <v>0</v>
      </c>
      <c r="P268" s="33"/>
      <c r="Q268" s="33" t="s">
        <v>71</v>
      </c>
      <c r="R268" s="33" t="s">
        <v>2650</v>
      </c>
      <c r="S268" s="33" t="s">
        <v>2054</v>
      </c>
      <c r="T268" s="25" t="s">
        <v>1782</v>
      </c>
      <c r="U268" s="33">
        <v>2015</v>
      </c>
      <c r="V268" s="33" t="s">
        <v>257</v>
      </c>
      <c r="W268" s="33"/>
      <c r="X268" s="33"/>
      <c r="Y268" s="33"/>
      <c r="Z268" s="33"/>
      <c r="AA268" s="37"/>
      <c r="AB268" s="33"/>
      <c r="AC268" s="25"/>
      <c r="AD268" s="51" t="s">
        <v>77</v>
      </c>
      <c r="AE268" s="25"/>
      <c r="AF268" s="33"/>
      <c r="AG268" s="25"/>
      <c r="AH268" s="80"/>
      <c r="AI268" s="33" t="s">
        <v>127</v>
      </c>
      <c r="AJ268" s="33" t="s">
        <v>3</v>
      </c>
      <c r="AK268" s="25"/>
      <c r="AL268" s="101" t="s">
        <v>1844</v>
      </c>
      <c r="AM268" s="83" t="s">
        <v>77</v>
      </c>
      <c r="AN268" s="40" t="s">
        <v>150</v>
      </c>
      <c r="AO268" s="62"/>
      <c r="AP268" s="40" t="s">
        <v>1163</v>
      </c>
      <c r="AQ268" s="82" t="s">
        <v>1845</v>
      </c>
      <c r="AR268" s="40" t="s">
        <v>85</v>
      </c>
      <c r="AS268" s="20" t="s">
        <v>1846</v>
      </c>
      <c r="AT268" s="18" t="s">
        <v>145</v>
      </c>
      <c r="AU268" s="32"/>
      <c r="AV268" s="25"/>
      <c r="AW268" s="33"/>
      <c r="AX268" s="34"/>
      <c r="AY268" s="34">
        <v>7380101</v>
      </c>
      <c r="AZ268" s="33">
        <v>282</v>
      </c>
      <c r="BA268" s="61"/>
      <c r="BB268" s="17"/>
      <c r="BC268" s="43" t="s">
        <v>2287</v>
      </c>
      <c r="BD268" s="17"/>
      <c r="BM268" s="46"/>
      <c r="BN268" s="46"/>
      <c r="BO268" s="47"/>
    </row>
    <row r="269" spans="1:67" ht="24.95" customHeight="1" x14ac:dyDescent="0.25">
      <c r="B269" s="36">
        <f>SUBTOTAL(103,$M$2:M269)</f>
        <v>268</v>
      </c>
      <c r="C269" s="37" t="s">
        <v>490</v>
      </c>
      <c r="D269" s="33" t="s">
        <v>79</v>
      </c>
      <c r="E269" s="36" t="s">
        <v>3</v>
      </c>
      <c r="F269" s="37" t="s">
        <v>34</v>
      </c>
      <c r="G269" s="33" t="s">
        <v>2675</v>
      </c>
      <c r="H269" s="33" t="s">
        <v>2677</v>
      </c>
      <c r="I269" s="33" t="s">
        <v>2583</v>
      </c>
      <c r="J269" s="33" t="s">
        <v>2577</v>
      </c>
      <c r="K269" s="48" t="s">
        <v>357</v>
      </c>
      <c r="L269" s="49" t="s">
        <v>1707</v>
      </c>
      <c r="M269" s="50" t="s">
        <v>2288</v>
      </c>
      <c r="N269" s="37" t="s">
        <v>91</v>
      </c>
      <c r="O269" s="36">
        <v>1</v>
      </c>
      <c r="P269" s="36"/>
      <c r="Q269" s="37" t="s">
        <v>71</v>
      </c>
      <c r="R269" s="33" t="s">
        <v>2650</v>
      </c>
      <c r="S269" s="33" t="s">
        <v>2054</v>
      </c>
      <c r="T269" s="48" t="s">
        <v>19</v>
      </c>
      <c r="U269" s="37" t="s">
        <v>1847</v>
      </c>
      <c r="V269" s="37" t="s">
        <v>257</v>
      </c>
      <c r="W269" s="37" t="s">
        <v>1848</v>
      </c>
      <c r="X269" s="37"/>
      <c r="Y269" s="37"/>
      <c r="Z269" s="37"/>
      <c r="AA269" s="37"/>
      <c r="AB269" s="37"/>
      <c r="AC269" s="25"/>
      <c r="AD269" s="51" t="s">
        <v>77</v>
      </c>
      <c r="AE269" s="37" t="s">
        <v>78</v>
      </c>
      <c r="AF269" s="37"/>
      <c r="AG269" s="37"/>
      <c r="AH269" s="37"/>
      <c r="AI269" s="37" t="s">
        <v>149</v>
      </c>
      <c r="AJ269" s="33" t="s">
        <v>3</v>
      </c>
      <c r="AK269" s="37"/>
      <c r="AL269" s="148" t="s">
        <v>1849</v>
      </c>
      <c r="AM269" s="83" t="s">
        <v>77</v>
      </c>
      <c r="AN269" s="41" t="s">
        <v>354</v>
      </c>
      <c r="AO269" s="41"/>
      <c r="AP269" s="41" t="s">
        <v>381</v>
      </c>
      <c r="AQ269" s="81" t="s">
        <v>1850</v>
      </c>
      <c r="AR269" s="41" t="s">
        <v>85</v>
      </c>
      <c r="AS269" s="20" t="s">
        <v>659</v>
      </c>
      <c r="AT269" s="18" t="s">
        <v>101</v>
      </c>
      <c r="AU269" s="32"/>
      <c r="AV269" s="25"/>
      <c r="AW269" s="33"/>
      <c r="AX269" s="34"/>
      <c r="AY269" s="34">
        <v>7380101</v>
      </c>
      <c r="AZ269" s="33">
        <v>283</v>
      </c>
      <c r="BA269" s="61"/>
      <c r="BB269" s="17"/>
      <c r="BC269" s="50" t="s">
        <v>2288</v>
      </c>
      <c r="BD269" s="17"/>
      <c r="BM269" s="46"/>
      <c r="BN269" s="46"/>
      <c r="BO269" s="47"/>
    </row>
    <row r="270" spans="1:67" ht="24.95" customHeight="1" x14ac:dyDescent="0.25">
      <c r="B270" s="36">
        <f>SUBTOTAL(103,$M$2:M270)</f>
        <v>269</v>
      </c>
      <c r="C270" s="37" t="s">
        <v>499</v>
      </c>
      <c r="D270" s="33" t="s">
        <v>79</v>
      </c>
      <c r="E270" s="33" t="s">
        <v>3</v>
      </c>
      <c r="F270" s="33" t="s">
        <v>34</v>
      </c>
      <c r="G270" s="33" t="s">
        <v>2675</v>
      </c>
      <c r="H270" s="33" t="s">
        <v>2677</v>
      </c>
      <c r="I270" s="33" t="s">
        <v>2583</v>
      </c>
      <c r="J270" s="33" t="s">
        <v>2578</v>
      </c>
      <c r="K270" s="25" t="s">
        <v>449</v>
      </c>
      <c r="L270" s="25" t="s">
        <v>545</v>
      </c>
      <c r="M270" s="38" t="s">
        <v>2289</v>
      </c>
      <c r="N270" s="33" t="s">
        <v>91</v>
      </c>
      <c r="O270" s="36">
        <v>1</v>
      </c>
      <c r="P270" s="36"/>
      <c r="Q270" s="36" t="s">
        <v>427</v>
      </c>
      <c r="R270" s="33" t="s">
        <v>2650</v>
      </c>
      <c r="S270" s="33" t="s">
        <v>2054</v>
      </c>
      <c r="T270" s="25" t="s">
        <v>30</v>
      </c>
      <c r="U270" s="33">
        <v>2010</v>
      </c>
      <c r="V270" s="36" t="s">
        <v>74</v>
      </c>
      <c r="W270" s="33" t="s">
        <v>934</v>
      </c>
      <c r="X270" s="33"/>
      <c r="Y270" s="33" t="s">
        <v>75</v>
      </c>
      <c r="Z270" s="37" t="s">
        <v>74</v>
      </c>
      <c r="AA270" s="37"/>
      <c r="AB270" s="33"/>
      <c r="AC270" s="25"/>
      <c r="AD270" s="51" t="s">
        <v>77</v>
      </c>
      <c r="AE270" s="25" t="s">
        <v>78</v>
      </c>
      <c r="AF270" s="33" t="s">
        <v>78</v>
      </c>
      <c r="AG270" s="33"/>
      <c r="AH270" s="80"/>
      <c r="AI270" s="37" t="s">
        <v>215</v>
      </c>
      <c r="AJ270" s="33" t="s">
        <v>76</v>
      </c>
      <c r="AK270" s="25"/>
      <c r="AL270" s="101" t="s">
        <v>1851</v>
      </c>
      <c r="AM270" s="83" t="s">
        <v>77</v>
      </c>
      <c r="AN270" s="41" t="s">
        <v>1233</v>
      </c>
      <c r="AO270" s="41"/>
      <c r="AP270" s="40" t="s">
        <v>1852</v>
      </c>
      <c r="AQ270" s="82" t="s">
        <v>1853</v>
      </c>
      <c r="AR270" s="41" t="s">
        <v>85</v>
      </c>
      <c r="AS270" s="20" t="s">
        <v>1854</v>
      </c>
      <c r="AT270" s="18" t="s">
        <v>254</v>
      </c>
      <c r="AU270" s="32"/>
      <c r="AV270" s="25"/>
      <c r="AW270" s="33"/>
      <c r="AX270" s="34"/>
      <c r="AY270" s="34">
        <v>7380101</v>
      </c>
      <c r="AZ270" s="33">
        <v>284</v>
      </c>
      <c r="BA270" s="61"/>
      <c r="BB270" s="17"/>
      <c r="BC270" s="43" t="s">
        <v>2289</v>
      </c>
      <c r="BD270" s="17"/>
      <c r="BM270" s="46"/>
      <c r="BN270" s="46"/>
      <c r="BO270" s="47"/>
    </row>
    <row r="271" spans="1:67" ht="24.95" customHeight="1" x14ac:dyDescent="0.25">
      <c r="B271" s="36">
        <f>SUBTOTAL(103,$M$2:M271)</f>
        <v>270</v>
      </c>
      <c r="C271" s="37" t="s">
        <v>506</v>
      </c>
      <c r="D271" s="33" t="s">
        <v>79</v>
      </c>
      <c r="E271" s="33" t="s">
        <v>3</v>
      </c>
      <c r="F271" s="33" t="s">
        <v>34</v>
      </c>
      <c r="G271" s="33" t="s">
        <v>2675</v>
      </c>
      <c r="H271" s="33" t="s">
        <v>2677</v>
      </c>
      <c r="I271" s="33" t="s">
        <v>2583</v>
      </c>
      <c r="J271" s="33" t="s">
        <v>2579</v>
      </c>
      <c r="K271" s="25" t="s">
        <v>338</v>
      </c>
      <c r="L271" s="25" t="s">
        <v>290</v>
      </c>
      <c r="M271" s="38" t="s">
        <v>2290</v>
      </c>
      <c r="N271" s="33" t="s">
        <v>91</v>
      </c>
      <c r="O271" s="36">
        <v>1</v>
      </c>
      <c r="P271" s="36">
        <v>1</v>
      </c>
      <c r="Q271" s="33" t="s">
        <v>71</v>
      </c>
      <c r="R271" s="33" t="s">
        <v>2650</v>
      </c>
      <c r="S271" s="33" t="s">
        <v>2054</v>
      </c>
      <c r="T271" s="25" t="s">
        <v>19</v>
      </c>
      <c r="U271" s="33">
        <v>2020</v>
      </c>
      <c r="V271" s="33" t="s">
        <v>74</v>
      </c>
      <c r="W271" s="33"/>
      <c r="X271" s="33" t="s">
        <v>1855</v>
      </c>
      <c r="Y271" s="33" t="s">
        <v>928</v>
      </c>
      <c r="Z271" s="33" t="s">
        <v>169</v>
      </c>
      <c r="AA271" s="37"/>
      <c r="AB271" s="33"/>
      <c r="AC271" s="25"/>
      <c r="AD271" s="51" t="s">
        <v>77</v>
      </c>
      <c r="AE271" s="25" t="s">
        <v>78</v>
      </c>
      <c r="AF271" s="25" t="s">
        <v>78</v>
      </c>
      <c r="AG271" s="25"/>
      <c r="AH271" s="25"/>
      <c r="AI271" s="37" t="s">
        <v>1175</v>
      </c>
      <c r="AJ271" s="36" t="s">
        <v>3</v>
      </c>
      <c r="AK271" s="25"/>
      <c r="AL271" s="101" t="s">
        <v>1856</v>
      </c>
      <c r="AM271" s="83" t="s">
        <v>77</v>
      </c>
      <c r="AN271" s="41" t="s">
        <v>286</v>
      </c>
      <c r="AO271" s="56"/>
      <c r="AP271" s="111" t="s">
        <v>1857</v>
      </c>
      <c r="AQ271" s="82" t="s">
        <v>1858</v>
      </c>
      <c r="AR271" s="40" t="s">
        <v>85</v>
      </c>
      <c r="AS271" s="20"/>
      <c r="AT271" s="18" t="s">
        <v>891</v>
      </c>
      <c r="AU271" s="32"/>
      <c r="AV271" s="25"/>
      <c r="AW271" s="33"/>
      <c r="AX271" s="34"/>
      <c r="AY271" s="34">
        <v>7380101</v>
      </c>
      <c r="AZ271" s="33">
        <v>285</v>
      </c>
      <c r="BA271" s="61"/>
      <c r="BB271" s="17"/>
      <c r="BC271" s="43" t="s">
        <v>2290</v>
      </c>
      <c r="BD271" s="17"/>
      <c r="BM271" s="46"/>
      <c r="BN271" s="46"/>
      <c r="BO271" s="47"/>
    </row>
    <row r="272" spans="1:67" ht="24.95" customHeight="1" x14ac:dyDescent="0.25">
      <c r="A272" s="18" t="s">
        <v>2862</v>
      </c>
      <c r="B272" s="36">
        <f>SUBTOTAL(103,$M$2:M272)</f>
        <v>271</v>
      </c>
      <c r="C272" s="33">
        <v>1</v>
      </c>
      <c r="D272" s="33" t="s">
        <v>79</v>
      </c>
      <c r="E272" s="33" t="s">
        <v>3</v>
      </c>
      <c r="F272" s="34" t="s">
        <v>34</v>
      </c>
      <c r="G272" s="33" t="s">
        <v>2675</v>
      </c>
      <c r="H272" s="33" t="s">
        <v>2677</v>
      </c>
      <c r="I272" s="33" t="s">
        <v>2583</v>
      </c>
      <c r="J272" s="33" t="s">
        <v>2893</v>
      </c>
      <c r="K272" s="25" t="s">
        <v>2691</v>
      </c>
      <c r="L272" s="25" t="s">
        <v>1022</v>
      </c>
      <c r="M272" s="38" t="s">
        <v>2750</v>
      </c>
      <c r="N272" s="33" t="s">
        <v>70</v>
      </c>
      <c r="O272" s="135">
        <v>0</v>
      </c>
      <c r="P272" s="135">
        <v>1</v>
      </c>
      <c r="Q272" s="33" t="s">
        <v>71</v>
      </c>
      <c r="R272" s="33" t="s">
        <v>2650</v>
      </c>
      <c r="S272" s="36" t="s">
        <v>2054</v>
      </c>
      <c r="T272" s="125" t="s">
        <v>18</v>
      </c>
      <c r="U272" s="33">
        <v>2015</v>
      </c>
      <c r="V272" s="33" t="s">
        <v>169</v>
      </c>
      <c r="W272" s="33" t="s">
        <v>2751</v>
      </c>
      <c r="X272" s="33"/>
      <c r="Y272" s="33"/>
      <c r="Z272" s="33"/>
      <c r="AA272" s="25"/>
      <c r="AB272" s="33"/>
      <c r="AC272" s="33" t="s">
        <v>3</v>
      </c>
      <c r="AD272" s="37" t="s">
        <v>77</v>
      </c>
      <c r="AE272" s="25"/>
      <c r="AF272" s="25"/>
      <c r="AG272" s="103"/>
      <c r="AH272" s="25"/>
      <c r="AI272" s="33" t="s">
        <v>283</v>
      </c>
      <c r="AJ272" s="33" t="s">
        <v>3</v>
      </c>
      <c r="AK272" s="25"/>
      <c r="AL272" s="43" t="s">
        <v>2752</v>
      </c>
      <c r="AM272" s="36" t="s">
        <v>77</v>
      </c>
      <c r="AN272" s="33" t="s">
        <v>250</v>
      </c>
      <c r="AP272" s="33" t="s">
        <v>2753</v>
      </c>
      <c r="AQ272" s="43" t="s">
        <v>2754</v>
      </c>
      <c r="AR272" s="25"/>
      <c r="AS272" s="25"/>
      <c r="AT272" s="25"/>
      <c r="AU272" s="18"/>
      <c r="AV272" s="84" t="s">
        <v>20</v>
      </c>
      <c r="AW272" s="17"/>
      <c r="BC272" s="18"/>
      <c r="BN272" s="18"/>
      <c r="BO272" s="18"/>
    </row>
    <row r="273" spans="1:67" ht="24.95" customHeight="1" x14ac:dyDescent="0.25">
      <c r="A273" s="18" t="s">
        <v>2862</v>
      </c>
      <c r="B273" s="36">
        <f>SUBTOTAL(103,$M$2:M273)</f>
        <v>272</v>
      </c>
      <c r="C273" s="33">
        <v>2</v>
      </c>
      <c r="D273" s="33" t="s">
        <v>79</v>
      </c>
      <c r="E273" s="33" t="s">
        <v>3</v>
      </c>
      <c r="F273" s="34" t="s">
        <v>34</v>
      </c>
      <c r="G273" s="33" t="s">
        <v>2675</v>
      </c>
      <c r="H273" s="33" t="s">
        <v>2677</v>
      </c>
      <c r="I273" s="33" t="s">
        <v>2583</v>
      </c>
      <c r="J273" s="33" t="s">
        <v>2894</v>
      </c>
      <c r="K273" s="25" t="s">
        <v>2755</v>
      </c>
      <c r="L273" s="25" t="s">
        <v>391</v>
      </c>
      <c r="M273" s="38" t="s">
        <v>2756</v>
      </c>
      <c r="N273" s="33" t="s">
        <v>91</v>
      </c>
      <c r="O273" s="135">
        <v>1</v>
      </c>
      <c r="P273" s="135">
        <v>1</v>
      </c>
      <c r="Q273" s="33" t="s">
        <v>71</v>
      </c>
      <c r="R273" s="33" t="s">
        <v>2650</v>
      </c>
      <c r="S273" s="36" t="s">
        <v>2054</v>
      </c>
      <c r="T273" s="125" t="s">
        <v>2737</v>
      </c>
      <c r="U273" s="33">
        <v>2020</v>
      </c>
      <c r="V273" s="33" t="s">
        <v>257</v>
      </c>
      <c r="W273" s="33" t="s">
        <v>2757</v>
      </c>
      <c r="X273" s="33"/>
      <c r="Y273" s="33" t="s">
        <v>371</v>
      </c>
      <c r="Z273" s="33" t="s">
        <v>74</v>
      </c>
      <c r="AA273" s="25"/>
      <c r="AB273" s="33"/>
      <c r="AC273" s="33" t="s">
        <v>3</v>
      </c>
      <c r="AD273" s="37" t="s">
        <v>77</v>
      </c>
      <c r="AE273" s="25" t="s">
        <v>78</v>
      </c>
      <c r="AF273" s="25" t="s">
        <v>78</v>
      </c>
      <c r="AG273" s="103"/>
      <c r="AH273" s="25"/>
      <c r="AI273" s="33" t="s">
        <v>2758</v>
      </c>
      <c r="AJ273" s="33" t="s">
        <v>76</v>
      </c>
      <c r="AK273" s="25"/>
      <c r="AL273" s="43" t="s">
        <v>2759</v>
      </c>
      <c r="AM273" s="36" t="s">
        <v>77</v>
      </c>
      <c r="AN273" s="33" t="s">
        <v>628</v>
      </c>
      <c r="AP273" s="33" t="s">
        <v>2760</v>
      </c>
      <c r="AQ273" s="43" t="s">
        <v>2761</v>
      </c>
      <c r="AR273" s="25"/>
      <c r="AS273" s="25"/>
      <c r="AT273" s="25"/>
      <c r="AU273" s="18"/>
      <c r="AV273" s="84" t="s">
        <v>20</v>
      </c>
      <c r="AW273" s="17"/>
      <c r="BC273" s="18"/>
      <c r="BN273" s="18"/>
      <c r="BO273" s="18"/>
    </row>
    <row r="274" spans="1:67" ht="24.95" customHeight="1" x14ac:dyDescent="0.25">
      <c r="A274" s="18" t="s">
        <v>2862</v>
      </c>
      <c r="B274" s="36">
        <f>SUBTOTAL(103,$M$2:M274)</f>
        <v>273</v>
      </c>
      <c r="C274" s="33">
        <v>3</v>
      </c>
      <c r="D274" s="33" t="s">
        <v>79</v>
      </c>
      <c r="E274" s="33" t="s">
        <v>3</v>
      </c>
      <c r="F274" s="34" t="s">
        <v>34</v>
      </c>
      <c r="G274" s="33" t="s">
        <v>2675</v>
      </c>
      <c r="H274" s="33" t="s">
        <v>2677</v>
      </c>
      <c r="I274" s="33" t="s">
        <v>2583</v>
      </c>
      <c r="J274" s="33" t="s">
        <v>2895</v>
      </c>
      <c r="K274" s="25" t="s">
        <v>338</v>
      </c>
      <c r="L274" s="25" t="s">
        <v>104</v>
      </c>
      <c r="M274" s="38" t="s">
        <v>2762</v>
      </c>
      <c r="N274" s="33" t="s">
        <v>91</v>
      </c>
      <c r="O274" s="135">
        <v>1</v>
      </c>
      <c r="P274" s="135">
        <v>1</v>
      </c>
      <c r="Q274" s="33" t="s">
        <v>71</v>
      </c>
      <c r="R274" s="33" t="s">
        <v>2650</v>
      </c>
      <c r="S274" s="36" t="s">
        <v>2054</v>
      </c>
      <c r="T274" s="125" t="s">
        <v>1901</v>
      </c>
      <c r="U274" s="33">
        <v>2009</v>
      </c>
      <c r="V274" s="33" t="s">
        <v>74</v>
      </c>
      <c r="W274" s="33" t="s">
        <v>2763</v>
      </c>
      <c r="X274" s="33"/>
      <c r="Y274" s="33"/>
      <c r="Z274" s="33"/>
      <c r="AA274" s="25"/>
      <c r="AB274" s="33"/>
      <c r="AC274" s="33" t="s">
        <v>3</v>
      </c>
      <c r="AD274" s="37" t="s">
        <v>77</v>
      </c>
      <c r="AE274" s="25" t="s">
        <v>78</v>
      </c>
      <c r="AF274" s="25"/>
      <c r="AG274" s="103"/>
      <c r="AH274" s="25"/>
      <c r="AI274" s="33" t="s">
        <v>2764</v>
      </c>
      <c r="AJ274" s="33" t="s">
        <v>1249</v>
      </c>
      <c r="AK274" s="25"/>
      <c r="AL274" s="43" t="s">
        <v>2765</v>
      </c>
      <c r="AM274" s="36" t="s">
        <v>77</v>
      </c>
      <c r="AN274" s="33" t="s">
        <v>2766</v>
      </c>
      <c r="AP274" s="33" t="s">
        <v>2767</v>
      </c>
      <c r="AQ274" s="43" t="s">
        <v>2768</v>
      </c>
      <c r="AR274" s="25"/>
      <c r="AS274" s="25"/>
      <c r="AT274" s="25"/>
      <c r="AU274" s="18"/>
      <c r="AV274" s="84" t="s">
        <v>20</v>
      </c>
      <c r="AW274" s="17"/>
      <c r="BC274" s="18"/>
      <c r="BN274" s="18"/>
      <c r="BO274" s="18"/>
    </row>
    <row r="275" spans="1:67" ht="24.95" customHeight="1" x14ac:dyDescent="0.25">
      <c r="B275" s="36">
        <f>SUBTOTAL(103,$M$2:M275)</f>
        <v>274</v>
      </c>
      <c r="C275" s="33"/>
      <c r="D275" s="33" t="s">
        <v>79</v>
      </c>
      <c r="E275" s="33" t="s">
        <v>3</v>
      </c>
      <c r="F275" s="36" t="s">
        <v>34</v>
      </c>
      <c r="G275" s="36" t="s">
        <v>2675</v>
      </c>
      <c r="H275" s="36" t="s">
        <v>2677</v>
      </c>
      <c r="I275" s="36" t="s">
        <v>2583</v>
      </c>
      <c r="J275" s="36" t="s">
        <v>2994</v>
      </c>
      <c r="K275" s="25" t="s">
        <v>1145</v>
      </c>
      <c r="L275" s="42" t="s">
        <v>2986</v>
      </c>
      <c r="M275" s="77" t="s">
        <v>2987</v>
      </c>
      <c r="N275" s="36" t="s">
        <v>70</v>
      </c>
      <c r="O275" s="36">
        <v>0</v>
      </c>
      <c r="P275" s="36"/>
      <c r="Q275" s="36" t="s">
        <v>71</v>
      </c>
      <c r="R275" s="71" t="s">
        <v>2650</v>
      </c>
      <c r="S275" s="71" t="s">
        <v>2054</v>
      </c>
      <c r="T275" s="25" t="s">
        <v>2988</v>
      </c>
      <c r="U275" s="33">
        <v>2005</v>
      </c>
      <c r="V275" s="36" t="s">
        <v>74</v>
      </c>
      <c r="W275" s="60">
        <v>7</v>
      </c>
      <c r="X275" s="44"/>
      <c r="Y275" s="33"/>
      <c r="Z275" s="44"/>
      <c r="AA275" s="33"/>
      <c r="AB275" s="33"/>
      <c r="AC275" s="25"/>
      <c r="AD275" s="36" t="s">
        <v>77</v>
      </c>
      <c r="AE275" s="36"/>
      <c r="AF275" s="36"/>
      <c r="AG275" s="25"/>
      <c r="AH275" s="36"/>
      <c r="AI275" s="33" t="s">
        <v>2989</v>
      </c>
      <c r="AJ275" s="33" t="s">
        <v>76</v>
      </c>
      <c r="AK275" s="25"/>
      <c r="AL275" s="43" t="s">
        <v>2990</v>
      </c>
      <c r="AM275" s="33" t="s">
        <v>77</v>
      </c>
      <c r="AN275" s="33" t="s">
        <v>628</v>
      </c>
      <c r="AO275" s="33"/>
      <c r="AP275" s="33" t="s">
        <v>2991</v>
      </c>
      <c r="AQ275" s="43" t="s">
        <v>2992</v>
      </c>
    </row>
    <row r="276" spans="1:67" ht="24.95" customHeight="1" x14ac:dyDescent="0.25">
      <c r="B276" s="36">
        <f>SUBTOTAL(103,$M$2:M276)</f>
        <v>275</v>
      </c>
      <c r="C276" s="37" t="s">
        <v>512</v>
      </c>
      <c r="D276" s="33" t="s">
        <v>79</v>
      </c>
      <c r="E276" s="36" t="s">
        <v>3</v>
      </c>
      <c r="F276" s="33" t="s">
        <v>32</v>
      </c>
      <c r="G276" s="33" t="s">
        <v>2675</v>
      </c>
      <c r="H276" s="33" t="s">
        <v>2677</v>
      </c>
      <c r="I276" s="33" t="s">
        <v>2583</v>
      </c>
      <c r="J276" s="33" t="s">
        <v>2580</v>
      </c>
      <c r="K276" s="25" t="s">
        <v>1859</v>
      </c>
      <c r="L276" s="25" t="s">
        <v>262</v>
      </c>
      <c r="M276" s="38" t="s">
        <v>2291</v>
      </c>
      <c r="N276" s="33" t="s">
        <v>91</v>
      </c>
      <c r="O276" s="36">
        <v>1</v>
      </c>
      <c r="P276" s="36"/>
      <c r="Q276" s="36" t="s">
        <v>71</v>
      </c>
      <c r="R276" s="33" t="s">
        <v>2650</v>
      </c>
      <c r="S276" s="33" t="s">
        <v>2054</v>
      </c>
      <c r="T276" s="25" t="s">
        <v>1860</v>
      </c>
      <c r="U276" s="33">
        <v>2018</v>
      </c>
      <c r="V276" s="36" t="s">
        <v>157</v>
      </c>
      <c r="W276" s="33" t="s">
        <v>601</v>
      </c>
      <c r="X276" s="33"/>
      <c r="Y276" s="33" t="s">
        <v>525</v>
      </c>
      <c r="Z276" s="33" t="s">
        <v>157</v>
      </c>
      <c r="AA276" s="37" t="s">
        <v>1877</v>
      </c>
      <c r="AB276" s="33">
        <v>22.4</v>
      </c>
      <c r="AC276" s="25"/>
      <c r="AD276" s="51" t="s">
        <v>77</v>
      </c>
      <c r="AE276" s="25" t="s">
        <v>78</v>
      </c>
      <c r="AF276" s="25" t="s">
        <v>78</v>
      </c>
      <c r="AG276" s="25"/>
      <c r="AH276" s="80"/>
      <c r="AI276" s="33" t="s">
        <v>1861</v>
      </c>
      <c r="AJ276" s="33" t="s">
        <v>76</v>
      </c>
      <c r="AK276" s="25"/>
      <c r="AL276" s="101" t="s">
        <v>1862</v>
      </c>
      <c r="AM276" s="83" t="s">
        <v>77</v>
      </c>
      <c r="AN276" s="41" t="s">
        <v>141</v>
      </c>
      <c r="AO276" s="41"/>
      <c r="AP276" s="41" t="s">
        <v>1863</v>
      </c>
      <c r="AQ276" s="82" t="s">
        <v>1864</v>
      </c>
      <c r="AR276" s="83" t="s">
        <v>85</v>
      </c>
      <c r="AS276" s="20"/>
      <c r="AT276" s="18" t="s">
        <v>433</v>
      </c>
      <c r="AU276" s="32"/>
      <c r="AV276" s="25"/>
      <c r="AW276" s="33"/>
      <c r="AX276" s="34"/>
      <c r="AY276" s="34">
        <v>7380101</v>
      </c>
      <c r="AZ276" s="33">
        <v>286</v>
      </c>
      <c r="BA276" s="61"/>
      <c r="BB276" s="17"/>
      <c r="BC276" s="43" t="s">
        <v>2291</v>
      </c>
      <c r="BD276" s="17"/>
      <c r="BM276" s="46"/>
      <c r="BN276" s="46"/>
      <c r="BO276" s="47"/>
    </row>
    <row r="277" spans="1:67" ht="24.95" customHeight="1" x14ac:dyDescent="0.25">
      <c r="B277" s="36">
        <f>SUBTOTAL(103,$M$2:M277)</f>
        <v>276</v>
      </c>
      <c r="C277" s="37" t="s">
        <v>517</v>
      </c>
      <c r="D277" s="33" t="s">
        <v>79</v>
      </c>
      <c r="E277" s="33" t="s">
        <v>3</v>
      </c>
      <c r="F277" s="33" t="s">
        <v>32</v>
      </c>
      <c r="G277" s="33" t="s">
        <v>2675</v>
      </c>
      <c r="H277" s="33" t="s">
        <v>2677</v>
      </c>
      <c r="I277" s="33" t="s">
        <v>2583</v>
      </c>
      <c r="J277" s="33" t="s">
        <v>2581</v>
      </c>
      <c r="K277" s="25" t="s">
        <v>1865</v>
      </c>
      <c r="L277" s="25" t="s">
        <v>272</v>
      </c>
      <c r="M277" s="38" t="s">
        <v>2292</v>
      </c>
      <c r="N277" s="33" t="s">
        <v>70</v>
      </c>
      <c r="O277" s="33">
        <v>0</v>
      </c>
      <c r="P277" s="33">
        <v>1</v>
      </c>
      <c r="Q277" s="33" t="s">
        <v>71</v>
      </c>
      <c r="R277" s="33" t="s">
        <v>2650</v>
      </c>
      <c r="S277" s="33" t="s">
        <v>2054</v>
      </c>
      <c r="T277" s="25" t="s">
        <v>1290</v>
      </c>
      <c r="U277" s="33">
        <v>2014</v>
      </c>
      <c r="V277" s="33" t="s">
        <v>74</v>
      </c>
      <c r="W277" s="33" t="s">
        <v>466</v>
      </c>
      <c r="X277" s="33"/>
      <c r="Y277" s="33"/>
      <c r="Z277" s="33"/>
      <c r="AA277" s="33" t="s">
        <v>1877</v>
      </c>
      <c r="AB277" s="33">
        <v>14.3</v>
      </c>
      <c r="AC277" s="25"/>
      <c r="AD277" s="51" t="s">
        <v>77</v>
      </c>
      <c r="AE277" s="25" t="s">
        <v>78</v>
      </c>
      <c r="AF277" s="25" t="s">
        <v>78</v>
      </c>
      <c r="AG277" s="25"/>
      <c r="AH277" s="25"/>
      <c r="AI277" s="33" t="s">
        <v>1866</v>
      </c>
      <c r="AJ277" s="33" t="s">
        <v>76</v>
      </c>
      <c r="AK277" s="25"/>
      <c r="AL277" s="101" t="s">
        <v>1867</v>
      </c>
      <c r="AM277" s="83" t="s">
        <v>77</v>
      </c>
      <c r="AN277" s="40" t="s">
        <v>1868</v>
      </c>
      <c r="AO277" s="62"/>
      <c r="AP277" s="40" t="s">
        <v>1869</v>
      </c>
      <c r="AQ277" s="82" t="s">
        <v>1870</v>
      </c>
      <c r="AR277" s="40" t="s">
        <v>85</v>
      </c>
      <c r="AS277" s="20" t="s">
        <v>324</v>
      </c>
      <c r="AT277" s="63"/>
      <c r="AU277" s="25"/>
      <c r="AV277" s="25"/>
      <c r="AW277" s="25"/>
      <c r="AX277" s="34"/>
      <c r="AY277" s="34">
        <v>7380101</v>
      </c>
      <c r="AZ277" s="33">
        <v>287</v>
      </c>
      <c r="BA277" s="61"/>
      <c r="BC277" s="43" t="s">
        <v>2292</v>
      </c>
    </row>
    <row r="278" spans="1:67" ht="24.95" customHeight="1" x14ac:dyDescent="0.25">
      <c r="B278" s="36">
        <f>SUBTOTAL(103,$M$2:M278)</f>
        <v>277</v>
      </c>
      <c r="C278" s="37" t="s">
        <v>523</v>
      </c>
      <c r="D278" s="33" t="s">
        <v>79</v>
      </c>
      <c r="E278" s="36" t="s">
        <v>3</v>
      </c>
      <c r="F278" s="33" t="s">
        <v>32</v>
      </c>
      <c r="G278" s="33" t="s">
        <v>2675</v>
      </c>
      <c r="H278" s="33" t="s">
        <v>2677</v>
      </c>
      <c r="I278" s="33" t="s">
        <v>2583</v>
      </c>
      <c r="J278" s="33" t="s">
        <v>2582</v>
      </c>
      <c r="K278" s="25" t="s">
        <v>1179</v>
      </c>
      <c r="L278" s="25" t="s">
        <v>1871</v>
      </c>
      <c r="M278" s="38" t="s">
        <v>2293</v>
      </c>
      <c r="N278" s="36" t="s">
        <v>70</v>
      </c>
      <c r="O278" s="33">
        <v>0</v>
      </c>
      <c r="P278" s="33"/>
      <c r="Q278" s="36" t="s">
        <v>71</v>
      </c>
      <c r="R278" s="33" t="s">
        <v>2650</v>
      </c>
      <c r="S278" s="33" t="s">
        <v>2054</v>
      </c>
      <c r="T278" s="25" t="s">
        <v>1872</v>
      </c>
      <c r="U278" s="33">
        <v>2016</v>
      </c>
      <c r="V278" s="36" t="s">
        <v>257</v>
      </c>
      <c r="W278" s="33" t="s">
        <v>352</v>
      </c>
      <c r="X278" s="33"/>
      <c r="Y278" s="33" t="s">
        <v>1757</v>
      </c>
      <c r="Z278" s="37" t="s">
        <v>169</v>
      </c>
      <c r="AA278" s="37" t="s">
        <v>2040</v>
      </c>
      <c r="AB278" s="33">
        <v>18.2</v>
      </c>
      <c r="AC278" s="25"/>
      <c r="AD278" s="51" t="s">
        <v>77</v>
      </c>
      <c r="AE278" s="33" t="s">
        <v>78</v>
      </c>
      <c r="AF278" s="33" t="s">
        <v>78</v>
      </c>
      <c r="AG278" s="25"/>
      <c r="AH278" s="80"/>
      <c r="AI278" s="37" t="s">
        <v>1873</v>
      </c>
      <c r="AJ278" s="33" t="s">
        <v>76</v>
      </c>
      <c r="AK278" s="25"/>
      <c r="AL278" s="101" t="s">
        <v>1874</v>
      </c>
      <c r="AM278" s="83" t="s">
        <v>77</v>
      </c>
      <c r="AN278" s="41" t="s">
        <v>150</v>
      </c>
      <c r="AO278" s="41"/>
      <c r="AP278" s="40" t="s">
        <v>1177</v>
      </c>
      <c r="AQ278" s="82" t="s">
        <v>1875</v>
      </c>
      <c r="AR278" s="40" t="s">
        <v>85</v>
      </c>
      <c r="AS278" s="20" t="s">
        <v>416</v>
      </c>
      <c r="AT278" s="18" t="s">
        <v>1004</v>
      </c>
      <c r="AU278" s="32"/>
      <c r="AV278" s="25"/>
      <c r="AW278" s="33"/>
      <c r="AX278" s="34"/>
      <c r="AY278" s="34">
        <v>7380101</v>
      </c>
      <c r="AZ278" s="33">
        <v>288</v>
      </c>
      <c r="BA278" s="61"/>
      <c r="BB278" s="17"/>
      <c r="BC278" s="43" t="s">
        <v>2293</v>
      </c>
      <c r="BD278" s="17"/>
      <c r="BM278" s="46"/>
      <c r="BN278" s="46"/>
      <c r="BO278" s="47"/>
    </row>
    <row r="279" spans="1:67" ht="24.95" customHeight="1" x14ac:dyDescent="0.25">
      <c r="B279" s="36">
        <f>SUBTOTAL(103,$M$2:M279)</f>
        <v>278</v>
      </c>
      <c r="C279" s="37" t="s">
        <v>67</v>
      </c>
      <c r="D279" s="33" t="s">
        <v>79</v>
      </c>
      <c r="E279" s="36" t="s">
        <v>76</v>
      </c>
      <c r="F279" s="37" t="s">
        <v>33</v>
      </c>
      <c r="G279" s="33" t="s">
        <v>2675</v>
      </c>
      <c r="H279" s="33" t="s">
        <v>2677</v>
      </c>
      <c r="I279" s="37" t="s">
        <v>2584</v>
      </c>
      <c r="J279" s="37" t="s">
        <v>2585</v>
      </c>
      <c r="K279" s="48" t="s">
        <v>68</v>
      </c>
      <c r="L279" s="49" t="s">
        <v>69</v>
      </c>
      <c r="M279" s="50" t="s">
        <v>2294</v>
      </c>
      <c r="N279" s="37" t="s">
        <v>70</v>
      </c>
      <c r="O279" s="33">
        <v>0</v>
      </c>
      <c r="P279" s="33"/>
      <c r="Q279" s="37" t="s">
        <v>71</v>
      </c>
      <c r="R279" s="37" t="s">
        <v>2651</v>
      </c>
      <c r="S279" s="37" t="s">
        <v>2055</v>
      </c>
      <c r="T279" s="48" t="s">
        <v>72</v>
      </c>
      <c r="U279" s="37" t="s">
        <v>73</v>
      </c>
      <c r="V279" s="37" t="s">
        <v>74</v>
      </c>
      <c r="W279" s="37"/>
      <c r="X279" s="37"/>
      <c r="Y279" s="37" t="s">
        <v>75</v>
      </c>
      <c r="Z279" s="37" t="s">
        <v>74</v>
      </c>
      <c r="AA279" s="37"/>
      <c r="AB279" s="37"/>
      <c r="AC279" s="25"/>
      <c r="AD279" s="51" t="s">
        <v>77</v>
      </c>
      <c r="AE279" s="37" t="s">
        <v>78</v>
      </c>
      <c r="AF279" s="37" t="s">
        <v>78</v>
      </c>
      <c r="AG279" s="37"/>
      <c r="AH279" s="37"/>
      <c r="AI279" s="37" t="s">
        <v>80</v>
      </c>
      <c r="AJ279" s="37"/>
      <c r="AK279" s="37"/>
      <c r="AL279" s="148" t="s">
        <v>81</v>
      </c>
      <c r="AM279" s="83" t="s">
        <v>77</v>
      </c>
      <c r="AN279" s="41" t="s">
        <v>82</v>
      </c>
      <c r="AO279" s="56"/>
      <c r="AP279" s="56" t="s">
        <v>83</v>
      </c>
      <c r="AQ279" s="81" t="s">
        <v>84</v>
      </c>
      <c r="AR279" s="41" t="s">
        <v>85</v>
      </c>
      <c r="AS279" s="20" t="s">
        <v>86</v>
      </c>
      <c r="AT279" s="18" t="s">
        <v>87</v>
      </c>
      <c r="AU279" s="32"/>
      <c r="AV279" s="25"/>
      <c r="AW279" s="33"/>
      <c r="AX279" s="34"/>
      <c r="AY279" s="34">
        <v>7480201</v>
      </c>
      <c r="AZ279" s="33">
        <v>3</v>
      </c>
      <c r="BA279" s="61"/>
      <c r="BB279" s="17"/>
      <c r="BC279" s="50" t="s">
        <v>2294</v>
      </c>
      <c r="BD279" s="17"/>
      <c r="BM279" s="46"/>
      <c r="BN279" s="46"/>
      <c r="BO279" s="47"/>
    </row>
    <row r="280" spans="1:67" ht="24.95" customHeight="1" x14ac:dyDescent="0.25">
      <c r="B280" s="36">
        <f>SUBTOTAL(103,$M$2:M280)</f>
        <v>279</v>
      </c>
      <c r="C280" s="37" t="s">
        <v>88</v>
      </c>
      <c r="D280" s="33" t="s">
        <v>79</v>
      </c>
      <c r="E280" s="36" t="s">
        <v>76</v>
      </c>
      <c r="F280" s="36" t="s">
        <v>33</v>
      </c>
      <c r="G280" s="33" t="s">
        <v>2675</v>
      </c>
      <c r="H280" s="33" t="s">
        <v>2677</v>
      </c>
      <c r="I280" s="37" t="s">
        <v>2584</v>
      </c>
      <c r="J280" s="37" t="s">
        <v>2586</v>
      </c>
      <c r="K280" s="25" t="s">
        <v>89</v>
      </c>
      <c r="L280" s="25" t="s">
        <v>90</v>
      </c>
      <c r="M280" s="54" t="s">
        <v>2295</v>
      </c>
      <c r="N280" s="37" t="s">
        <v>91</v>
      </c>
      <c r="O280" s="36">
        <v>1</v>
      </c>
      <c r="P280" s="36">
        <v>1</v>
      </c>
      <c r="Q280" s="37" t="s">
        <v>71</v>
      </c>
      <c r="R280" s="37" t="s">
        <v>2651</v>
      </c>
      <c r="S280" s="37" t="s">
        <v>2055</v>
      </c>
      <c r="T280" s="55" t="s">
        <v>92</v>
      </c>
      <c r="U280" s="33">
        <v>2013</v>
      </c>
      <c r="V280" s="37" t="s">
        <v>74</v>
      </c>
      <c r="W280" s="36" t="s">
        <v>93</v>
      </c>
      <c r="X280" s="36"/>
      <c r="Y280" s="36" t="s">
        <v>94</v>
      </c>
      <c r="Z280" s="37" t="s">
        <v>74</v>
      </c>
      <c r="AA280" s="37"/>
      <c r="AB280" s="33"/>
      <c r="AC280" s="25"/>
      <c r="AD280" s="51" t="s">
        <v>77</v>
      </c>
      <c r="AE280" s="37" t="s">
        <v>78</v>
      </c>
      <c r="AF280" s="37" t="s">
        <v>78</v>
      </c>
      <c r="AG280" s="25"/>
      <c r="AH280" s="80"/>
      <c r="AI280" s="33" t="s">
        <v>95</v>
      </c>
      <c r="AJ280" s="37" t="s">
        <v>76</v>
      </c>
      <c r="AK280" s="25"/>
      <c r="AL280" s="78" t="s">
        <v>96</v>
      </c>
      <c r="AM280" s="36" t="s">
        <v>77</v>
      </c>
      <c r="AN280" s="37" t="s">
        <v>97</v>
      </c>
      <c r="AO280" s="37"/>
      <c r="AP280" s="33" t="s">
        <v>98</v>
      </c>
      <c r="AQ280" s="43" t="s">
        <v>99</v>
      </c>
      <c r="AR280" s="44" t="s">
        <v>85</v>
      </c>
      <c r="AS280" s="20" t="s">
        <v>100</v>
      </c>
      <c r="AT280" s="18" t="s">
        <v>101</v>
      </c>
      <c r="AU280" s="32"/>
      <c r="AV280" s="25"/>
      <c r="AW280" s="33"/>
      <c r="AX280" s="34"/>
      <c r="AY280" s="34">
        <v>7480201</v>
      </c>
      <c r="AZ280" s="33">
        <v>4</v>
      </c>
      <c r="BA280" s="61"/>
      <c r="BB280" s="17"/>
      <c r="BC280" s="57" t="s">
        <v>2295</v>
      </c>
      <c r="BD280" s="17"/>
      <c r="BM280" s="46"/>
      <c r="BN280" s="46"/>
      <c r="BO280" s="47"/>
    </row>
    <row r="281" spans="1:67" ht="24.95" customHeight="1" x14ac:dyDescent="0.25">
      <c r="B281" s="36">
        <f>SUBTOTAL(103,$M$2:M281)</f>
        <v>280</v>
      </c>
      <c r="C281" s="37" t="s">
        <v>102</v>
      </c>
      <c r="D281" s="33" t="s">
        <v>79</v>
      </c>
      <c r="E281" s="37" t="s">
        <v>76</v>
      </c>
      <c r="F281" s="37" t="s">
        <v>33</v>
      </c>
      <c r="G281" s="33" t="s">
        <v>2675</v>
      </c>
      <c r="H281" s="33" t="s">
        <v>2677</v>
      </c>
      <c r="I281" s="37" t="s">
        <v>2584</v>
      </c>
      <c r="J281" s="37" t="s">
        <v>2587</v>
      </c>
      <c r="K281" s="48" t="s">
        <v>103</v>
      </c>
      <c r="L281" s="49" t="s">
        <v>104</v>
      </c>
      <c r="M281" s="50" t="s">
        <v>2296</v>
      </c>
      <c r="N281" s="37" t="s">
        <v>91</v>
      </c>
      <c r="O281" s="36">
        <v>1</v>
      </c>
      <c r="P281" s="36">
        <v>1</v>
      </c>
      <c r="Q281" s="37" t="s">
        <v>71</v>
      </c>
      <c r="R281" s="37" t="s">
        <v>2651</v>
      </c>
      <c r="S281" s="37" t="s">
        <v>2055</v>
      </c>
      <c r="T281" s="48" t="s">
        <v>23</v>
      </c>
      <c r="U281" s="37" t="s">
        <v>105</v>
      </c>
      <c r="V281" s="37" t="s">
        <v>74</v>
      </c>
      <c r="W281" s="37" t="s">
        <v>106</v>
      </c>
      <c r="X281" s="37"/>
      <c r="Y281" s="37" t="s">
        <v>107</v>
      </c>
      <c r="Z281" s="37" t="s">
        <v>74</v>
      </c>
      <c r="AA281" s="37"/>
      <c r="AB281" s="37"/>
      <c r="AC281" s="25"/>
      <c r="AD281" s="51" t="s">
        <v>77</v>
      </c>
      <c r="AE281" s="37"/>
      <c r="AF281" s="37" t="s">
        <v>78</v>
      </c>
      <c r="AG281" s="37"/>
      <c r="AH281" s="37"/>
      <c r="AI281" s="37" t="s">
        <v>108</v>
      </c>
      <c r="AJ281" s="37" t="s">
        <v>76</v>
      </c>
      <c r="AK281" s="37"/>
      <c r="AL281" s="146" t="s">
        <v>109</v>
      </c>
      <c r="AM281" s="36" t="s">
        <v>77</v>
      </c>
      <c r="AN281" s="37" t="s">
        <v>110</v>
      </c>
      <c r="AO281" s="37"/>
      <c r="AP281" s="37" t="s">
        <v>111</v>
      </c>
      <c r="AQ281" s="50" t="s">
        <v>112</v>
      </c>
      <c r="AR281" s="37" t="s">
        <v>85</v>
      </c>
      <c r="AS281" s="20" t="s">
        <v>113</v>
      </c>
      <c r="AT281" s="18" t="s">
        <v>114</v>
      </c>
      <c r="AU281" s="32"/>
      <c r="AV281" s="25"/>
      <c r="AW281" s="33"/>
      <c r="AX281" s="34"/>
      <c r="AY281" s="34">
        <v>7480201</v>
      </c>
      <c r="AZ281" s="33">
        <v>5</v>
      </c>
      <c r="BA281" s="61"/>
      <c r="BB281" s="17"/>
      <c r="BC281" s="50" t="s">
        <v>2296</v>
      </c>
      <c r="BD281" s="17"/>
      <c r="BM281" s="46"/>
      <c r="BN281" s="46"/>
      <c r="BO281" s="47"/>
    </row>
    <row r="282" spans="1:67" ht="24.95" customHeight="1" x14ac:dyDescent="0.25">
      <c r="B282" s="36">
        <f>SUBTOTAL(103,$M$2:M282)</f>
        <v>281</v>
      </c>
      <c r="C282" s="37" t="s">
        <v>115</v>
      </c>
      <c r="D282" s="33" t="s">
        <v>79</v>
      </c>
      <c r="E282" s="36" t="s">
        <v>76</v>
      </c>
      <c r="F282" s="37" t="s">
        <v>34</v>
      </c>
      <c r="G282" s="33" t="s">
        <v>2675</v>
      </c>
      <c r="H282" s="33" t="s">
        <v>2677</v>
      </c>
      <c r="I282" s="37" t="s">
        <v>2584</v>
      </c>
      <c r="J282" s="37" t="s">
        <v>2588</v>
      </c>
      <c r="K282" s="48" t="s">
        <v>1879</v>
      </c>
      <c r="L282" s="49" t="s">
        <v>1880</v>
      </c>
      <c r="M282" s="50" t="s">
        <v>2297</v>
      </c>
      <c r="N282" s="37" t="s">
        <v>70</v>
      </c>
      <c r="O282" s="33">
        <v>0</v>
      </c>
      <c r="P282" s="33">
        <v>1</v>
      </c>
      <c r="Q282" s="37" t="s">
        <v>71</v>
      </c>
      <c r="R282" s="37" t="s">
        <v>2651</v>
      </c>
      <c r="S282" s="37" t="s">
        <v>2055</v>
      </c>
      <c r="T282" s="48" t="s">
        <v>598</v>
      </c>
      <c r="U282" s="37" t="s">
        <v>73</v>
      </c>
      <c r="V282" s="37" t="s">
        <v>74</v>
      </c>
      <c r="W282" s="37" t="s">
        <v>371</v>
      </c>
      <c r="X282" s="37" t="s">
        <v>1881</v>
      </c>
      <c r="Y282" s="37" t="s">
        <v>371</v>
      </c>
      <c r="Z282" s="37" t="s">
        <v>74</v>
      </c>
      <c r="AA282" s="37"/>
      <c r="AB282" s="37"/>
      <c r="AC282" s="25"/>
      <c r="AD282" s="51" t="s">
        <v>77</v>
      </c>
      <c r="AE282" s="37" t="s">
        <v>78</v>
      </c>
      <c r="AF282" s="37" t="s">
        <v>78</v>
      </c>
      <c r="AG282" s="37"/>
      <c r="AH282" s="37"/>
      <c r="AI282" s="37" t="s">
        <v>149</v>
      </c>
      <c r="AJ282" s="37" t="s">
        <v>76</v>
      </c>
      <c r="AK282" s="37"/>
      <c r="AL282" s="148" t="s">
        <v>1882</v>
      </c>
      <c r="AM282" s="83" t="s">
        <v>77</v>
      </c>
      <c r="AN282" s="41" t="s">
        <v>82</v>
      </c>
      <c r="AO282" s="56"/>
      <c r="AP282" s="56" t="s">
        <v>1883</v>
      </c>
      <c r="AQ282" s="81" t="s">
        <v>1884</v>
      </c>
      <c r="AR282" s="41" t="s">
        <v>550</v>
      </c>
      <c r="AS282" s="20"/>
      <c r="AT282" s="18" t="s">
        <v>114</v>
      </c>
      <c r="AU282" s="32"/>
      <c r="AV282" s="25"/>
      <c r="AW282" s="33"/>
      <c r="AX282" s="34"/>
      <c r="AY282" s="34">
        <v>7480201</v>
      </c>
      <c r="AZ282" s="33">
        <v>6</v>
      </c>
      <c r="BA282" s="61"/>
      <c r="BB282" s="17"/>
      <c r="BC282" s="50" t="s">
        <v>2297</v>
      </c>
      <c r="BD282" s="17"/>
      <c r="BM282" s="46"/>
      <c r="BN282" s="46"/>
      <c r="BO282" s="47"/>
    </row>
    <row r="283" spans="1:67" ht="24.95" customHeight="1" x14ac:dyDescent="0.25">
      <c r="B283" s="36">
        <f>SUBTOTAL(103,$M$2:M283)</f>
        <v>282</v>
      </c>
      <c r="C283" s="37" t="s">
        <v>124</v>
      </c>
      <c r="D283" s="33" t="s">
        <v>79</v>
      </c>
      <c r="E283" s="33" t="s">
        <v>76</v>
      </c>
      <c r="F283" s="36" t="s">
        <v>34</v>
      </c>
      <c r="G283" s="33" t="s">
        <v>2675</v>
      </c>
      <c r="H283" s="33" t="s">
        <v>2677</v>
      </c>
      <c r="I283" s="37" t="s">
        <v>2584</v>
      </c>
      <c r="J283" s="37" t="s">
        <v>2589</v>
      </c>
      <c r="K283" s="25" t="s">
        <v>482</v>
      </c>
      <c r="L283" s="25" t="s">
        <v>358</v>
      </c>
      <c r="M283" s="54" t="s">
        <v>2298</v>
      </c>
      <c r="N283" s="36" t="s">
        <v>91</v>
      </c>
      <c r="O283" s="36">
        <v>1</v>
      </c>
      <c r="P283" s="36">
        <v>1</v>
      </c>
      <c r="Q283" s="36" t="s">
        <v>71</v>
      </c>
      <c r="R283" s="37" t="s">
        <v>2651</v>
      </c>
      <c r="S283" s="37" t="s">
        <v>2055</v>
      </c>
      <c r="T283" s="55" t="s">
        <v>1885</v>
      </c>
      <c r="U283" s="36">
        <v>2009</v>
      </c>
      <c r="V283" s="36" t="s">
        <v>257</v>
      </c>
      <c r="W283" s="36" t="s">
        <v>1886</v>
      </c>
      <c r="X283" s="36"/>
      <c r="Y283" s="36"/>
      <c r="Z283" s="33"/>
      <c r="AA283" s="37"/>
      <c r="AB283" s="33"/>
      <c r="AC283" s="25"/>
      <c r="AD283" s="51" t="s">
        <v>77</v>
      </c>
      <c r="AE283" s="25" t="s">
        <v>78</v>
      </c>
      <c r="AF283" s="36"/>
      <c r="AG283" s="36"/>
      <c r="AH283" s="80"/>
      <c r="AI283" s="37" t="s">
        <v>1887</v>
      </c>
      <c r="AJ283" s="36" t="s">
        <v>76</v>
      </c>
      <c r="AK283" s="25"/>
      <c r="AL283" s="101" t="s">
        <v>1888</v>
      </c>
      <c r="AM283" s="83" t="s">
        <v>77</v>
      </c>
      <c r="AN283" s="83" t="s">
        <v>141</v>
      </c>
      <c r="AO283" s="92"/>
      <c r="AP283" s="83" t="s">
        <v>1772</v>
      </c>
      <c r="AQ283" s="93" t="s">
        <v>1889</v>
      </c>
      <c r="AR283" s="40" t="s">
        <v>85</v>
      </c>
      <c r="AS283" s="134"/>
      <c r="AT283" s="58" t="s">
        <v>288</v>
      </c>
      <c r="AU283" s="32"/>
      <c r="AV283" s="25"/>
      <c r="AW283" s="33"/>
      <c r="AX283" s="34"/>
      <c r="AY283" s="34">
        <v>7480201</v>
      </c>
      <c r="AZ283" s="33">
        <v>7</v>
      </c>
      <c r="BA283" s="61"/>
      <c r="BB283" s="17"/>
      <c r="BC283" s="57" t="s">
        <v>2298</v>
      </c>
      <c r="BD283" s="17"/>
      <c r="BM283" s="46"/>
      <c r="BN283" s="46"/>
      <c r="BO283" s="47"/>
    </row>
    <row r="284" spans="1:67" ht="24.95" customHeight="1" x14ac:dyDescent="0.25">
      <c r="B284" s="36">
        <f>SUBTOTAL(103,$M$2:M284)</f>
        <v>283</v>
      </c>
      <c r="C284" s="37" t="s">
        <v>133</v>
      </c>
      <c r="D284" s="33" t="s">
        <v>79</v>
      </c>
      <c r="E284" s="33" t="s">
        <v>76</v>
      </c>
      <c r="F284" s="33" t="s">
        <v>34</v>
      </c>
      <c r="G284" s="33" t="s">
        <v>2675</v>
      </c>
      <c r="H284" s="33" t="s">
        <v>2677</v>
      </c>
      <c r="I284" s="37" t="s">
        <v>2584</v>
      </c>
      <c r="J284" s="37" t="s">
        <v>2590</v>
      </c>
      <c r="K284" s="25" t="s">
        <v>1890</v>
      </c>
      <c r="L284" s="25" t="s">
        <v>1891</v>
      </c>
      <c r="M284" s="38" t="s">
        <v>2137</v>
      </c>
      <c r="N284" s="33" t="s">
        <v>70</v>
      </c>
      <c r="O284" s="33">
        <v>0</v>
      </c>
      <c r="P284" s="33">
        <v>1</v>
      </c>
      <c r="Q284" s="33" t="s">
        <v>71</v>
      </c>
      <c r="R284" s="37" t="s">
        <v>2651</v>
      </c>
      <c r="S284" s="37" t="s">
        <v>2055</v>
      </c>
      <c r="T284" s="25" t="s">
        <v>1892</v>
      </c>
      <c r="U284" s="33">
        <v>2012</v>
      </c>
      <c r="V284" s="33" t="s">
        <v>74</v>
      </c>
      <c r="W284" s="33"/>
      <c r="X284" s="33"/>
      <c r="Y284" s="33"/>
      <c r="Z284" s="33"/>
      <c r="AA284" s="33"/>
      <c r="AB284" s="33"/>
      <c r="AC284" s="25"/>
      <c r="AD284" s="51" t="s">
        <v>77</v>
      </c>
      <c r="AE284" s="25" t="s">
        <v>78</v>
      </c>
      <c r="AF284" s="25"/>
      <c r="AG284" s="25"/>
      <c r="AH284" s="25"/>
      <c r="AI284" s="33" t="s">
        <v>1893</v>
      </c>
      <c r="AJ284" s="33" t="s">
        <v>76</v>
      </c>
      <c r="AK284" s="25"/>
      <c r="AL284" s="101" t="s">
        <v>1894</v>
      </c>
      <c r="AM284" s="83" t="s">
        <v>77</v>
      </c>
      <c r="AN284" s="40" t="s">
        <v>267</v>
      </c>
      <c r="AO284" s="52"/>
      <c r="AP284" s="111" t="s">
        <v>1177</v>
      </c>
      <c r="AQ284" s="82" t="s">
        <v>1895</v>
      </c>
      <c r="AR284" s="40" t="s">
        <v>85</v>
      </c>
      <c r="AS284" s="20"/>
      <c r="AT284" s="18" t="s">
        <v>740</v>
      </c>
      <c r="AU284" s="32"/>
      <c r="AV284" s="25"/>
      <c r="AW284" s="33"/>
      <c r="AX284" s="34"/>
      <c r="AY284" s="34">
        <v>7480201</v>
      </c>
      <c r="AZ284" s="33">
        <v>8</v>
      </c>
      <c r="BA284" s="61"/>
      <c r="BB284" s="17"/>
      <c r="BC284" s="43" t="s">
        <v>2137</v>
      </c>
      <c r="BD284" s="17"/>
      <c r="BM284" s="46"/>
      <c r="BN284" s="46"/>
      <c r="BO284" s="47"/>
    </row>
    <row r="285" spans="1:67" ht="24.95" customHeight="1" x14ac:dyDescent="0.25">
      <c r="B285" s="36">
        <f>SUBTOTAL(103,$M$2:M285)</f>
        <v>284</v>
      </c>
      <c r="C285" s="37" t="s">
        <v>146</v>
      </c>
      <c r="D285" s="33" t="s">
        <v>79</v>
      </c>
      <c r="E285" s="33" t="s">
        <v>76</v>
      </c>
      <c r="F285" s="33" t="s">
        <v>34</v>
      </c>
      <c r="G285" s="33" t="s">
        <v>2675</v>
      </c>
      <c r="H285" s="33" t="s">
        <v>2677</v>
      </c>
      <c r="I285" s="37" t="s">
        <v>2584</v>
      </c>
      <c r="J285" s="37" t="s">
        <v>2591</v>
      </c>
      <c r="K285" s="25" t="s">
        <v>116</v>
      </c>
      <c r="L285" s="25" t="s">
        <v>117</v>
      </c>
      <c r="M285" s="38" t="s">
        <v>2299</v>
      </c>
      <c r="N285" s="33" t="s">
        <v>70</v>
      </c>
      <c r="O285" s="33">
        <v>0</v>
      </c>
      <c r="P285" s="33">
        <v>1</v>
      </c>
      <c r="Q285" s="36" t="s">
        <v>71</v>
      </c>
      <c r="R285" s="37" t="s">
        <v>2651</v>
      </c>
      <c r="S285" s="37" t="s">
        <v>2055</v>
      </c>
      <c r="T285" s="25" t="s">
        <v>20</v>
      </c>
      <c r="U285" s="36">
        <v>2008</v>
      </c>
      <c r="V285" s="33" t="s">
        <v>118</v>
      </c>
      <c r="W285" s="33">
        <v>6.28</v>
      </c>
      <c r="X285" s="33"/>
      <c r="Y285" s="37"/>
      <c r="Z285" s="37"/>
      <c r="AA285" s="33"/>
      <c r="AB285" s="37"/>
      <c r="AC285" s="25"/>
      <c r="AD285" s="72" t="s">
        <v>77</v>
      </c>
      <c r="AE285" s="33" t="s">
        <v>78</v>
      </c>
      <c r="AF285" s="33"/>
      <c r="AG285" s="25"/>
      <c r="AH285" s="25"/>
      <c r="AI285" s="33" t="s">
        <v>119</v>
      </c>
      <c r="AJ285" s="33" t="s">
        <v>76</v>
      </c>
      <c r="AK285" s="104"/>
      <c r="AL285" s="72">
        <v>38086028809</v>
      </c>
      <c r="AM285" s="40" t="s">
        <v>77</v>
      </c>
      <c r="AN285" s="33" t="s">
        <v>82</v>
      </c>
      <c r="AO285" s="42"/>
      <c r="AP285" s="33" t="s">
        <v>120</v>
      </c>
      <c r="AQ285" s="43" t="s">
        <v>121</v>
      </c>
      <c r="AR285" s="33" t="s">
        <v>85</v>
      </c>
      <c r="AS285" s="70" t="s">
        <v>122</v>
      </c>
      <c r="AT285" s="18" t="s">
        <v>123</v>
      </c>
      <c r="AU285" s="32"/>
      <c r="AV285" s="25"/>
      <c r="AW285" s="33"/>
      <c r="AX285" s="34"/>
      <c r="AY285" s="34">
        <v>7480201</v>
      </c>
      <c r="AZ285" s="33">
        <v>9</v>
      </c>
      <c r="BA285" s="61"/>
      <c r="BB285" s="17"/>
      <c r="BC285" s="43" t="s">
        <v>2299</v>
      </c>
      <c r="BD285" s="17"/>
      <c r="BM285" s="46"/>
      <c r="BN285" s="46"/>
      <c r="BO285" s="47"/>
    </row>
    <row r="286" spans="1:67" ht="24.95" customHeight="1" x14ac:dyDescent="0.25">
      <c r="B286" s="36">
        <f>SUBTOTAL(103,$M$2:M286)</f>
        <v>285</v>
      </c>
      <c r="C286" s="37" t="s">
        <v>154</v>
      </c>
      <c r="D286" s="33" t="s">
        <v>79</v>
      </c>
      <c r="E286" s="33" t="s">
        <v>76</v>
      </c>
      <c r="F286" s="33" t="s">
        <v>34</v>
      </c>
      <c r="G286" s="33" t="s">
        <v>2675</v>
      </c>
      <c r="H286" s="33" t="s">
        <v>2677</v>
      </c>
      <c r="I286" s="37" t="s">
        <v>2584</v>
      </c>
      <c r="J286" s="37" t="s">
        <v>2592</v>
      </c>
      <c r="K286" s="25" t="s">
        <v>89</v>
      </c>
      <c r="L286" s="25" t="s">
        <v>377</v>
      </c>
      <c r="M286" s="38" t="s">
        <v>2300</v>
      </c>
      <c r="N286" s="33" t="s">
        <v>91</v>
      </c>
      <c r="O286" s="36">
        <v>1</v>
      </c>
      <c r="P286" s="36">
        <v>1</v>
      </c>
      <c r="Q286" s="33" t="s">
        <v>71</v>
      </c>
      <c r="R286" s="37" t="s">
        <v>2651</v>
      </c>
      <c r="S286" s="37" t="s">
        <v>2055</v>
      </c>
      <c r="T286" s="25" t="s">
        <v>19</v>
      </c>
      <c r="U286" s="33">
        <v>2018</v>
      </c>
      <c r="V286" s="33" t="s">
        <v>74</v>
      </c>
      <c r="W286" s="33" t="s">
        <v>1896</v>
      </c>
      <c r="X286" s="33" t="s">
        <v>1802</v>
      </c>
      <c r="Y286" s="33" t="s">
        <v>371</v>
      </c>
      <c r="Z286" s="33" t="s">
        <v>74</v>
      </c>
      <c r="AA286" s="33"/>
      <c r="AB286" s="33"/>
      <c r="AC286" s="25"/>
      <c r="AD286" s="51" t="s">
        <v>77</v>
      </c>
      <c r="AE286" s="25" t="s">
        <v>78</v>
      </c>
      <c r="AF286" s="25" t="s">
        <v>78</v>
      </c>
      <c r="AG286" s="25"/>
      <c r="AH286" s="25"/>
      <c r="AI286" s="33" t="s">
        <v>149</v>
      </c>
      <c r="AJ286" s="33" t="s">
        <v>76</v>
      </c>
      <c r="AK286" s="25"/>
      <c r="AL286" s="78" t="s">
        <v>1897</v>
      </c>
      <c r="AM286" s="83" t="s">
        <v>77</v>
      </c>
      <c r="AN286" s="33" t="s">
        <v>307</v>
      </c>
      <c r="AO286" s="25"/>
      <c r="AP286" s="33" t="s">
        <v>1898</v>
      </c>
      <c r="AQ286" s="43" t="s">
        <v>1899</v>
      </c>
      <c r="AR286" s="33" t="s">
        <v>85</v>
      </c>
      <c r="AS286" s="20" t="s">
        <v>375</v>
      </c>
      <c r="AT286" s="18" t="s">
        <v>740</v>
      </c>
      <c r="AU286" s="32"/>
      <c r="AV286" s="25"/>
      <c r="AW286" s="33"/>
      <c r="AX286" s="34"/>
      <c r="AY286" s="34">
        <v>7480201</v>
      </c>
      <c r="AZ286" s="33">
        <v>10</v>
      </c>
      <c r="BA286" s="61"/>
      <c r="BB286" s="17"/>
      <c r="BC286" s="43" t="s">
        <v>2300</v>
      </c>
      <c r="BD286" s="17"/>
      <c r="BM286" s="46"/>
      <c r="BN286" s="46"/>
      <c r="BO286" s="47"/>
    </row>
    <row r="287" spans="1:67" ht="24.95" customHeight="1" x14ac:dyDescent="0.25">
      <c r="B287" s="36">
        <f>SUBTOTAL(103,$M$2:M287)</f>
        <v>286</v>
      </c>
      <c r="C287" s="37" t="s">
        <v>165</v>
      </c>
      <c r="D287" s="33" t="s">
        <v>79</v>
      </c>
      <c r="E287" s="33" t="s">
        <v>76</v>
      </c>
      <c r="F287" s="33" t="s">
        <v>34</v>
      </c>
      <c r="G287" s="33" t="s">
        <v>2675</v>
      </c>
      <c r="H287" s="33" t="s">
        <v>2677</v>
      </c>
      <c r="I287" s="37" t="s">
        <v>2584</v>
      </c>
      <c r="J287" s="37" t="s">
        <v>2593</v>
      </c>
      <c r="K287" s="25" t="s">
        <v>125</v>
      </c>
      <c r="L287" s="25" t="s">
        <v>126</v>
      </c>
      <c r="M287" s="71" t="s">
        <v>2338</v>
      </c>
      <c r="N287" s="33" t="s">
        <v>70</v>
      </c>
      <c r="O287" s="33">
        <v>0</v>
      </c>
      <c r="P287" s="33">
        <v>1</v>
      </c>
      <c r="Q287" s="33" t="s">
        <v>71</v>
      </c>
      <c r="R287" s="37" t="s">
        <v>2651</v>
      </c>
      <c r="S287" s="37" t="s">
        <v>2055</v>
      </c>
      <c r="T287" s="25" t="s">
        <v>20</v>
      </c>
      <c r="U287" s="33">
        <v>2013</v>
      </c>
      <c r="V287" s="33" t="s">
        <v>118</v>
      </c>
      <c r="W287" s="33">
        <v>6.67</v>
      </c>
      <c r="X287" s="33"/>
      <c r="Y287" s="33"/>
      <c r="Z287" s="33"/>
      <c r="AA287" s="33"/>
      <c r="AB287" s="33"/>
      <c r="AC287" s="25"/>
      <c r="AD287" s="72" t="s">
        <v>77</v>
      </c>
      <c r="AE287" s="25" t="s">
        <v>78</v>
      </c>
      <c r="AF287" s="25"/>
      <c r="AG287" s="25"/>
      <c r="AH287" s="25"/>
      <c r="AI287" s="33" t="s">
        <v>127</v>
      </c>
      <c r="AJ287" s="33" t="s">
        <v>3</v>
      </c>
      <c r="AK287" s="25"/>
      <c r="AL287" s="78" t="s">
        <v>128</v>
      </c>
      <c r="AM287" s="83" t="s">
        <v>77</v>
      </c>
      <c r="AN287" s="33" t="s">
        <v>129</v>
      </c>
      <c r="AO287" s="25"/>
      <c r="AP287" s="33" t="s">
        <v>130</v>
      </c>
      <c r="AQ287" s="43" t="s">
        <v>131</v>
      </c>
      <c r="AR287" s="33" t="s">
        <v>85</v>
      </c>
      <c r="AS287" s="20" t="s">
        <v>132</v>
      </c>
      <c r="AT287" s="18" t="s">
        <v>114</v>
      </c>
      <c r="AU287" s="32"/>
      <c r="AV287" s="25"/>
      <c r="AW287" s="33"/>
      <c r="AX287" s="34"/>
      <c r="AY287" s="34">
        <v>7480201</v>
      </c>
      <c r="AZ287" s="33">
        <v>11</v>
      </c>
      <c r="BA287" s="61"/>
      <c r="BB287" s="17"/>
      <c r="BC287" s="79">
        <v>28858</v>
      </c>
      <c r="BD287" s="17"/>
      <c r="BM287" s="46"/>
      <c r="BN287" s="46"/>
      <c r="BO287" s="47"/>
    </row>
    <row r="288" spans="1:67" ht="24.95" customHeight="1" x14ac:dyDescent="0.25">
      <c r="B288" s="36">
        <f>SUBTOTAL(103,$M$2:M288)</f>
        <v>287</v>
      </c>
      <c r="C288" s="37" t="s">
        <v>178</v>
      </c>
      <c r="D288" s="33" t="s">
        <v>79</v>
      </c>
      <c r="E288" s="36" t="s">
        <v>76</v>
      </c>
      <c r="F288" s="36" t="s">
        <v>34</v>
      </c>
      <c r="G288" s="33" t="s">
        <v>2675</v>
      </c>
      <c r="H288" s="33" t="s">
        <v>2677</v>
      </c>
      <c r="I288" s="37" t="s">
        <v>2584</v>
      </c>
      <c r="J288" s="37" t="s">
        <v>2594</v>
      </c>
      <c r="K288" s="25" t="s">
        <v>1900</v>
      </c>
      <c r="L288" s="25" t="s">
        <v>224</v>
      </c>
      <c r="M288" s="54" t="s">
        <v>2301</v>
      </c>
      <c r="N288" s="36" t="s">
        <v>91</v>
      </c>
      <c r="O288" s="36">
        <v>1</v>
      </c>
      <c r="P288" s="36">
        <v>1</v>
      </c>
      <c r="Q288" s="37" t="s">
        <v>71</v>
      </c>
      <c r="R288" s="37" t="s">
        <v>2651</v>
      </c>
      <c r="S288" s="37" t="s">
        <v>2055</v>
      </c>
      <c r="T288" s="25" t="s">
        <v>1901</v>
      </c>
      <c r="U288" s="33">
        <v>2021</v>
      </c>
      <c r="V288" s="37" t="s">
        <v>74</v>
      </c>
      <c r="W288" s="36" t="s">
        <v>160</v>
      </c>
      <c r="X288" s="36" t="s">
        <v>1902</v>
      </c>
      <c r="Y288" s="33" t="s">
        <v>609</v>
      </c>
      <c r="Z288" s="37" t="s">
        <v>157</v>
      </c>
      <c r="AA288" s="37"/>
      <c r="AB288" s="33"/>
      <c r="AC288" s="25"/>
      <c r="AD288" s="51" t="s">
        <v>77</v>
      </c>
      <c r="AE288" s="37" t="s">
        <v>78</v>
      </c>
      <c r="AF288" s="37" t="s">
        <v>78</v>
      </c>
      <c r="AG288" s="25"/>
      <c r="AH288" s="80"/>
      <c r="AI288" s="33" t="s">
        <v>1317</v>
      </c>
      <c r="AJ288" s="37" t="s">
        <v>76</v>
      </c>
      <c r="AK288" s="25"/>
      <c r="AL288" s="78" t="s">
        <v>1903</v>
      </c>
      <c r="AM288" s="83" t="s">
        <v>77</v>
      </c>
      <c r="AN288" s="37" t="s">
        <v>141</v>
      </c>
      <c r="AO288" s="37"/>
      <c r="AP288" s="37" t="s">
        <v>521</v>
      </c>
      <c r="AQ288" s="43" t="s">
        <v>1904</v>
      </c>
      <c r="AR288" s="44" t="s">
        <v>85</v>
      </c>
      <c r="AS288" s="20"/>
      <c r="AT288" s="18" t="s">
        <v>101</v>
      </c>
      <c r="AU288" s="32"/>
      <c r="AV288" s="25"/>
      <c r="AW288" s="33"/>
      <c r="AX288" s="34"/>
      <c r="AY288" s="34">
        <v>7480201</v>
      </c>
      <c r="AZ288" s="33">
        <v>12</v>
      </c>
      <c r="BA288" s="61"/>
      <c r="BB288" s="17"/>
      <c r="BC288" s="57" t="s">
        <v>2301</v>
      </c>
      <c r="BD288" s="17"/>
      <c r="BM288" s="46"/>
      <c r="BN288" s="46"/>
      <c r="BO288" s="47"/>
    </row>
    <row r="289" spans="1:67" ht="24.95" customHeight="1" x14ac:dyDescent="0.25">
      <c r="B289" s="36">
        <f>SUBTOTAL(103,$M$2:M289)</f>
        <v>288</v>
      </c>
      <c r="C289" s="37" t="s">
        <v>189</v>
      </c>
      <c r="D289" s="33" t="s">
        <v>79</v>
      </c>
      <c r="E289" s="33" t="s">
        <v>76</v>
      </c>
      <c r="F289" s="33" t="s">
        <v>34</v>
      </c>
      <c r="G289" s="33" t="s">
        <v>2675</v>
      </c>
      <c r="H289" s="33" t="s">
        <v>2677</v>
      </c>
      <c r="I289" s="37" t="s">
        <v>2584</v>
      </c>
      <c r="J289" s="37" t="s">
        <v>2595</v>
      </c>
      <c r="K289" s="25" t="s">
        <v>134</v>
      </c>
      <c r="L289" s="25" t="s">
        <v>135</v>
      </c>
      <c r="M289" s="38" t="s">
        <v>2302</v>
      </c>
      <c r="N289" s="33" t="s">
        <v>70</v>
      </c>
      <c r="O289" s="33">
        <v>0</v>
      </c>
      <c r="P289" s="33">
        <v>1</v>
      </c>
      <c r="Q289" s="33" t="s">
        <v>71</v>
      </c>
      <c r="R289" s="37" t="s">
        <v>2651</v>
      </c>
      <c r="S289" s="37" t="s">
        <v>2055</v>
      </c>
      <c r="T289" s="25" t="s">
        <v>136</v>
      </c>
      <c r="U289" s="33">
        <v>2022</v>
      </c>
      <c r="V289" s="36" t="s">
        <v>74</v>
      </c>
      <c r="W289" s="33"/>
      <c r="X289" s="33" t="s">
        <v>137</v>
      </c>
      <c r="Y289" s="33"/>
      <c r="Z289" s="33"/>
      <c r="AA289" s="33"/>
      <c r="AB289" s="33"/>
      <c r="AC289" s="25"/>
      <c r="AD289" s="51" t="s">
        <v>77</v>
      </c>
      <c r="AE289" s="25"/>
      <c r="AF289" s="25"/>
      <c r="AG289" s="25"/>
      <c r="AH289" s="80"/>
      <c r="AI289" s="33" t="s">
        <v>138</v>
      </c>
      <c r="AJ289" s="33"/>
      <c r="AK289" s="25" t="s">
        <v>139</v>
      </c>
      <c r="AL289" s="78" t="s">
        <v>140</v>
      </c>
      <c r="AM289" s="83" t="s">
        <v>77</v>
      </c>
      <c r="AN289" s="33" t="s">
        <v>141</v>
      </c>
      <c r="AO289" s="25"/>
      <c r="AP289" s="33" t="s">
        <v>142</v>
      </c>
      <c r="AQ289" s="43" t="s">
        <v>143</v>
      </c>
      <c r="AR289" s="33" t="s">
        <v>85</v>
      </c>
      <c r="AS289" s="20" t="s">
        <v>144</v>
      </c>
      <c r="AT289" s="58" t="s">
        <v>145</v>
      </c>
      <c r="AU289" s="32"/>
      <c r="AV289" s="25"/>
      <c r="AW289" s="33"/>
      <c r="AX289" s="34"/>
      <c r="AY289" s="34">
        <v>7480201</v>
      </c>
      <c r="AZ289" s="33">
        <v>13</v>
      </c>
      <c r="BA289" s="61"/>
      <c r="BB289" s="17"/>
      <c r="BC289" s="43" t="s">
        <v>2302</v>
      </c>
      <c r="BD289" s="17"/>
      <c r="BM289" s="46"/>
      <c r="BN289" s="46"/>
      <c r="BO289" s="47"/>
    </row>
    <row r="290" spans="1:67" ht="24.95" customHeight="1" x14ac:dyDescent="0.25">
      <c r="B290" s="36">
        <f>SUBTOTAL(103,$M$2:M290)</f>
        <v>289</v>
      </c>
      <c r="C290" s="37" t="s">
        <v>199</v>
      </c>
      <c r="D290" s="33" t="s">
        <v>79</v>
      </c>
      <c r="E290" s="36" t="s">
        <v>76</v>
      </c>
      <c r="F290" s="37" t="s">
        <v>34</v>
      </c>
      <c r="G290" s="33" t="s">
        <v>2675</v>
      </c>
      <c r="H290" s="33" t="s">
        <v>2677</v>
      </c>
      <c r="I290" s="37" t="s">
        <v>2584</v>
      </c>
      <c r="J290" s="37" t="s">
        <v>2596</v>
      </c>
      <c r="K290" s="25" t="s">
        <v>1905</v>
      </c>
      <c r="L290" s="25" t="s">
        <v>312</v>
      </c>
      <c r="M290" s="38" t="s">
        <v>2303</v>
      </c>
      <c r="N290" s="36" t="s">
        <v>70</v>
      </c>
      <c r="O290" s="33">
        <v>0</v>
      </c>
      <c r="P290" s="33">
        <v>1</v>
      </c>
      <c r="Q290" s="33" t="s">
        <v>71</v>
      </c>
      <c r="R290" s="37" t="s">
        <v>2651</v>
      </c>
      <c r="S290" s="37" t="s">
        <v>2055</v>
      </c>
      <c r="T290" s="25" t="s">
        <v>202</v>
      </c>
      <c r="U290" s="33">
        <v>2018</v>
      </c>
      <c r="V290" s="36" t="s">
        <v>74</v>
      </c>
      <c r="W290" s="33" t="s">
        <v>321</v>
      </c>
      <c r="X290" s="33"/>
      <c r="Y290" s="33" t="s">
        <v>203</v>
      </c>
      <c r="Z290" s="37" t="s">
        <v>74</v>
      </c>
      <c r="AA290" s="37"/>
      <c r="AB290" s="33"/>
      <c r="AC290" s="25"/>
      <c r="AD290" s="51" t="s">
        <v>77</v>
      </c>
      <c r="AE290" s="33" t="s">
        <v>78</v>
      </c>
      <c r="AF290" s="33" t="s">
        <v>78</v>
      </c>
      <c r="AG290" s="25"/>
      <c r="AH290" s="80"/>
      <c r="AI290" s="33" t="s">
        <v>1675</v>
      </c>
      <c r="AJ290" s="33" t="s">
        <v>76</v>
      </c>
      <c r="AK290" s="25"/>
      <c r="AL290" s="78" t="s">
        <v>1906</v>
      </c>
      <c r="AM290" s="83" t="s">
        <v>77</v>
      </c>
      <c r="AN290" s="37" t="s">
        <v>141</v>
      </c>
      <c r="AO290" s="37"/>
      <c r="AP290" s="37" t="s">
        <v>1907</v>
      </c>
      <c r="AQ290" s="43" t="s">
        <v>1908</v>
      </c>
      <c r="AR290" s="33" t="s">
        <v>85</v>
      </c>
      <c r="AS290" s="20"/>
      <c r="AT290" s="18" t="s">
        <v>884</v>
      </c>
      <c r="AU290" s="32"/>
      <c r="AV290" s="25"/>
      <c r="AW290" s="33"/>
      <c r="AX290" s="34"/>
      <c r="AY290" s="34">
        <v>7480201</v>
      </c>
      <c r="AZ290" s="33">
        <v>14</v>
      </c>
      <c r="BA290" s="61"/>
      <c r="BB290" s="17"/>
      <c r="BC290" s="43" t="s">
        <v>2303</v>
      </c>
      <c r="BD290" s="17"/>
      <c r="BM290" s="46"/>
      <c r="BN290" s="46"/>
      <c r="BO290" s="47"/>
    </row>
    <row r="291" spans="1:67" ht="24.95" customHeight="1" x14ac:dyDescent="0.25">
      <c r="B291" s="36">
        <f>SUBTOTAL(103,$M$2:M291)</f>
        <v>290</v>
      </c>
      <c r="C291" s="37" t="s">
        <v>310</v>
      </c>
      <c r="D291" s="33" t="s">
        <v>79</v>
      </c>
      <c r="E291" s="33" t="s">
        <v>76</v>
      </c>
      <c r="F291" s="33" t="s">
        <v>34</v>
      </c>
      <c r="G291" s="33" t="s">
        <v>2675</v>
      </c>
      <c r="H291" s="33" t="s">
        <v>2677</v>
      </c>
      <c r="I291" s="37" t="s">
        <v>2584</v>
      </c>
      <c r="J291" s="37" t="s">
        <v>2597</v>
      </c>
      <c r="K291" s="25" t="s">
        <v>147</v>
      </c>
      <c r="L291" s="25" t="s">
        <v>148</v>
      </c>
      <c r="M291" s="38" t="s">
        <v>2304</v>
      </c>
      <c r="N291" s="33" t="s">
        <v>70</v>
      </c>
      <c r="O291" s="33">
        <v>0</v>
      </c>
      <c r="P291" s="33">
        <v>1</v>
      </c>
      <c r="Q291" s="36" t="s">
        <v>71</v>
      </c>
      <c r="R291" s="37" t="s">
        <v>2651</v>
      </c>
      <c r="S291" s="37" t="s">
        <v>2055</v>
      </c>
      <c r="T291" s="25" t="s">
        <v>27</v>
      </c>
      <c r="U291" s="36">
        <v>2011</v>
      </c>
      <c r="V291" s="33" t="s">
        <v>118</v>
      </c>
      <c r="W291" s="33">
        <v>6.5</v>
      </c>
      <c r="X291" s="33"/>
      <c r="Y291" s="33"/>
      <c r="Z291" s="37"/>
      <c r="AA291" s="33"/>
      <c r="AB291" s="37"/>
      <c r="AC291" s="25"/>
      <c r="AD291" s="72" t="s">
        <v>77</v>
      </c>
      <c r="AE291" s="33" t="s">
        <v>78</v>
      </c>
      <c r="AF291" s="33"/>
      <c r="AG291" s="25"/>
      <c r="AH291" s="25"/>
      <c r="AI291" s="33" t="s">
        <v>149</v>
      </c>
      <c r="AJ291" s="33" t="s">
        <v>76</v>
      </c>
      <c r="AK291" s="104"/>
      <c r="AL291" s="72">
        <v>38088013565</v>
      </c>
      <c r="AM291" s="40" t="s">
        <v>77</v>
      </c>
      <c r="AN291" s="33" t="s">
        <v>150</v>
      </c>
      <c r="AO291" s="42"/>
      <c r="AP291" s="33" t="s">
        <v>151</v>
      </c>
      <c r="AQ291" s="43" t="s">
        <v>152</v>
      </c>
      <c r="AR291" s="33" t="s">
        <v>85</v>
      </c>
      <c r="AS291" s="70" t="s">
        <v>153</v>
      </c>
      <c r="AT291" s="18" t="s">
        <v>123</v>
      </c>
      <c r="AU291" s="32"/>
      <c r="AV291" s="25"/>
      <c r="AW291" s="33"/>
      <c r="AX291" s="34"/>
      <c r="AY291" s="34">
        <v>7480201</v>
      </c>
      <c r="AZ291" s="33">
        <v>15</v>
      </c>
      <c r="BA291" s="61"/>
      <c r="BB291" s="17"/>
      <c r="BC291" s="43" t="s">
        <v>2304</v>
      </c>
      <c r="BD291" s="17"/>
      <c r="BM291" s="46"/>
      <c r="BN291" s="46"/>
      <c r="BO291" s="47"/>
    </row>
    <row r="292" spans="1:67" ht="24.95" customHeight="1" x14ac:dyDescent="0.25">
      <c r="B292" s="36">
        <f>SUBTOTAL(103,$M$2:M292)</f>
        <v>291</v>
      </c>
      <c r="C292" s="37" t="s">
        <v>317</v>
      </c>
      <c r="D292" s="33" t="s">
        <v>79</v>
      </c>
      <c r="E292" s="36" t="s">
        <v>76</v>
      </c>
      <c r="F292" s="37" t="s">
        <v>34</v>
      </c>
      <c r="G292" s="33" t="s">
        <v>2675</v>
      </c>
      <c r="H292" s="33" t="s">
        <v>2677</v>
      </c>
      <c r="I292" s="37" t="s">
        <v>2584</v>
      </c>
      <c r="J292" s="37" t="s">
        <v>2598</v>
      </c>
      <c r="K292" s="48" t="s">
        <v>155</v>
      </c>
      <c r="L292" s="49" t="s">
        <v>156</v>
      </c>
      <c r="M292" s="50" t="s">
        <v>2305</v>
      </c>
      <c r="N292" s="37" t="s">
        <v>70</v>
      </c>
      <c r="O292" s="33">
        <v>0</v>
      </c>
      <c r="P292" s="33">
        <v>1</v>
      </c>
      <c r="Q292" s="37" t="s">
        <v>71</v>
      </c>
      <c r="R292" s="37" t="s">
        <v>2651</v>
      </c>
      <c r="S292" s="37" t="s">
        <v>2055</v>
      </c>
      <c r="T292" s="48" t="s">
        <v>5</v>
      </c>
      <c r="U292" s="37" t="s">
        <v>73</v>
      </c>
      <c r="V292" s="37" t="s">
        <v>157</v>
      </c>
      <c r="W292" s="37" t="s">
        <v>158</v>
      </c>
      <c r="X292" s="37" t="s">
        <v>159</v>
      </c>
      <c r="Y292" s="37" t="s">
        <v>160</v>
      </c>
      <c r="Z292" s="37" t="s">
        <v>74</v>
      </c>
      <c r="AA292" s="37"/>
      <c r="AB292" s="37"/>
      <c r="AC292" s="25"/>
      <c r="AD292" s="51" t="s">
        <v>77</v>
      </c>
      <c r="AE292" s="37"/>
      <c r="AF292" s="37" t="s">
        <v>78</v>
      </c>
      <c r="AG292" s="37"/>
      <c r="AH292" s="37"/>
      <c r="AI292" s="37" t="s">
        <v>149</v>
      </c>
      <c r="AJ292" s="37" t="s">
        <v>76</v>
      </c>
      <c r="AK292" s="37"/>
      <c r="AL292" s="146" t="s">
        <v>161</v>
      </c>
      <c r="AM292" s="83" t="s">
        <v>77</v>
      </c>
      <c r="AN292" s="37" t="s">
        <v>162</v>
      </c>
      <c r="AO292" s="37"/>
      <c r="AP292" s="37" t="s">
        <v>163</v>
      </c>
      <c r="AQ292" s="50" t="s">
        <v>164</v>
      </c>
      <c r="AR292" s="37" t="s">
        <v>85</v>
      </c>
      <c r="AS292" s="20" t="s">
        <v>113</v>
      </c>
      <c r="AT292" s="18" t="s">
        <v>101</v>
      </c>
      <c r="AU292" s="32"/>
      <c r="AV292" s="25"/>
      <c r="AW292" s="33"/>
      <c r="AX292" s="34"/>
      <c r="AY292" s="34">
        <v>7480201</v>
      </c>
      <c r="AZ292" s="33">
        <v>16</v>
      </c>
      <c r="BA292" s="61"/>
      <c r="BB292" s="17"/>
      <c r="BC292" s="50" t="s">
        <v>2305</v>
      </c>
      <c r="BD292" s="17"/>
      <c r="BM292" s="46"/>
      <c r="BN292" s="46"/>
      <c r="BO292" s="47"/>
    </row>
    <row r="293" spans="1:67" ht="24.95" customHeight="1" x14ac:dyDescent="0.25">
      <c r="B293" s="36">
        <f>SUBTOTAL(103,$M$2:M293)</f>
        <v>292</v>
      </c>
      <c r="C293" s="37" t="s">
        <v>326</v>
      </c>
      <c r="D293" s="33" t="s">
        <v>79</v>
      </c>
      <c r="E293" s="36" t="s">
        <v>76</v>
      </c>
      <c r="F293" s="36" t="s">
        <v>34</v>
      </c>
      <c r="G293" s="33" t="s">
        <v>2675</v>
      </c>
      <c r="H293" s="33" t="s">
        <v>2677</v>
      </c>
      <c r="I293" s="37" t="s">
        <v>2584</v>
      </c>
      <c r="J293" s="37" t="s">
        <v>2599</v>
      </c>
      <c r="K293" s="25" t="s">
        <v>166</v>
      </c>
      <c r="L293" s="25" t="s">
        <v>167</v>
      </c>
      <c r="M293" s="54" t="s">
        <v>2306</v>
      </c>
      <c r="N293" s="33" t="s">
        <v>70</v>
      </c>
      <c r="O293" s="33">
        <v>0</v>
      </c>
      <c r="P293" s="33">
        <v>1</v>
      </c>
      <c r="Q293" s="37" t="s">
        <v>71</v>
      </c>
      <c r="R293" s="37" t="s">
        <v>2651</v>
      </c>
      <c r="S293" s="37" t="s">
        <v>2055</v>
      </c>
      <c r="T293" s="55" t="s">
        <v>168</v>
      </c>
      <c r="U293" s="33">
        <v>2017</v>
      </c>
      <c r="V293" s="37" t="s">
        <v>169</v>
      </c>
      <c r="W293" s="36" t="s">
        <v>170</v>
      </c>
      <c r="X293" s="36"/>
      <c r="Y293" s="33" t="s">
        <v>171</v>
      </c>
      <c r="Z293" s="37" t="s">
        <v>74</v>
      </c>
      <c r="AA293" s="37"/>
      <c r="AB293" s="33"/>
      <c r="AC293" s="25"/>
      <c r="AD293" s="51" t="s">
        <v>77</v>
      </c>
      <c r="AE293" s="33" t="s">
        <v>78</v>
      </c>
      <c r="AF293" s="33" t="s">
        <v>78</v>
      </c>
      <c r="AG293" s="25"/>
      <c r="AH293" s="80"/>
      <c r="AI293" s="37" t="s">
        <v>172</v>
      </c>
      <c r="AJ293" s="37" t="s">
        <v>76</v>
      </c>
      <c r="AK293" s="25"/>
      <c r="AL293" s="78" t="s">
        <v>173</v>
      </c>
      <c r="AM293" s="41" t="s">
        <v>174</v>
      </c>
      <c r="AN293" s="37" t="s">
        <v>175</v>
      </c>
      <c r="AO293" s="37"/>
      <c r="AP293" s="33" t="s">
        <v>176</v>
      </c>
      <c r="AQ293" s="43" t="s">
        <v>177</v>
      </c>
      <c r="AR293" s="33" t="s">
        <v>85</v>
      </c>
      <c r="AS293" s="20"/>
      <c r="AT293" s="18" t="s">
        <v>101</v>
      </c>
      <c r="AU293" s="32"/>
      <c r="AV293" s="25"/>
      <c r="AW293" s="33"/>
      <c r="AX293" s="34"/>
      <c r="AY293" s="34">
        <v>7480201</v>
      </c>
      <c r="AZ293" s="33">
        <v>17</v>
      </c>
      <c r="BA293" s="61"/>
      <c r="BB293" s="17"/>
      <c r="BC293" s="57" t="s">
        <v>2306</v>
      </c>
      <c r="BD293" s="17"/>
      <c r="BM293" s="46"/>
      <c r="BN293" s="46"/>
      <c r="BO293" s="47"/>
    </row>
    <row r="294" spans="1:67" ht="24.95" customHeight="1" x14ac:dyDescent="0.25">
      <c r="B294" s="36">
        <f>SUBTOTAL(103,$M$2:M294)</f>
        <v>293</v>
      </c>
      <c r="C294" s="37" t="s">
        <v>334</v>
      </c>
      <c r="D294" s="33" t="s">
        <v>79</v>
      </c>
      <c r="E294" s="33" t="s">
        <v>76</v>
      </c>
      <c r="F294" s="33" t="s">
        <v>34</v>
      </c>
      <c r="G294" s="33" t="s">
        <v>2675</v>
      </c>
      <c r="H294" s="33" t="s">
        <v>2677</v>
      </c>
      <c r="I294" s="37" t="s">
        <v>2584</v>
      </c>
      <c r="J294" s="37" t="s">
        <v>2600</v>
      </c>
      <c r="K294" s="25" t="s">
        <v>179</v>
      </c>
      <c r="L294" s="25" t="s">
        <v>180</v>
      </c>
      <c r="M294" s="38" t="s">
        <v>2307</v>
      </c>
      <c r="N294" s="33" t="s">
        <v>70</v>
      </c>
      <c r="O294" s="33">
        <v>0</v>
      </c>
      <c r="P294" s="33">
        <v>1</v>
      </c>
      <c r="Q294" s="33" t="s">
        <v>71</v>
      </c>
      <c r="R294" s="37" t="s">
        <v>2651</v>
      </c>
      <c r="S294" s="37" t="s">
        <v>2055</v>
      </c>
      <c r="T294" s="25" t="s">
        <v>19</v>
      </c>
      <c r="U294" s="33">
        <v>2023</v>
      </c>
      <c r="V294" s="33" t="s">
        <v>157</v>
      </c>
      <c r="W294" s="33" t="s">
        <v>181</v>
      </c>
      <c r="X294" s="33" t="s">
        <v>182</v>
      </c>
      <c r="Y294" s="33" t="s">
        <v>183</v>
      </c>
      <c r="Z294" s="33" t="s">
        <v>74</v>
      </c>
      <c r="AA294" s="33"/>
      <c r="AB294" s="33"/>
      <c r="AC294" s="25"/>
      <c r="AD294" s="51" t="s">
        <v>77</v>
      </c>
      <c r="AE294" s="25" t="s">
        <v>78</v>
      </c>
      <c r="AF294" s="25" t="s">
        <v>78</v>
      </c>
      <c r="AG294" s="25"/>
      <c r="AH294" s="25"/>
      <c r="AI294" s="33" t="s">
        <v>149</v>
      </c>
      <c r="AJ294" s="33" t="s">
        <v>76</v>
      </c>
      <c r="AK294" s="25"/>
      <c r="AL294" s="78" t="s">
        <v>184</v>
      </c>
      <c r="AM294" s="83" t="s">
        <v>77</v>
      </c>
      <c r="AN294" s="33" t="s">
        <v>185</v>
      </c>
      <c r="AO294" s="25"/>
      <c r="AP294" s="33" t="s">
        <v>186</v>
      </c>
      <c r="AQ294" s="43" t="s">
        <v>187</v>
      </c>
      <c r="AR294" s="33" t="s">
        <v>85</v>
      </c>
      <c r="AS294" s="20"/>
      <c r="AT294" s="18" t="s">
        <v>188</v>
      </c>
      <c r="AU294" s="32"/>
      <c r="AV294" s="25"/>
      <c r="AW294" s="33"/>
      <c r="AX294" s="34"/>
      <c r="AY294" s="34">
        <v>7480201</v>
      </c>
      <c r="AZ294" s="33">
        <v>18</v>
      </c>
      <c r="BA294" s="61"/>
      <c r="BB294" s="17"/>
      <c r="BC294" s="43" t="s">
        <v>2307</v>
      </c>
      <c r="BD294" s="17"/>
      <c r="BM294" s="46"/>
      <c r="BN294" s="46"/>
      <c r="BO294" s="47"/>
    </row>
    <row r="295" spans="1:67" ht="24.95" customHeight="1" x14ac:dyDescent="0.25">
      <c r="B295" s="36">
        <f>SUBTOTAL(103,$M$2:M295)</f>
        <v>294</v>
      </c>
      <c r="C295" s="37" t="s">
        <v>461</v>
      </c>
      <c r="D295" s="33" t="s">
        <v>79</v>
      </c>
      <c r="E295" s="33" t="s">
        <v>76</v>
      </c>
      <c r="F295" s="33" t="s">
        <v>34</v>
      </c>
      <c r="G295" s="33" t="s">
        <v>2675</v>
      </c>
      <c r="H295" s="33" t="s">
        <v>2677</v>
      </c>
      <c r="I295" s="37" t="s">
        <v>2584</v>
      </c>
      <c r="J295" s="37" t="s">
        <v>2601</v>
      </c>
      <c r="K295" s="25" t="s">
        <v>89</v>
      </c>
      <c r="L295" s="25" t="s">
        <v>190</v>
      </c>
      <c r="M295" s="38" t="s">
        <v>2308</v>
      </c>
      <c r="N295" s="33" t="s">
        <v>91</v>
      </c>
      <c r="O295" s="36">
        <v>1</v>
      </c>
      <c r="P295" s="36">
        <v>1</v>
      </c>
      <c r="Q295" s="36" t="s">
        <v>71</v>
      </c>
      <c r="R295" s="37" t="s">
        <v>2651</v>
      </c>
      <c r="S295" s="37" t="s">
        <v>2055</v>
      </c>
      <c r="T295" s="25" t="s">
        <v>191</v>
      </c>
      <c r="U295" s="33">
        <v>2014</v>
      </c>
      <c r="V295" s="36" t="s">
        <v>74</v>
      </c>
      <c r="W295" s="33" t="s">
        <v>192</v>
      </c>
      <c r="X295" s="33"/>
      <c r="Y295" s="33" t="s">
        <v>193</v>
      </c>
      <c r="Z295" s="37" t="s">
        <v>169</v>
      </c>
      <c r="AA295" s="37"/>
      <c r="AB295" s="33"/>
      <c r="AC295" s="25"/>
      <c r="AD295" s="51" t="s">
        <v>77</v>
      </c>
      <c r="AE295" s="25" t="s">
        <v>78</v>
      </c>
      <c r="AF295" s="33" t="s">
        <v>78</v>
      </c>
      <c r="AG295" s="33"/>
      <c r="AH295" s="80"/>
      <c r="AI295" s="37" t="s">
        <v>194</v>
      </c>
      <c r="AJ295" s="33" t="s">
        <v>3</v>
      </c>
      <c r="AK295" s="25"/>
      <c r="AL295" s="78" t="s">
        <v>195</v>
      </c>
      <c r="AM295" s="40" t="s">
        <v>77</v>
      </c>
      <c r="AN295" s="33" t="s">
        <v>150</v>
      </c>
      <c r="AO295" s="42"/>
      <c r="AP295" s="33" t="s">
        <v>196</v>
      </c>
      <c r="AQ295" s="43" t="s">
        <v>197</v>
      </c>
      <c r="AR295" s="33" t="s">
        <v>85</v>
      </c>
      <c r="AS295" s="20"/>
      <c r="AT295" s="18" t="s">
        <v>198</v>
      </c>
      <c r="AU295" s="32"/>
      <c r="AV295" s="25"/>
      <c r="AW295" s="33"/>
      <c r="AX295" s="34"/>
      <c r="AY295" s="34">
        <v>7480201</v>
      </c>
      <c r="AZ295" s="33">
        <v>19</v>
      </c>
      <c r="BA295" s="61"/>
      <c r="BB295" s="17"/>
      <c r="BC295" s="43" t="s">
        <v>2308</v>
      </c>
      <c r="BD295" s="17"/>
      <c r="BM295" s="46"/>
      <c r="BN295" s="46"/>
      <c r="BO295" s="47"/>
    </row>
    <row r="296" spans="1:67" ht="24.95" customHeight="1" x14ac:dyDescent="0.25">
      <c r="B296" s="36">
        <f>SUBTOTAL(103,$M$2:M296)</f>
        <v>295</v>
      </c>
      <c r="C296" s="37" t="s">
        <v>473</v>
      </c>
      <c r="D296" s="33" t="s">
        <v>79</v>
      </c>
      <c r="E296" s="36" t="s">
        <v>76</v>
      </c>
      <c r="F296" s="36" t="s">
        <v>34</v>
      </c>
      <c r="G296" s="33" t="s">
        <v>2675</v>
      </c>
      <c r="H296" s="33" t="s">
        <v>2677</v>
      </c>
      <c r="I296" s="37" t="s">
        <v>2584</v>
      </c>
      <c r="J296" s="37" t="s">
        <v>2602</v>
      </c>
      <c r="K296" s="25" t="s">
        <v>200</v>
      </c>
      <c r="L296" s="25" t="s">
        <v>201</v>
      </c>
      <c r="M296" s="54" t="s">
        <v>2089</v>
      </c>
      <c r="N296" s="36" t="s">
        <v>70</v>
      </c>
      <c r="O296" s="33">
        <v>0</v>
      </c>
      <c r="P296" s="33">
        <v>1</v>
      </c>
      <c r="Q296" s="37" t="s">
        <v>71</v>
      </c>
      <c r="R296" s="37" t="s">
        <v>2651</v>
      </c>
      <c r="S296" s="37" t="s">
        <v>2055</v>
      </c>
      <c r="T296" s="55" t="s">
        <v>202</v>
      </c>
      <c r="U296" s="33">
        <v>2015</v>
      </c>
      <c r="V296" s="33" t="s">
        <v>74</v>
      </c>
      <c r="W296" s="36" t="s">
        <v>203</v>
      </c>
      <c r="X296" s="36"/>
      <c r="Y296" s="33" t="s">
        <v>204</v>
      </c>
      <c r="Z296" s="33" t="s">
        <v>169</v>
      </c>
      <c r="AA296" s="33"/>
      <c r="AB296" s="33"/>
      <c r="AC296" s="25"/>
      <c r="AD296" s="51" t="s">
        <v>77</v>
      </c>
      <c r="AE296" s="37" t="s">
        <v>78</v>
      </c>
      <c r="AF296" s="37" t="s">
        <v>78</v>
      </c>
      <c r="AG296" s="33"/>
      <c r="AH296" s="80"/>
      <c r="AI296" s="33" t="s">
        <v>205</v>
      </c>
      <c r="AJ296" s="37" t="s">
        <v>76</v>
      </c>
      <c r="AK296" s="25" t="s">
        <v>206</v>
      </c>
      <c r="AL296" s="78" t="s">
        <v>207</v>
      </c>
      <c r="AM296" s="83" t="s">
        <v>77</v>
      </c>
      <c r="AN296" s="37" t="s">
        <v>150</v>
      </c>
      <c r="AO296" s="37"/>
      <c r="AP296" s="33" t="s">
        <v>208</v>
      </c>
      <c r="AQ296" s="43" t="s">
        <v>209</v>
      </c>
      <c r="AR296" s="44" t="s">
        <v>85</v>
      </c>
      <c r="AS296" s="20" t="s">
        <v>210</v>
      </c>
      <c r="AT296" s="18" t="s">
        <v>101</v>
      </c>
      <c r="AU296" s="32"/>
      <c r="AV296" s="25"/>
      <c r="AW296" s="33"/>
      <c r="AX296" s="34"/>
      <c r="AY296" s="34">
        <v>7480201</v>
      </c>
      <c r="AZ296" s="33">
        <v>20</v>
      </c>
      <c r="BA296" s="61"/>
      <c r="BB296" s="17"/>
      <c r="BC296" s="57" t="s">
        <v>2089</v>
      </c>
      <c r="BD296" s="17"/>
      <c r="BM296" s="46"/>
      <c r="BN296" s="46"/>
      <c r="BO296" s="47"/>
    </row>
    <row r="297" spans="1:67" ht="24.95" customHeight="1" x14ac:dyDescent="0.25">
      <c r="A297" s="18" t="s">
        <v>2862</v>
      </c>
      <c r="B297" s="36">
        <f>SUBTOTAL(103,$M$2:M297)</f>
        <v>296</v>
      </c>
      <c r="C297" s="33">
        <v>1</v>
      </c>
      <c r="D297" s="33" t="s">
        <v>79</v>
      </c>
      <c r="E297" s="33" t="s">
        <v>76</v>
      </c>
      <c r="F297" s="34" t="s">
        <v>34</v>
      </c>
      <c r="G297" s="33" t="s">
        <v>2675</v>
      </c>
      <c r="H297" s="33" t="s">
        <v>2677</v>
      </c>
      <c r="I297" s="33" t="s">
        <v>2584</v>
      </c>
      <c r="J297" s="33" t="s">
        <v>2891</v>
      </c>
      <c r="K297" s="25" t="s">
        <v>390</v>
      </c>
      <c r="L297" s="25" t="s">
        <v>474</v>
      </c>
      <c r="M297" s="38" t="s">
        <v>2692</v>
      </c>
      <c r="N297" s="33" t="s">
        <v>91</v>
      </c>
      <c r="O297" s="135">
        <v>1</v>
      </c>
      <c r="P297" s="135">
        <v>1</v>
      </c>
      <c r="Q297" s="33" t="s">
        <v>71</v>
      </c>
      <c r="R297" s="37" t="s">
        <v>2651</v>
      </c>
      <c r="S297" s="36" t="s">
        <v>2055</v>
      </c>
      <c r="T297" s="125" t="s">
        <v>1878</v>
      </c>
      <c r="U297" s="33">
        <v>2015</v>
      </c>
      <c r="V297" s="33" t="s">
        <v>74</v>
      </c>
      <c r="W297" s="33" t="s">
        <v>2693</v>
      </c>
      <c r="X297" s="33"/>
      <c r="Y297" s="33" t="s">
        <v>160</v>
      </c>
      <c r="Z297" s="33" t="s">
        <v>74</v>
      </c>
      <c r="AA297" s="25"/>
      <c r="AB297" s="33"/>
      <c r="AC297" s="33" t="s">
        <v>76</v>
      </c>
      <c r="AD297" s="33" t="s">
        <v>77</v>
      </c>
      <c r="AE297" s="25" t="s">
        <v>78</v>
      </c>
      <c r="AF297" s="25" t="s">
        <v>78</v>
      </c>
      <c r="AG297" s="103"/>
      <c r="AH297" s="25"/>
      <c r="AI297" s="33" t="s">
        <v>1797</v>
      </c>
      <c r="AJ297" s="33" t="s">
        <v>76</v>
      </c>
      <c r="AK297" s="25"/>
      <c r="AL297" s="43" t="s">
        <v>2694</v>
      </c>
      <c r="AM297" s="36" t="s">
        <v>77</v>
      </c>
      <c r="AN297" s="33" t="s">
        <v>401</v>
      </c>
      <c r="AP297" s="33" t="s">
        <v>1800</v>
      </c>
      <c r="AQ297" s="43" t="s">
        <v>2695</v>
      </c>
      <c r="AR297" s="25"/>
      <c r="AS297" s="25"/>
      <c r="AT297" s="25"/>
      <c r="AU297" s="18"/>
      <c r="AV297" s="84" t="s">
        <v>23</v>
      </c>
      <c r="AW297" s="17"/>
      <c r="BC297" s="18"/>
      <c r="BN297" s="18"/>
      <c r="BO297" s="18"/>
    </row>
    <row r="298" spans="1:67" ht="24.95" customHeight="1" x14ac:dyDescent="0.25">
      <c r="B298" s="36">
        <f>SUBTOTAL(103,$M$2:M298)</f>
        <v>297</v>
      </c>
      <c r="C298" s="33"/>
      <c r="D298" s="33" t="s">
        <v>79</v>
      </c>
      <c r="E298" s="33" t="s">
        <v>76</v>
      </c>
      <c r="F298" s="36" t="s">
        <v>34</v>
      </c>
      <c r="G298" s="36" t="s">
        <v>2675</v>
      </c>
      <c r="H298" s="36" t="s">
        <v>2677</v>
      </c>
      <c r="I298" s="36" t="s">
        <v>2584</v>
      </c>
      <c r="J298" s="36" t="s">
        <v>2979</v>
      </c>
      <c r="K298" s="25" t="s">
        <v>2971</v>
      </c>
      <c r="L298" s="42" t="s">
        <v>2972</v>
      </c>
      <c r="M298" s="77" t="s">
        <v>2136</v>
      </c>
      <c r="N298" s="36" t="s">
        <v>70</v>
      </c>
      <c r="O298" s="36">
        <v>0</v>
      </c>
      <c r="P298" s="36">
        <v>1</v>
      </c>
      <c r="Q298" s="36" t="s">
        <v>71</v>
      </c>
      <c r="R298" s="71" t="s">
        <v>2651</v>
      </c>
      <c r="S298" s="71" t="s">
        <v>2055</v>
      </c>
      <c r="T298" s="25" t="s">
        <v>2973</v>
      </c>
      <c r="U298" s="33">
        <v>2017</v>
      </c>
      <c r="V298" s="36" t="s">
        <v>118</v>
      </c>
      <c r="W298" s="60">
        <v>6.69</v>
      </c>
      <c r="X298" s="44"/>
      <c r="Y298" s="33">
        <v>5.8</v>
      </c>
      <c r="Z298" s="44" t="s">
        <v>169</v>
      </c>
      <c r="AA298" s="33"/>
      <c r="AB298" s="33"/>
      <c r="AC298" s="25"/>
      <c r="AD298" s="36" t="s">
        <v>77</v>
      </c>
      <c r="AE298" s="36"/>
      <c r="AF298" s="36"/>
      <c r="AG298" s="25"/>
      <c r="AH298" s="36"/>
      <c r="AI298" s="33" t="s">
        <v>2974</v>
      </c>
      <c r="AJ298" s="33" t="s">
        <v>3</v>
      </c>
      <c r="AK298" s="25"/>
      <c r="AL298" s="43" t="s">
        <v>2975</v>
      </c>
      <c r="AM298" s="33" t="s">
        <v>77</v>
      </c>
      <c r="AN298" s="33" t="s">
        <v>2977</v>
      </c>
      <c r="AO298" s="33"/>
      <c r="AP298" s="33" t="s">
        <v>2978</v>
      </c>
      <c r="AQ298" s="33">
        <v>967458289</v>
      </c>
    </row>
    <row r="299" spans="1:67" ht="24.95" customHeight="1" x14ac:dyDescent="0.25">
      <c r="B299" s="36">
        <f>SUBTOTAL(103,$M$2:M299)</f>
        <v>298</v>
      </c>
      <c r="C299" s="33">
        <v>1</v>
      </c>
      <c r="D299" s="33" t="s">
        <v>79</v>
      </c>
      <c r="E299" s="33" t="s">
        <v>3</v>
      </c>
      <c r="F299" s="33" t="s">
        <v>33</v>
      </c>
      <c r="G299" s="33" t="s">
        <v>2675</v>
      </c>
      <c r="H299" s="33" t="s">
        <v>2677</v>
      </c>
      <c r="I299" s="33" t="s">
        <v>2610</v>
      </c>
      <c r="J299" s="33" t="s">
        <v>2603</v>
      </c>
      <c r="K299" s="25" t="s">
        <v>1909</v>
      </c>
      <c r="L299" s="25" t="s">
        <v>1910</v>
      </c>
      <c r="M299" s="38" t="s">
        <v>2309</v>
      </c>
      <c r="N299" s="33" t="s">
        <v>70</v>
      </c>
      <c r="O299" s="33">
        <v>0</v>
      </c>
      <c r="P299" s="33">
        <v>1</v>
      </c>
      <c r="Q299" s="33" t="s">
        <v>71</v>
      </c>
      <c r="R299" s="33" t="s">
        <v>2652</v>
      </c>
      <c r="S299" s="33" t="s">
        <v>2055</v>
      </c>
      <c r="T299" s="25" t="s">
        <v>1911</v>
      </c>
      <c r="U299" s="33">
        <v>2025</v>
      </c>
      <c r="V299" s="33" t="s">
        <v>74</v>
      </c>
      <c r="W299" s="33" t="s">
        <v>304</v>
      </c>
      <c r="X299" s="33"/>
      <c r="Y299" s="33" t="s">
        <v>160</v>
      </c>
      <c r="Z299" s="33" t="s">
        <v>74</v>
      </c>
      <c r="AA299" s="33"/>
      <c r="AB299" s="33"/>
      <c r="AC299" s="25"/>
      <c r="AD299" s="51" t="s">
        <v>77</v>
      </c>
      <c r="AE299" s="25" t="s">
        <v>78</v>
      </c>
      <c r="AF299" s="25" t="s">
        <v>78</v>
      </c>
      <c r="AG299" s="25"/>
      <c r="AH299" s="25"/>
      <c r="AI299" s="33" t="s">
        <v>1912</v>
      </c>
      <c r="AJ299" s="33"/>
      <c r="AK299" s="25"/>
      <c r="AL299" s="78" t="s">
        <v>1913</v>
      </c>
      <c r="AM299" s="83" t="s">
        <v>77</v>
      </c>
      <c r="AN299" s="33" t="s">
        <v>1223</v>
      </c>
      <c r="AO299" s="25"/>
      <c r="AP299" s="33" t="s">
        <v>1914</v>
      </c>
      <c r="AQ299" s="57" t="s">
        <v>1915</v>
      </c>
      <c r="AR299" s="33" t="s">
        <v>85</v>
      </c>
      <c r="AS299" s="20"/>
      <c r="AT299" s="63" t="s">
        <v>325</v>
      </c>
      <c r="AU299" s="25"/>
      <c r="AV299" s="25"/>
      <c r="AW299" s="25"/>
      <c r="AX299" s="34"/>
      <c r="AY299" s="34">
        <v>7520201</v>
      </c>
      <c r="AZ299" s="33">
        <v>291</v>
      </c>
      <c r="BA299" s="61"/>
      <c r="BC299" s="43" t="s">
        <v>2309</v>
      </c>
    </row>
    <row r="300" spans="1:67" ht="24.95" customHeight="1" x14ac:dyDescent="0.25">
      <c r="B300" s="36">
        <f>SUBTOTAL(103,$M$2:M300)</f>
        <v>299</v>
      </c>
      <c r="C300" s="33">
        <v>2</v>
      </c>
      <c r="D300" s="33" t="s">
        <v>79</v>
      </c>
      <c r="E300" s="33" t="s">
        <v>3</v>
      </c>
      <c r="F300" s="33" t="s">
        <v>33</v>
      </c>
      <c r="G300" s="33" t="s">
        <v>2675</v>
      </c>
      <c r="H300" s="33" t="s">
        <v>2677</v>
      </c>
      <c r="I300" s="33" t="s">
        <v>2610</v>
      </c>
      <c r="J300" s="33" t="s">
        <v>2604</v>
      </c>
      <c r="K300" s="25" t="s">
        <v>1916</v>
      </c>
      <c r="L300" s="25" t="s">
        <v>1917</v>
      </c>
      <c r="M300" s="38" t="s">
        <v>2310</v>
      </c>
      <c r="N300" s="33" t="s">
        <v>70</v>
      </c>
      <c r="O300" s="33">
        <v>0</v>
      </c>
      <c r="P300" s="33">
        <v>1</v>
      </c>
      <c r="Q300" s="33" t="s">
        <v>71</v>
      </c>
      <c r="R300" s="33" t="s">
        <v>2652</v>
      </c>
      <c r="S300" s="33" t="s">
        <v>2055</v>
      </c>
      <c r="T300" s="25" t="s">
        <v>1918</v>
      </c>
      <c r="U300" s="33">
        <v>2003</v>
      </c>
      <c r="V300" s="33" t="s">
        <v>257</v>
      </c>
      <c r="W300" s="33" t="s">
        <v>1648</v>
      </c>
      <c r="X300" s="33"/>
      <c r="Y300" s="33" t="s">
        <v>204</v>
      </c>
      <c r="Z300" s="33" t="s">
        <v>169</v>
      </c>
      <c r="AA300" s="33"/>
      <c r="AB300" s="33"/>
      <c r="AC300" s="25"/>
      <c r="AD300" s="51" t="s">
        <v>77</v>
      </c>
      <c r="AE300" s="25" t="s">
        <v>78</v>
      </c>
      <c r="AF300" s="25" t="s">
        <v>78</v>
      </c>
      <c r="AG300" s="25"/>
      <c r="AH300" s="25"/>
      <c r="AI300" s="33" t="s">
        <v>1919</v>
      </c>
      <c r="AJ300" s="33" t="s">
        <v>76</v>
      </c>
      <c r="AK300" s="25"/>
      <c r="AL300" s="78" t="s">
        <v>1920</v>
      </c>
      <c r="AM300" s="83" t="s">
        <v>77</v>
      </c>
      <c r="AN300" s="33" t="s">
        <v>364</v>
      </c>
      <c r="AO300" s="25"/>
      <c r="AP300" s="33" t="s">
        <v>1921</v>
      </c>
      <c r="AQ300" s="43" t="s">
        <v>1922</v>
      </c>
      <c r="AR300" s="33" t="s">
        <v>85</v>
      </c>
      <c r="AS300" s="20"/>
      <c r="AT300" s="63"/>
      <c r="AU300" s="18"/>
      <c r="AV300" s="18"/>
      <c r="AX300" s="17"/>
      <c r="AY300" s="34">
        <v>7520201</v>
      </c>
      <c r="AZ300" s="33">
        <v>292</v>
      </c>
      <c r="BC300" s="43" t="s">
        <v>2310</v>
      </c>
    </row>
    <row r="301" spans="1:67" ht="24.95" customHeight="1" x14ac:dyDescent="0.25">
      <c r="B301" s="36">
        <f>SUBTOTAL(103,$M$2:M301)</f>
        <v>300</v>
      </c>
      <c r="C301" s="33">
        <v>3</v>
      </c>
      <c r="D301" s="33" t="s">
        <v>79</v>
      </c>
      <c r="E301" s="36" t="s">
        <v>3</v>
      </c>
      <c r="F301" s="36" t="s">
        <v>34</v>
      </c>
      <c r="G301" s="33" t="s">
        <v>2675</v>
      </c>
      <c r="H301" s="33" t="s">
        <v>2677</v>
      </c>
      <c r="I301" s="33" t="s">
        <v>2610</v>
      </c>
      <c r="J301" s="36" t="s">
        <v>2605</v>
      </c>
      <c r="K301" s="25" t="s">
        <v>1741</v>
      </c>
      <c r="L301" s="25" t="s">
        <v>1923</v>
      </c>
      <c r="M301" s="54" t="s">
        <v>2311</v>
      </c>
      <c r="N301" s="36" t="s">
        <v>70</v>
      </c>
      <c r="O301" s="33">
        <v>0</v>
      </c>
      <c r="P301" s="33">
        <v>1</v>
      </c>
      <c r="Q301" s="37" t="s">
        <v>71</v>
      </c>
      <c r="R301" s="33" t="s">
        <v>2652</v>
      </c>
      <c r="S301" s="33" t="s">
        <v>2055</v>
      </c>
      <c r="T301" s="25" t="s">
        <v>18</v>
      </c>
      <c r="U301" s="33">
        <v>2012</v>
      </c>
      <c r="V301" s="37" t="s">
        <v>169</v>
      </c>
      <c r="W301" s="33" t="s">
        <v>1924</v>
      </c>
      <c r="X301" s="36" t="s">
        <v>1925</v>
      </c>
      <c r="Y301" s="33" t="s">
        <v>320</v>
      </c>
      <c r="Z301" s="37" t="s">
        <v>169</v>
      </c>
      <c r="AA301" s="37"/>
      <c r="AB301" s="33"/>
      <c r="AC301" s="25"/>
      <c r="AD301" s="51" t="s">
        <v>77</v>
      </c>
      <c r="AE301" s="33" t="s">
        <v>78</v>
      </c>
      <c r="AF301" s="33" t="s">
        <v>78</v>
      </c>
      <c r="AG301" s="25"/>
      <c r="AH301" s="80"/>
      <c r="AI301" s="37" t="s">
        <v>1926</v>
      </c>
      <c r="AJ301" s="37" t="s">
        <v>76</v>
      </c>
      <c r="AK301" s="25"/>
      <c r="AL301" s="78" t="s">
        <v>1927</v>
      </c>
      <c r="AM301" s="83" t="s">
        <v>77</v>
      </c>
      <c r="AN301" s="37" t="s">
        <v>150</v>
      </c>
      <c r="AO301" s="37"/>
      <c r="AP301" s="33" t="s">
        <v>566</v>
      </c>
      <c r="AQ301" s="43" t="s">
        <v>1928</v>
      </c>
      <c r="AR301" s="33" t="s">
        <v>85</v>
      </c>
      <c r="AS301" s="20"/>
      <c r="AT301" s="18" t="s">
        <v>101</v>
      </c>
      <c r="AU301" s="32"/>
      <c r="AV301" s="25"/>
      <c r="AW301" s="33"/>
      <c r="AX301" s="34"/>
      <c r="AY301" s="34">
        <v>7520201</v>
      </c>
      <c r="AZ301" s="33">
        <v>293</v>
      </c>
      <c r="BA301" s="61"/>
      <c r="BB301" s="17"/>
      <c r="BC301" s="57" t="s">
        <v>2311</v>
      </c>
      <c r="BD301" s="17"/>
      <c r="BM301" s="46"/>
      <c r="BN301" s="46"/>
      <c r="BO301" s="47"/>
    </row>
    <row r="302" spans="1:67" ht="24.95" customHeight="1" x14ac:dyDescent="0.25">
      <c r="B302" s="36">
        <f>SUBTOTAL(103,$M$2:M302)</f>
        <v>301</v>
      </c>
      <c r="C302" s="33">
        <v>4</v>
      </c>
      <c r="D302" s="33" t="s">
        <v>79</v>
      </c>
      <c r="E302" s="36" t="s">
        <v>3</v>
      </c>
      <c r="F302" s="36" t="s">
        <v>34</v>
      </c>
      <c r="G302" s="33" t="s">
        <v>2675</v>
      </c>
      <c r="H302" s="33" t="s">
        <v>2677</v>
      </c>
      <c r="I302" s="33" t="s">
        <v>2610</v>
      </c>
      <c r="J302" s="36" t="s">
        <v>2606</v>
      </c>
      <c r="K302" s="25" t="s">
        <v>1392</v>
      </c>
      <c r="L302" s="25" t="s">
        <v>70</v>
      </c>
      <c r="M302" s="54" t="s">
        <v>2312</v>
      </c>
      <c r="N302" s="36" t="s">
        <v>70</v>
      </c>
      <c r="O302" s="33">
        <v>0</v>
      </c>
      <c r="P302" s="33"/>
      <c r="Q302" s="37" t="s">
        <v>71</v>
      </c>
      <c r="R302" s="33" t="s">
        <v>2652</v>
      </c>
      <c r="S302" s="33" t="s">
        <v>2055</v>
      </c>
      <c r="T302" s="25" t="s">
        <v>1344</v>
      </c>
      <c r="U302" s="33">
        <v>2010</v>
      </c>
      <c r="V302" s="33" t="s">
        <v>257</v>
      </c>
      <c r="W302" s="36" t="s">
        <v>1345</v>
      </c>
      <c r="X302" s="36"/>
      <c r="Y302" s="33" t="s">
        <v>352</v>
      </c>
      <c r="Z302" s="37" t="s">
        <v>74</v>
      </c>
      <c r="AA302" s="37"/>
      <c r="AB302" s="33"/>
      <c r="AC302" s="25"/>
      <c r="AD302" s="51" t="s">
        <v>77</v>
      </c>
      <c r="AE302" s="33" t="s">
        <v>78</v>
      </c>
      <c r="AF302" s="33" t="s">
        <v>78</v>
      </c>
      <c r="AG302" s="25"/>
      <c r="AH302" s="80"/>
      <c r="AI302" s="33" t="s">
        <v>149</v>
      </c>
      <c r="AJ302" s="37" t="s">
        <v>1249</v>
      </c>
      <c r="AK302" s="25"/>
      <c r="AL302" s="78" t="s">
        <v>1929</v>
      </c>
      <c r="AM302" s="83" t="s">
        <v>77</v>
      </c>
      <c r="AN302" s="37" t="s">
        <v>150</v>
      </c>
      <c r="AO302" s="37"/>
      <c r="AP302" s="33" t="s">
        <v>1930</v>
      </c>
      <c r="AQ302" s="43" t="s">
        <v>1931</v>
      </c>
      <c r="AR302" s="33" t="s">
        <v>85</v>
      </c>
      <c r="AS302" s="20"/>
      <c r="AT302" s="18" t="s">
        <v>101</v>
      </c>
      <c r="AU302" s="32"/>
      <c r="AV302" s="25"/>
      <c r="AW302" s="33"/>
      <c r="AX302" s="34"/>
      <c r="AY302" s="34">
        <v>7520201</v>
      </c>
      <c r="AZ302" s="33">
        <v>294</v>
      </c>
      <c r="BA302" s="61"/>
      <c r="BB302" s="17"/>
      <c r="BC302" s="57" t="s">
        <v>2312</v>
      </c>
      <c r="BD302" s="17"/>
      <c r="BM302" s="46"/>
      <c r="BN302" s="46"/>
      <c r="BO302" s="47"/>
    </row>
    <row r="303" spans="1:67" ht="24.95" customHeight="1" x14ac:dyDescent="0.25">
      <c r="B303" s="36">
        <f>SUBTOTAL(103,$M$2:M303)</f>
        <v>302</v>
      </c>
      <c r="C303" s="33">
        <v>5</v>
      </c>
      <c r="D303" s="33" t="s">
        <v>79</v>
      </c>
      <c r="E303" s="33" t="s">
        <v>3</v>
      </c>
      <c r="F303" s="33" t="s">
        <v>34</v>
      </c>
      <c r="G303" s="33" t="s">
        <v>2675</v>
      </c>
      <c r="H303" s="33" t="s">
        <v>2677</v>
      </c>
      <c r="I303" s="33" t="s">
        <v>2610</v>
      </c>
      <c r="J303" s="36" t="s">
        <v>2607</v>
      </c>
      <c r="K303" s="25" t="s">
        <v>1306</v>
      </c>
      <c r="L303" s="25" t="s">
        <v>1932</v>
      </c>
      <c r="M303" s="38" t="s">
        <v>2313</v>
      </c>
      <c r="N303" s="33" t="s">
        <v>70</v>
      </c>
      <c r="O303" s="33">
        <v>0</v>
      </c>
      <c r="P303" s="33">
        <v>1</v>
      </c>
      <c r="Q303" s="33" t="s">
        <v>71</v>
      </c>
      <c r="R303" s="33" t="s">
        <v>2652</v>
      </c>
      <c r="S303" s="33" t="s">
        <v>2055</v>
      </c>
      <c r="T303" s="25" t="s">
        <v>29</v>
      </c>
      <c r="U303" s="33">
        <v>2004</v>
      </c>
      <c r="V303" s="33" t="s">
        <v>257</v>
      </c>
      <c r="W303" s="33"/>
      <c r="X303" s="33"/>
      <c r="Y303" s="33"/>
      <c r="Z303" s="33"/>
      <c r="AA303" s="33"/>
      <c r="AB303" s="33"/>
      <c r="AC303" s="25"/>
      <c r="AD303" s="51" t="s">
        <v>77</v>
      </c>
      <c r="AE303" s="25" t="s">
        <v>78</v>
      </c>
      <c r="AF303" s="25" t="s">
        <v>78</v>
      </c>
      <c r="AG303" s="25"/>
      <c r="AH303" s="25"/>
      <c r="AI303" s="33" t="s">
        <v>1933</v>
      </c>
      <c r="AJ303" s="33" t="s">
        <v>76</v>
      </c>
      <c r="AK303" s="25"/>
      <c r="AL303" s="78" t="s">
        <v>1934</v>
      </c>
      <c r="AM303" s="83" t="s">
        <v>77</v>
      </c>
      <c r="AN303" s="33" t="s">
        <v>267</v>
      </c>
      <c r="AO303" s="25"/>
      <c r="AP303" s="33" t="s">
        <v>561</v>
      </c>
      <c r="AQ303" s="43" t="s">
        <v>1935</v>
      </c>
      <c r="AR303" s="33" t="s">
        <v>85</v>
      </c>
      <c r="AS303" s="20" t="s">
        <v>1936</v>
      </c>
      <c r="AT303" s="18" t="s">
        <v>740</v>
      </c>
      <c r="AU303" s="32"/>
      <c r="AV303" s="25"/>
      <c r="AW303" s="33"/>
      <c r="AX303" s="34"/>
      <c r="AY303" s="34">
        <v>7520201</v>
      </c>
      <c r="AZ303" s="33">
        <v>295</v>
      </c>
      <c r="BA303" s="61"/>
      <c r="BB303" s="17"/>
      <c r="BC303" s="43" t="s">
        <v>2313</v>
      </c>
      <c r="BD303" s="17"/>
      <c r="BM303" s="46"/>
      <c r="BN303" s="46"/>
      <c r="BO303" s="47"/>
    </row>
    <row r="304" spans="1:67" ht="24.95" customHeight="1" x14ac:dyDescent="0.25">
      <c r="B304" s="36">
        <f>SUBTOTAL(103,$M$2:M304)</f>
        <v>303</v>
      </c>
      <c r="C304" s="33">
        <v>6</v>
      </c>
      <c r="D304" s="33" t="s">
        <v>79</v>
      </c>
      <c r="E304" s="36" t="s">
        <v>3</v>
      </c>
      <c r="F304" s="36" t="s">
        <v>557</v>
      </c>
      <c r="G304" s="33" t="s">
        <v>2675</v>
      </c>
      <c r="H304" s="33" t="s">
        <v>2677</v>
      </c>
      <c r="I304" s="33" t="s">
        <v>2610</v>
      </c>
      <c r="J304" s="36" t="s">
        <v>2608</v>
      </c>
      <c r="K304" s="25" t="s">
        <v>1937</v>
      </c>
      <c r="L304" s="25" t="s">
        <v>1938</v>
      </c>
      <c r="M304" s="54" t="s">
        <v>2309</v>
      </c>
      <c r="N304" s="36" t="s">
        <v>70</v>
      </c>
      <c r="O304" s="33">
        <v>0</v>
      </c>
      <c r="P304" s="33">
        <v>1</v>
      </c>
      <c r="Q304" s="37" t="s">
        <v>71</v>
      </c>
      <c r="R304" s="33" t="s">
        <v>2652</v>
      </c>
      <c r="S304" s="33" t="s">
        <v>2055</v>
      </c>
      <c r="T304" s="25"/>
      <c r="U304" s="33">
        <v>2022</v>
      </c>
      <c r="V304" s="37"/>
      <c r="W304" s="36"/>
      <c r="X304" s="36"/>
      <c r="Y304" s="33" t="s">
        <v>183</v>
      </c>
      <c r="Z304" s="33" t="s">
        <v>74</v>
      </c>
      <c r="AA304" s="37" t="s">
        <v>701</v>
      </c>
      <c r="AB304" s="33" t="s">
        <v>1939</v>
      </c>
      <c r="AC304" s="25"/>
      <c r="AD304" s="51" t="s">
        <v>77</v>
      </c>
      <c r="AE304" s="33" t="s">
        <v>78</v>
      </c>
      <c r="AF304" s="33" t="s">
        <v>78</v>
      </c>
      <c r="AG304" s="25"/>
      <c r="AH304" s="80"/>
      <c r="AI304" s="33" t="s">
        <v>1940</v>
      </c>
      <c r="AJ304" s="37"/>
      <c r="AK304" s="25"/>
      <c r="AL304" s="78" t="s">
        <v>1941</v>
      </c>
      <c r="AM304" s="83" t="s">
        <v>77</v>
      </c>
      <c r="AN304" s="37" t="s">
        <v>401</v>
      </c>
      <c r="AO304" s="37"/>
      <c r="AP304" s="37" t="s">
        <v>1800</v>
      </c>
      <c r="AQ304" s="43" t="s">
        <v>1942</v>
      </c>
      <c r="AR304" s="33" t="s">
        <v>85</v>
      </c>
      <c r="AS304" s="20"/>
      <c r="AT304" s="18" t="s">
        <v>101</v>
      </c>
      <c r="AU304" s="32"/>
      <c r="AV304" s="25"/>
      <c r="AW304" s="33"/>
      <c r="AX304" s="34"/>
      <c r="AY304" s="34">
        <v>7520201</v>
      </c>
      <c r="AZ304" s="33">
        <v>296</v>
      </c>
      <c r="BA304" s="61"/>
      <c r="BB304" s="17"/>
      <c r="BC304" s="57" t="s">
        <v>2309</v>
      </c>
      <c r="BD304" s="17"/>
      <c r="BM304" s="46"/>
      <c r="BN304" s="46"/>
      <c r="BO304" s="47"/>
    </row>
    <row r="305" spans="1:67" ht="24.95" customHeight="1" x14ac:dyDescent="0.25">
      <c r="B305" s="36">
        <f>SUBTOTAL(103,$M$2:M305)</f>
        <v>304</v>
      </c>
      <c r="C305" s="33">
        <v>7</v>
      </c>
      <c r="D305" s="33" t="s">
        <v>79</v>
      </c>
      <c r="E305" s="36" t="s">
        <v>3</v>
      </c>
      <c r="F305" s="37" t="s">
        <v>557</v>
      </c>
      <c r="G305" s="33" t="s">
        <v>2675</v>
      </c>
      <c r="H305" s="33" t="s">
        <v>2677</v>
      </c>
      <c r="I305" s="33" t="s">
        <v>2610</v>
      </c>
      <c r="J305" s="37" t="s">
        <v>2609</v>
      </c>
      <c r="K305" s="48" t="s">
        <v>1943</v>
      </c>
      <c r="L305" s="49" t="s">
        <v>272</v>
      </c>
      <c r="M305" s="50" t="s">
        <v>2096</v>
      </c>
      <c r="N305" s="37" t="s">
        <v>70</v>
      </c>
      <c r="O305" s="33">
        <v>0</v>
      </c>
      <c r="P305" s="33">
        <v>1</v>
      </c>
      <c r="Q305" s="37" t="s">
        <v>71</v>
      </c>
      <c r="R305" s="33" t="s">
        <v>2652</v>
      </c>
      <c r="S305" s="33" t="s">
        <v>2055</v>
      </c>
      <c r="T305" s="25"/>
      <c r="U305" s="37" t="s">
        <v>263</v>
      </c>
      <c r="V305" s="37"/>
      <c r="W305" s="37"/>
      <c r="X305" s="37"/>
      <c r="Y305" s="37" t="s">
        <v>1944</v>
      </c>
      <c r="Z305" s="37" t="s">
        <v>157</v>
      </c>
      <c r="AA305" s="37" t="s">
        <v>773</v>
      </c>
      <c r="AB305" s="37" t="s">
        <v>1945</v>
      </c>
      <c r="AC305" s="25"/>
      <c r="AD305" s="51" t="s">
        <v>77</v>
      </c>
      <c r="AE305" s="37" t="s">
        <v>78</v>
      </c>
      <c r="AF305" s="37" t="s">
        <v>78</v>
      </c>
      <c r="AG305" s="37"/>
      <c r="AH305" s="37"/>
      <c r="AI305" s="37" t="s">
        <v>1946</v>
      </c>
      <c r="AJ305" s="37"/>
      <c r="AK305" s="37"/>
      <c r="AL305" s="146" t="s">
        <v>1947</v>
      </c>
      <c r="AM305" s="83" t="s">
        <v>77</v>
      </c>
      <c r="AN305" s="37" t="s">
        <v>468</v>
      </c>
      <c r="AO305" s="37"/>
      <c r="AP305" s="37" t="s">
        <v>469</v>
      </c>
      <c r="AQ305" s="50" t="s">
        <v>1948</v>
      </c>
      <c r="AR305" s="37" t="s">
        <v>85</v>
      </c>
      <c r="AS305" s="20"/>
      <c r="AT305" s="18" t="s">
        <v>101</v>
      </c>
      <c r="AU305" s="45"/>
      <c r="AV305" s="18"/>
      <c r="AW305" s="17"/>
      <c r="AX305" s="17"/>
      <c r="AY305" s="34">
        <v>7520201</v>
      </c>
      <c r="AZ305" s="33">
        <v>297</v>
      </c>
      <c r="BB305" s="17"/>
      <c r="BC305" s="50" t="s">
        <v>2096</v>
      </c>
      <c r="BD305" s="17"/>
      <c r="BM305" s="46"/>
      <c r="BN305" s="46"/>
      <c r="BO305" s="47"/>
    </row>
    <row r="306" spans="1:67" ht="24.95" customHeight="1" x14ac:dyDescent="0.25">
      <c r="B306" s="36">
        <f>SUBTOTAL(103,$M$2:M306)</f>
        <v>305</v>
      </c>
      <c r="C306" s="130">
        <v>1</v>
      </c>
      <c r="D306" s="33" t="s">
        <v>79</v>
      </c>
      <c r="E306" s="36" t="s">
        <v>3</v>
      </c>
      <c r="F306" s="36" t="s">
        <v>33</v>
      </c>
      <c r="G306" s="33" t="s">
        <v>2675</v>
      </c>
      <c r="H306" s="33" t="s">
        <v>2677</v>
      </c>
      <c r="I306" s="36" t="s">
        <v>2622</v>
      </c>
      <c r="J306" s="36" t="s">
        <v>2611</v>
      </c>
      <c r="K306" s="25" t="s">
        <v>1949</v>
      </c>
      <c r="L306" s="25" t="s">
        <v>1950</v>
      </c>
      <c r="M306" s="54" t="s">
        <v>2314</v>
      </c>
      <c r="N306" s="33" t="s">
        <v>70</v>
      </c>
      <c r="O306" s="33">
        <v>0</v>
      </c>
      <c r="P306" s="33">
        <v>1</v>
      </c>
      <c r="Q306" s="37" t="s">
        <v>71</v>
      </c>
      <c r="R306" s="37" t="s">
        <v>2653</v>
      </c>
      <c r="S306" s="37" t="s">
        <v>2055</v>
      </c>
      <c r="T306" s="55" t="s">
        <v>1951</v>
      </c>
      <c r="U306" s="33">
        <v>2012</v>
      </c>
      <c r="V306" s="37" t="s">
        <v>157</v>
      </c>
      <c r="W306" s="36" t="s">
        <v>525</v>
      </c>
      <c r="X306" s="36"/>
      <c r="Y306" s="33" t="s">
        <v>171</v>
      </c>
      <c r="Z306" s="37" t="s">
        <v>74</v>
      </c>
      <c r="AA306" s="37"/>
      <c r="AB306" s="33"/>
      <c r="AC306" s="25"/>
      <c r="AD306" s="51" t="s">
        <v>214</v>
      </c>
      <c r="AE306" s="33" t="s">
        <v>78</v>
      </c>
      <c r="AF306" s="33" t="s">
        <v>78</v>
      </c>
      <c r="AG306" s="25"/>
      <c r="AH306" s="80"/>
      <c r="AI306" s="37" t="s">
        <v>1952</v>
      </c>
      <c r="AJ306" s="37"/>
      <c r="AK306" s="25"/>
      <c r="AL306" s="78" t="s">
        <v>1953</v>
      </c>
      <c r="AM306" s="41" t="s">
        <v>214</v>
      </c>
      <c r="AN306" s="37" t="s">
        <v>1954</v>
      </c>
      <c r="AO306" s="37"/>
      <c r="AP306" s="33" t="s">
        <v>1955</v>
      </c>
      <c r="AQ306" s="43" t="s">
        <v>1956</v>
      </c>
      <c r="AR306" s="33" t="s">
        <v>85</v>
      </c>
      <c r="AS306" s="20"/>
      <c r="AT306" s="18" t="s">
        <v>101</v>
      </c>
      <c r="AU306" s="45"/>
      <c r="AV306" s="18"/>
      <c r="AW306" s="17"/>
      <c r="AX306" s="17"/>
      <c r="AY306" s="34">
        <v>7580201</v>
      </c>
      <c r="AZ306" s="33">
        <v>299</v>
      </c>
      <c r="BB306" s="17"/>
      <c r="BC306" s="57" t="s">
        <v>2314</v>
      </c>
      <c r="BD306" s="17"/>
      <c r="BM306" s="46"/>
      <c r="BN306" s="46"/>
      <c r="BO306" s="47"/>
    </row>
    <row r="307" spans="1:67" ht="24.95" customHeight="1" x14ac:dyDescent="0.25">
      <c r="B307" s="36">
        <f>SUBTOTAL(103,$M$2:M307)</f>
        <v>306</v>
      </c>
      <c r="C307" s="33">
        <v>2</v>
      </c>
      <c r="D307" s="33" t="s">
        <v>79</v>
      </c>
      <c r="E307" s="33" t="s">
        <v>3</v>
      </c>
      <c r="F307" s="33" t="s">
        <v>33</v>
      </c>
      <c r="G307" s="33" t="s">
        <v>2675</v>
      </c>
      <c r="H307" s="33" t="s">
        <v>2677</v>
      </c>
      <c r="I307" s="36" t="s">
        <v>2622</v>
      </c>
      <c r="J307" s="36" t="s">
        <v>2612</v>
      </c>
      <c r="K307" s="25" t="s">
        <v>1145</v>
      </c>
      <c r="L307" s="25" t="s">
        <v>1289</v>
      </c>
      <c r="M307" s="38" t="s">
        <v>2154</v>
      </c>
      <c r="N307" s="33" t="s">
        <v>70</v>
      </c>
      <c r="O307" s="33">
        <v>0</v>
      </c>
      <c r="P307" s="33"/>
      <c r="Q307" s="33" t="s">
        <v>71</v>
      </c>
      <c r="R307" s="37" t="s">
        <v>2653</v>
      </c>
      <c r="S307" s="37" t="s">
        <v>2055</v>
      </c>
      <c r="T307" s="25" t="s">
        <v>1957</v>
      </c>
      <c r="U307" s="33">
        <v>2012</v>
      </c>
      <c r="V307" s="33" t="s">
        <v>74</v>
      </c>
      <c r="W307" s="33" t="s">
        <v>160</v>
      </c>
      <c r="X307" s="33"/>
      <c r="Y307" s="33" t="s">
        <v>204</v>
      </c>
      <c r="Z307" s="33" t="s">
        <v>169</v>
      </c>
      <c r="AA307" s="33"/>
      <c r="AB307" s="33"/>
      <c r="AC307" s="25"/>
      <c r="AD307" s="51" t="s">
        <v>77</v>
      </c>
      <c r="AE307" s="25" t="s">
        <v>78</v>
      </c>
      <c r="AF307" s="25" t="s">
        <v>78</v>
      </c>
      <c r="AG307" s="25"/>
      <c r="AH307" s="25"/>
      <c r="AI307" s="33" t="s">
        <v>1958</v>
      </c>
      <c r="AJ307" s="33"/>
      <c r="AK307" s="25"/>
      <c r="AL307" s="78" t="s">
        <v>1959</v>
      </c>
      <c r="AM307" s="83" t="s">
        <v>77</v>
      </c>
      <c r="AN307" s="33" t="s">
        <v>952</v>
      </c>
      <c r="AO307" s="25"/>
      <c r="AP307" s="33" t="s">
        <v>1960</v>
      </c>
      <c r="AQ307" s="43" t="s">
        <v>1961</v>
      </c>
      <c r="AR307" s="33" t="s">
        <v>85</v>
      </c>
      <c r="AS307" s="20"/>
      <c r="AT307" s="63"/>
      <c r="AU307" s="18"/>
      <c r="AV307" s="18"/>
      <c r="AX307" s="17"/>
      <c r="AY307" s="34">
        <v>7580201</v>
      </c>
      <c r="AZ307" s="33">
        <v>300</v>
      </c>
      <c r="BC307" s="43" t="s">
        <v>2154</v>
      </c>
    </row>
    <row r="308" spans="1:67" ht="24.95" customHeight="1" x14ac:dyDescent="0.25">
      <c r="B308" s="36">
        <f>SUBTOTAL(103,$M$2:M308)</f>
        <v>307</v>
      </c>
      <c r="C308" s="130">
        <v>3</v>
      </c>
      <c r="D308" s="33" t="s">
        <v>79</v>
      </c>
      <c r="E308" s="36" t="s">
        <v>3</v>
      </c>
      <c r="F308" s="33" t="s">
        <v>33</v>
      </c>
      <c r="G308" s="33" t="s">
        <v>2675</v>
      </c>
      <c r="H308" s="33" t="s">
        <v>2677</v>
      </c>
      <c r="I308" s="36" t="s">
        <v>2622</v>
      </c>
      <c r="J308" s="36" t="s">
        <v>2613</v>
      </c>
      <c r="K308" s="25" t="s">
        <v>1962</v>
      </c>
      <c r="L308" s="25" t="s">
        <v>1963</v>
      </c>
      <c r="M308" s="38" t="s">
        <v>2315</v>
      </c>
      <c r="N308" s="33" t="s">
        <v>70</v>
      </c>
      <c r="O308" s="33">
        <v>0</v>
      </c>
      <c r="P308" s="33"/>
      <c r="Q308" s="36" t="s">
        <v>71</v>
      </c>
      <c r="R308" s="37" t="s">
        <v>2653</v>
      </c>
      <c r="S308" s="37" t="s">
        <v>2055</v>
      </c>
      <c r="T308" s="25" t="s">
        <v>1964</v>
      </c>
      <c r="U308" s="33">
        <v>2013</v>
      </c>
      <c r="V308" s="36" t="s">
        <v>118</v>
      </c>
      <c r="W308" s="33" t="s">
        <v>1087</v>
      </c>
      <c r="X308" s="33"/>
      <c r="Y308" s="33">
        <v>5.9</v>
      </c>
      <c r="Z308" s="33" t="s">
        <v>169</v>
      </c>
      <c r="AA308" s="37" t="s">
        <v>1965</v>
      </c>
      <c r="AB308" s="33">
        <v>18.600000000000001</v>
      </c>
      <c r="AC308" s="25"/>
      <c r="AD308" s="51" t="s">
        <v>77</v>
      </c>
      <c r="AE308" s="33" t="s">
        <v>78</v>
      </c>
      <c r="AF308" s="33" t="s">
        <v>78</v>
      </c>
      <c r="AG308" s="25"/>
      <c r="AH308" s="80"/>
      <c r="AI308" s="33" t="s">
        <v>1966</v>
      </c>
      <c r="AJ308" s="33" t="s">
        <v>76</v>
      </c>
      <c r="AK308" s="25"/>
      <c r="AL308" s="78" t="s">
        <v>1967</v>
      </c>
      <c r="AM308" s="83" t="s">
        <v>77</v>
      </c>
      <c r="AN308" s="33" t="s">
        <v>439</v>
      </c>
      <c r="AO308" s="25"/>
      <c r="AP308" s="33" t="s">
        <v>1968</v>
      </c>
      <c r="AQ308" s="43" t="s">
        <v>1969</v>
      </c>
      <c r="AR308" s="37" t="s">
        <v>1970</v>
      </c>
      <c r="AS308" s="20"/>
      <c r="AT308" s="19" t="s">
        <v>1971</v>
      </c>
      <c r="AU308" s="45"/>
      <c r="AV308" s="18"/>
      <c r="AW308" s="17"/>
      <c r="AX308" s="17"/>
      <c r="AY308" s="34">
        <v>7580201</v>
      </c>
      <c r="AZ308" s="33">
        <v>301</v>
      </c>
      <c r="BB308" s="17"/>
      <c r="BC308" s="43" t="s">
        <v>2315</v>
      </c>
      <c r="BD308" s="17"/>
      <c r="BM308" s="46"/>
      <c r="BN308" s="46"/>
      <c r="BO308" s="47"/>
    </row>
    <row r="309" spans="1:67" ht="24.95" customHeight="1" x14ac:dyDescent="0.25">
      <c r="B309" s="36">
        <f>SUBTOTAL(103,$M$2:M309)</f>
        <v>308</v>
      </c>
      <c r="C309" s="33">
        <v>4</v>
      </c>
      <c r="D309" s="33" t="s">
        <v>79</v>
      </c>
      <c r="E309" s="33" t="s">
        <v>3</v>
      </c>
      <c r="F309" s="33" t="s">
        <v>33</v>
      </c>
      <c r="G309" s="33" t="s">
        <v>2675</v>
      </c>
      <c r="H309" s="33" t="s">
        <v>2677</v>
      </c>
      <c r="I309" s="36" t="s">
        <v>2622</v>
      </c>
      <c r="J309" s="36" t="s">
        <v>2614</v>
      </c>
      <c r="K309" s="25" t="s">
        <v>1972</v>
      </c>
      <c r="L309" s="25" t="s">
        <v>297</v>
      </c>
      <c r="M309" s="38" t="s">
        <v>2316</v>
      </c>
      <c r="N309" s="33" t="s">
        <v>70</v>
      </c>
      <c r="O309" s="33">
        <v>0</v>
      </c>
      <c r="P309" s="33"/>
      <c r="Q309" s="33" t="s">
        <v>71</v>
      </c>
      <c r="R309" s="37" t="s">
        <v>2653</v>
      </c>
      <c r="S309" s="37" t="s">
        <v>2055</v>
      </c>
      <c r="T309" s="25" t="s">
        <v>1973</v>
      </c>
      <c r="U309" s="33">
        <v>2014</v>
      </c>
      <c r="V309" s="33" t="s">
        <v>169</v>
      </c>
      <c r="W309" s="33" t="s">
        <v>1757</v>
      </c>
      <c r="X309" s="33"/>
      <c r="Y309" s="33" t="s">
        <v>371</v>
      </c>
      <c r="Z309" s="33" t="s">
        <v>74</v>
      </c>
      <c r="AA309" s="37"/>
      <c r="AB309" s="33"/>
      <c r="AC309" s="25"/>
      <c r="AD309" s="51" t="s">
        <v>77</v>
      </c>
      <c r="AE309" s="25" t="s">
        <v>78</v>
      </c>
      <c r="AF309" s="25" t="s">
        <v>78</v>
      </c>
      <c r="AG309" s="25"/>
      <c r="AH309" s="80"/>
      <c r="AI309" s="33" t="s">
        <v>1974</v>
      </c>
      <c r="AJ309" s="33" t="s">
        <v>76</v>
      </c>
      <c r="AK309" s="25"/>
      <c r="AL309" s="78" t="s">
        <v>1975</v>
      </c>
      <c r="AM309" s="83" t="s">
        <v>77</v>
      </c>
      <c r="AN309" s="33" t="s">
        <v>162</v>
      </c>
      <c r="AO309" s="25"/>
      <c r="AP309" s="33" t="s">
        <v>1976</v>
      </c>
      <c r="AQ309" s="43" t="s">
        <v>1977</v>
      </c>
      <c r="AR309" s="33" t="s">
        <v>85</v>
      </c>
      <c r="AS309" s="20" t="s">
        <v>1978</v>
      </c>
      <c r="AT309" s="58" t="s">
        <v>1046</v>
      </c>
      <c r="AU309" s="45"/>
      <c r="AV309" s="18"/>
      <c r="AW309" s="17"/>
      <c r="AX309" s="17"/>
      <c r="AY309" s="34">
        <v>7580201</v>
      </c>
      <c r="AZ309" s="33">
        <v>302</v>
      </c>
      <c r="BB309" s="17"/>
      <c r="BC309" s="43" t="s">
        <v>2316</v>
      </c>
      <c r="BD309" s="17"/>
      <c r="BM309" s="46"/>
      <c r="BN309" s="46"/>
      <c r="BO309" s="47"/>
    </row>
    <row r="310" spans="1:67" ht="24.95" customHeight="1" x14ac:dyDescent="0.25">
      <c r="A310" s="18" t="s">
        <v>2862</v>
      </c>
      <c r="B310" s="36">
        <f>SUBTOTAL(103,$M$2:M310)</f>
        <v>309</v>
      </c>
      <c r="C310" s="33">
        <v>1</v>
      </c>
      <c r="D310" s="33" t="s">
        <v>79</v>
      </c>
      <c r="E310" s="33" t="s">
        <v>3</v>
      </c>
      <c r="F310" s="34" t="s">
        <v>33</v>
      </c>
      <c r="G310" s="33" t="s">
        <v>2675</v>
      </c>
      <c r="H310" s="33" t="s">
        <v>2677</v>
      </c>
      <c r="I310" s="33" t="s">
        <v>2622</v>
      </c>
      <c r="J310" s="33" t="s">
        <v>2892</v>
      </c>
      <c r="K310" s="25" t="s">
        <v>134</v>
      </c>
      <c r="L310" s="25" t="s">
        <v>2742</v>
      </c>
      <c r="M310" s="38" t="s">
        <v>2743</v>
      </c>
      <c r="N310" s="33" t="s">
        <v>70</v>
      </c>
      <c r="O310" s="135">
        <v>0</v>
      </c>
      <c r="P310" s="135">
        <v>1</v>
      </c>
      <c r="Q310" s="33" t="s">
        <v>71</v>
      </c>
      <c r="R310" s="37" t="s">
        <v>2653</v>
      </c>
      <c r="S310" s="36" t="s">
        <v>2055</v>
      </c>
      <c r="T310" s="125" t="s">
        <v>2744</v>
      </c>
      <c r="U310" s="33">
        <v>2012</v>
      </c>
      <c r="V310" s="33" t="s">
        <v>74</v>
      </c>
      <c r="W310" s="33" t="s">
        <v>2684</v>
      </c>
      <c r="X310" s="33"/>
      <c r="Y310" s="33" t="s">
        <v>171</v>
      </c>
      <c r="Z310" s="33" t="s">
        <v>74</v>
      </c>
      <c r="AA310" s="25"/>
      <c r="AB310" s="33"/>
      <c r="AC310" s="33" t="s">
        <v>3</v>
      </c>
      <c r="AD310" s="37" t="s">
        <v>77</v>
      </c>
      <c r="AE310" s="25" t="s">
        <v>78</v>
      </c>
      <c r="AF310" s="25" t="s">
        <v>78</v>
      </c>
      <c r="AG310" s="103"/>
      <c r="AH310" s="25"/>
      <c r="AI310" s="33" t="s">
        <v>2745</v>
      </c>
      <c r="AJ310" s="33" t="s">
        <v>76</v>
      </c>
      <c r="AK310" s="25"/>
      <c r="AL310" s="43" t="s">
        <v>2746</v>
      </c>
      <c r="AM310" s="36" t="s">
        <v>77</v>
      </c>
      <c r="AN310" s="33" t="s">
        <v>2747</v>
      </c>
      <c r="AP310" s="33" t="s">
        <v>2748</v>
      </c>
      <c r="AQ310" s="43" t="s">
        <v>2749</v>
      </c>
      <c r="AR310" s="25"/>
      <c r="AS310" s="25"/>
      <c r="AT310" s="25"/>
      <c r="AU310" s="18"/>
      <c r="AV310" s="84" t="s">
        <v>25</v>
      </c>
      <c r="AW310" s="17"/>
      <c r="BC310" s="18"/>
      <c r="BN310" s="18"/>
      <c r="BO310" s="18"/>
    </row>
    <row r="311" spans="1:67" ht="24.95" customHeight="1" x14ac:dyDescent="0.25">
      <c r="B311" s="36">
        <f>SUBTOTAL(103,$M$2:M311)</f>
        <v>310</v>
      </c>
      <c r="C311" s="130">
        <v>5</v>
      </c>
      <c r="D311" s="33" t="s">
        <v>79</v>
      </c>
      <c r="E311" s="36" t="s">
        <v>3</v>
      </c>
      <c r="F311" s="33" t="s">
        <v>34</v>
      </c>
      <c r="G311" s="33" t="s">
        <v>2675</v>
      </c>
      <c r="H311" s="33" t="s">
        <v>2677</v>
      </c>
      <c r="I311" s="36" t="s">
        <v>2622</v>
      </c>
      <c r="J311" s="33" t="s">
        <v>2615</v>
      </c>
      <c r="K311" s="25" t="s">
        <v>1741</v>
      </c>
      <c r="L311" s="25" t="s">
        <v>1555</v>
      </c>
      <c r="M311" s="38" t="s">
        <v>2317</v>
      </c>
      <c r="N311" s="33" t="s">
        <v>70</v>
      </c>
      <c r="O311" s="33">
        <v>0</v>
      </c>
      <c r="P311" s="33">
        <v>1</v>
      </c>
      <c r="Q311" s="36" t="s">
        <v>71</v>
      </c>
      <c r="R311" s="37" t="s">
        <v>2653</v>
      </c>
      <c r="S311" s="37" t="s">
        <v>2055</v>
      </c>
      <c r="T311" s="25" t="s">
        <v>18</v>
      </c>
      <c r="U311" s="33">
        <v>2023</v>
      </c>
      <c r="V311" s="36" t="s">
        <v>74</v>
      </c>
      <c r="W311" s="33" t="s">
        <v>1979</v>
      </c>
      <c r="X311" s="33"/>
      <c r="Y311" s="33">
        <v>8.8000000000000007</v>
      </c>
      <c r="Z311" s="33" t="s">
        <v>157</v>
      </c>
      <c r="AA311" s="37" t="s">
        <v>1965</v>
      </c>
      <c r="AB311" s="33">
        <v>25.4</v>
      </c>
      <c r="AC311" s="25"/>
      <c r="AD311" s="51" t="s">
        <v>77</v>
      </c>
      <c r="AE311" s="33" t="s">
        <v>78</v>
      </c>
      <c r="AF311" s="33" t="s">
        <v>78</v>
      </c>
      <c r="AG311" s="25"/>
      <c r="AH311" s="80"/>
      <c r="AI311" s="33" t="s">
        <v>1980</v>
      </c>
      <c r="AJ311" s="33" t="s">
        <v>76</v>
      </c>
      <c r="AK311" s="25"/>
      <c r="AL311" s="78" t="s">
        <v>1981</v>
      </c>
      <c r="AM311" s="83" t="s">
        <v>77</v>
      </c>
      <c r="AN311" s="37" t="s">
        <v>267</v>
      </c>
      <c r="AO311" s="37"/>
      <c r="AP311" s="33" t="s">
        <v>1982</v>
      </c>
      <c r="AQ311" s="43" t="s">
        <v>1983</v>
      </c>
      <c r="AR311" s="37" t="s">
        <v>1970</v>
      </c>
      <c r="AS311" s="20"/>
      <c r="AT311" s="19" t="s">
        <v>1971</v>
      </c>
      <c r="AU311" s="45"/>
      <c r="AV311" s="18"/>
      <c r="AW311" s="17"/>
      <c r="AX311" s="17"/>
      <c r="AY311" s="34">
        <v>7580201</v>
      </c>
      <c r="AZ311" s="33">
        <v>303</v>
      </c>
      <c r="BB311" s="17"/>
      <c r="BC311" s="43" t="s">
        <v>2317</v>
      </c>
      <c r="BD311" s="17"/>
      <c r="BM311" s="46"/>
      <c r="BN311" s="46"/>
      <c r="BO311" s="47"/>
    </row>
    <row r="312" spans="1:67" ht="24.95" customHeight="1" x14ac:dyDescent="0.25">
      <c r="B312" s="36">
        <f>SUBTOTAL(103,$M$2:M312)</f>
        <v>311</v>
      </c>
      <c r="C312" s="33">
        <v>6</v>
      </c>
      <c r="D312" s="33" t="s">
        <v>79</v>
      </c>
      <c r="E312" s="36" t="s">
        <v>3</v>
      </c>
      <c r="F312" s="37" t="s">
        <v>34</v>
      </c>
      <c r="G312" s="33" t="s">
        <v>2675</v>
      </c>
      <c r="H312" s="33" t="s">
        <v>2677</v>
      </c>
      <c r="I312" s="36" t="s">
        <v>2622</v>
      </c>
      <c r="J312" s="33" t="s">
        <v>2616</v>
      </c>
      <c r="K312" s="25" t="s">
        <v>1984</v>
      </c>
      <c r="L312" s="25" t="s">
        <v>1950</v>
      </c>
      <c r="M312" s="38" t="s">
        <v>2318</v>
      </c>
      <c r="N312" s="33" t="s">
        <v>70</v>
      </c>
      <c r="O312" s="33">
        <v>0</v>
      </c>
      <c r="P312" s="33"/>
      <c r="Q312" s="36" t="s">
        <v>71</v>
      </c>
      <c r="R312" s="37" t="s">
        <v>2653</v>
      </c>
      <c r="S312" s="37" t="s">
        <v>2055</v>
      </c>
      <c r="T312" s="25" t="s">
        <v>1878</v>
      </c>
      <c r="U312" s="33">
        <v>2019</v>
      </c>
      <c r="V312" s="37" t="s">
        <v>257</v>
      </c>
      <c r="W312" s="33" t="s">
        <v>1886</v>
      </c>
      <c r="X312" s="33"/>
      <c r="Y312" s="33">
        <v>7.4</v>
      </c>
      <c r="Z312" s="37" t="s">
        <v>74</v>
      </c>
      <c r="AA312" s="37" t="s">
        <v>1985</v>
      </c>
      <c r="AB312" s="33">
        <v>18.899999999999999</v>
      </c>
      <c r="AC312" s="25"/>
      <c r="AD312" s="51" t="s">
        <v>77</v>
      </c>
      <c r="AE312" s="33" t="s">
        <v>78</v>
      </c>
      <c r="AF312" s="33" t="s">
        <v>78</v>
      </c>
      <c r="AG312" s="25"/>
      <c r="AH312" s="80"/>
      <c r="AI312" s="33" t="s">
        <v>1986</v>
      </c>
      <c r="AJ312" s="33" t="s">
        <v>76</v>
      </c>
      <c r="AK312" s="25"/>
      <c r="AL312" s="78" t="s">
        <v>1987</v>
      </c>
      <c r="AM312" s="83" t="s">
        <v>77</v>
      </c>
      <c r="AN312" s="37" t="s">
        <v>354</v>
      </c>
      <c r="AO312" s="37"/>
      <c r="AP312" s="33" t="s">
        <v>897</v>
      </c>
      <c r="AQ312" s="43" t="s">
        <v>1988</v>
      </c>
      <c r="AR312" s="37" t="s">
        <v>1970</v>
      </c>
      <c r="AS312" s="20"/>
      <c r="AT312" s="19" t="s">
        <v>1971</v>
      </c>
      <c r="AU312" s="45"/>
      <c r="AV312" s="18"/>
      <c r="AW312" s="17"/>
      <c r="AX312" s="17"/>
      <c r="AY312" s="34">
        <v>7580201</v>
      </c>
      <c r="AZ312" s="33">
        <v>304</v>
      </c>
      <c r="BB312" s="17"/>
      <c r="BC312" s="43" t="s">
        <v>2318</v>
      </c>
      <c r="BD312" s="17"/>
      <c r="BM312" s="46"/>
      <c r="BN312" s="46"/>
      <c r="BO312" s="47"/>
    </row>
    <row r="313" spans="1:67" ht="24.95" customHeight="1" x14ac:dyDescent="0.25">
      <c r="B313" s="36">
        <f>SUBTOTAL(103,$M$2:M313)</f>
        <v>312</v>
      </c>
      <c r="C313" s="130">
        <v>7</v>
      </c>
      <c r="D313" s="33" t="s">
        <v>79</v>
      </c>
      <c r="E313" s="33" t="s">
        <v>3</v>
      </c>
      <c r="F313" s="33" t="s">
        <v>34</v>
      </c>
      <c r="G313" s="33" t="s">
        <v>2675</v>
      </c>
      <c r="H313" s="33" t="s">
        <v>2677</v>
      </c>
      <c r="I313" s="36" t="s">
        <v>2622</v>
      </c>
      <c r="J313" s="33" t="s">
        <v>2617</v>
      </c>
      <c r="K313" s="25" t="s">
        <v>1989</v>
      </c>
      <c r="L313" s="25" t="s">
        <v>272</v>
      </c>
      <c r="M313" s="38" t="s">
        <v>2185</v>
      </c>
      <c r="N313" s="33" t="s">
        <v>70</v>
      </c>
      <c r="O313" s="33">
        <v>0</v>
      </c>
      <c r="P313" s="33"/>
      <c r="Q313" s="33" t="s">
        <v>71</v>
      </c>
      <c r="R313" s="37" t="s">
        <v>2653</v>
      </c>
      <c r="S313" s="37" t="s">
        <v>2055</v>
      </c>
      <c r="T313" s="25" t="s">
        <v>1631</v>
      </c>
      <c r="U313" s="33">
        <v>2004</v>
      </c>
      <c r="V313" s="33" t="s">
        <v>169</v>
      </c>
      <c r="W313" s="33" t="s">
        <v>1990</v>
      </c>
      <c r="X313" s="33"/>
      <c r="Y313" s="33" t="s">
        <v>341</v>
      </c>
      <c r="Z313" s="33" t="s">
        <v>169</v>
      </c>
      <c r="AA313" s="33"/>
      <c r="AB313" s="33"/>
      <c r="AC313" s="25"/>
      <c r="AD313" s="51" t="s">
        <v>77</v>
      </c>
      <c r="AE313" s="25" t="s">
        <v>78</v>
      </c>
      <c r="AF313" s="25" t="s">
        <v>78</v>
      </c>
      <c r="AG313" s="25"/>
      <c r="AH313" s="25"/>
      <c r="AI313" s="33" t="s">
        <v>1569</v>
      </c>
      <c r="AJ313" s="33" t="s">
        <v>76</v>
      </c>
      <c r="AK313" s="25"/>
      <c r="AL313" s="78" t="s">
        <v>1991</v>
      </c>
      <c r="AM313" s="83" t="s">
        <v>77</v>
      </c>
      <c r="AN313" s="33" t="s">
        <v>468</v>
      </c>
      <c r="AO313" s="25"/>
      <c r="AP313" s="33" t="s">
        <v>1992</v>
      </c>
      <c r="AQ313" s="43" t="s">
        <v>1993</v>
      </c>
      <c r="AR313" s="33" t="s">
        <v>85</v>
      </c>
      <c r="AS313" s="20"/>
      <c r="AT313" s="63" t="s">
        <v>505</v>
      </c>
      <c r="AU313" s="18"/>
      <c r="AV313" s="18"/>
      <c r="AX313" s="17"/>
      <c r="AY313" s="34">
        <v>7580201</v>
      </c>
      <c r="AZ313" s="33">
        <v>305</v>
      </c>
      <c r="BC313" s="43" t="s">
        <v>2185</v>
      </c>
    </row>
    <row r="314" spans="1:67" ht="24.95" customHeight="1" x14ac:dyDescent="0.25">
      <c r="B314" s="36">
        <f>SUBTOTAL(103,$M$2:M314)</f>
        <v>313</v>
      </c>
      <c r="C314" s="33">
        <v>8</v>
      </c>
      <c r="D314" s="33" t="s">
        <v>79</v>
      </c>
      <c r="E314" s="36" t="s">
        <v>3</v>
      </c>
      <c r="F314" s="33" t="s">
        <v>34</v>
      </c>
      <c r="G314" s="33" t="s">
        <v>2675</v>
      </c>
      <c r="H314" s="33" t="s">
        <v>2677</v>
      </c>
      <c r="I314" s="36" t="s">
        <v>2622</v>
      </c>
      <c r="J314" s="33" t="s">
        <v>2618</v>
      </c>
      <c r="K314" s="25" t="s">
        <v>1994</v>
      </c>
      <c r="L314" s="25" t="s">
        <v>1995</v>
      </c>
      <c r="M314" s="38" t="s">
        <v>2319</v>
      </c>
      <c r="N314" s="33" t="s">
        <v>70</v>
      </c>
      <c r="O314" s="33">
        <v>0</v>
      </c>
      <c r="P314" s="33"/>
      <c r="Q314" s="36" t="s">
        <v>71</v>
      </c>
      <c r="R314" s="37" t="s">
        <v>2653</v>
      </c>
      <c r="S314" s="37" t="s">
        <v>2055</v>
      </c>
      <c r="T314" s="25" t="s">
        <v>1996</v>
      </c>
      <c r="U314" s="33">
        <v>2012</v>
      </c>
      <c r="V314" s="36" t="s">
        <v>257</v>
      </c>
      <c r="W314" s="33" t="s">
        <v>928</v>
      </c>
      <c r="X314" s="33"/>
      <c r="Y314" s="33"/>
      <c r="Z314" s="33" t="s">
        <v>169</v>
      </c>
      <c r="AA314" s="33"/>
      <c r="AB314" s="33"/>
      <c r="AC314" s="25"/>
      <c r="AD314" s="51" t="s">
        <v>77</v>
      </c>
      <c r="AE314" s="25" t="s">
        <v>78</v>
      </c>
      <c r="AF314" s="25" t="s">
        <v>78</v>
      </c>
      <c r="AG314" s="25"/>
      <c r="AH314" s="80"/>
      <c r="AI314" s="33" t="s">
        <v>1997</v>
      </c>
      <c r="AJ314" s="33" t="s">
        <v>3</v>
      </c>
      <c r="AK314" s="25"/>
      <c r="AL314" s="78" t="s">
        <v>1998</v>
      </c>
      <c r="AM314" s="83" t="s">
        <v>77</v>
      </c>
      <c r="AN314" s="37" t="s">
        <v>401</v>
      </c>
      <c r="AO314" s="37"/>
      <c r="AP314" s="37" t="s">
        <v>510</v>
      </c>
      <c r="AQ314" s="43" t="s">
        <v>1999</v>
      </c>
      <c r="AR314" s="36" t="s">
        <v>85</v>
      </c>
      <c r="AS314" s="20"/>
      <c r="AT314" s="18" t="s">
        <v>433</v>
      </c>
      <c r="AU314" s="45"/>
      <c r="AV314" s="18"/>
      <c r="AW314" s="17"/>
      <c r="AX314" s="17"/>
      <c r="AY314" s="34">
        <v>7580201</v>
      </c>
      <c r="AZ314" s="33">
        <v>306</v>
      </c>
      <c r="BB314" s="17"/>
      <c r="BC314" s="43" t="s">
        <v>2319</v>
      </c>
      <c r="BD314" s="17"/>
      <c r="BM314" s="46"/>
      <c r="BN314" s="46"/>
      <c r="BO314" s="47"/>
    </row>
    <row r="315" spans="1:67" ht="24.95" customHeight="1" x14ac:dyDescent="0.25">
      <c r="B315" s="36">
        <f>SUBTOTAL(103,$M$2:M315)</f>
        <v>314</v>
      </c>
      <c r="C315" s="130">
        <v>9</v>
      </c>
      <c r="D315" s="33" t="s">
        <v>79</v>
      </c>
      <c r="E315" s="33" t="s">
        <v>3</v>
      </c>
      <c r="F315" s="33" t="s">
        <v>34</v>
      </c>
      <c r="G315" s="33" t="s">
        <v>2675</v>
      </c>
      <c r="H315" s="33" t="s">
        <v>2677</v>
      </c>
      <c r="I315" s="36" t="s">
        <v>2622</v>
      </c>
      <c r="J315" s="33" t="s">
        <v>2619</v>
      </c>
      <c r="K315" s="25" t="s">
        <v>1554</v>
      </c>
      <c r="L315" s="25" t="s">
        <v>2000</v>
      </c>
      <c r="M315" s="38" t="s">
        <v>2320</v>
      </c>
      <c r="N315" s="33" t="s">
        <v>70</v>
      </c>
      <c r="O315" s="33">
        <v>0</v>
      </c>
      <c r="P315" s="33">
        <v>1</v>
      </c>
      <c r="Q315" s="33" t="s">
        <v>71</v>
      </c>
      <c r="R315" s="37" t="s">
        <v>2653</v>
      </c>
      <c r="S315" s="37" t="s">
        <v>2055</v>
      </c>
      <c r="T315" s="25" t="s">
        <v>2001</v>
      </c>
      <c r="U315" s="33">
        <v>2015</v>
      </c>
      <c r="V315" s="33" t="s">
        <v>74</v>
      </c>
      <c r="W315" s="33" t="s">
        <v>352</v>
      </c>
      <c r="X315" s="33"/>
      <c r="Y315" s="33" t="s">
        <v>1096</v>
      </c>
      <c r="Z315" s="33" t="s">
        <v>74</v>
      </c>
      <c r="AA315" s="37"/>
      <c r="AB315" s="33"/>
      <c r="AC315" s="25"/>
      <c r="AD315" s="51" t="s">
        <v>77</v>
      </c>
      <c r="AE315" s="25" t="s">
        <v>78</v>
      </c>
      <c r="AF315" s="33" t="s">
        <v>78</v>
      </c>
      <c r="AG315" s="25"/>
      <c r="AH315" s="80"/>
      <c r="AI315" s="33" t="s">
        <v>2002</v>
      </c>
      <c r="AJ315" s="33" t="s">
        <v>76</v>
      </c>
      <c r="AK315" s="25"/>
      <c r="AL315" s="78" t="s">
        <v>2003</v>
      </c>
      <c r="AM315" s="83" t="s">
        <v>77</v>
      </c>
      <c r="AN315" s="33" t="s">
        <v>185</v>
      </c>
      <c r="AO315" s="25"/>
      <c r="AP315" s="33" t="s">
        <v>2004</v>
      </c>
      <c r="AQ315" s="43" t="s">
        <v>2682</v>
      </c>
      <c r="AR315" s="33" t="s">
        <v>85</v>
      </c>
      <c r="AS315" s="20" t="s">
        <v>375</v>
      </c>
      <c r="AT315" s="18" t="s">
        <v>145</v>
      </c>
      <c r="AU315" s="45"/>
      <c r="AV315" s="18"/>
      <c r="AW315" s="17"/>
      <c r="AX315" s="17"/>
      <c r="AY315" s="34">
        <v>7580201</v>
      </c>
      <c r="AZ315" s="33">
        <v>307</v>
      </c>
      <c r="BB315" s="17"/>
      <c r="BC315" s="43" t="s">
        <v>2320</v>
      </c>
      <c r="BD315" s="17"/>
      <c r="BM315" s="46"/>
      <c r="BN315" s="46"/>
      <c r="BO315" s="47"/>
    </row>
    <row r="316" spans="1:67" ht="24.95" customHeight="1" x14ac:dyDescent="0.25">
      <c r="B316" s="36">
        <f>SUBTOTAL(103,$M$2:M316)</f>
        <v>315</v>
      </c>
      <c r="C316" s="33">
        <v>10</v>
      </c>
      <c r="D316" s="33" t="s">
        <v>79</v>
      </c>
      <c r="E316" s="36" t="s">
        <v>3</v>
      </c>
      <c r="F316" s="37" t="s">
        <v>32</v>
      </c>
      <c r="G316" s="33" t="s">
        <v>2675</v>
      </c>
      <c r="H316" s="33" t="s">
        <v>2677</v>
      </c>
      <c r="I316" s="36" t="s">
        <v>2622</v>
      </c>
      <c r="J316" s="37" t="s">
        <v>2620</v>
      </c>
      <c r="K316" s="48" t="s">
        <v>1659</v>
      </c>
      <c r="L316" s="49" t="s">
        <v>1555</v>
      </c>
      <c r="M316" s="50" t="s">
        <v>2321</v>
      </c>
      <c r="N316" s="37" t="s">
        <v>70</v>
      </c>
      <c r="O316" s="33">
        <v>0</v>
      </c>
      <c r="P316" s="33"/>
      <c r="Q316" s="37" t="s">
        <v>71</v>
      </c>
      <c r="R316" s="37" t="s">
        <v>2653</v>
      </c>
      <c r="S316" s="37" t="s">
        <v>2055</v>
      </c>
      <c r="T316" s="48" t="s">
        <v>2005</v>
      </c>
      <c r="U316" s="37" t="s">
        <v>2006</v>
      </c>
      <c r="V316" s="37" t="s">
        <v>257</v>
      </c>
      <c r="W316" s="37"/>
      <c r="X316" s="37"/>
      <c r="Y316" s="37" t="s">
        <v>436</v>
      </c>
      <c r="Z316" s="37" t="s">
        <v>74</v>
      </c>
      <c r="AA316" s="37" t="s">
        <v>602</v>
      </c>
      <c r="AB316" s="37" t="s">
        <v>481</v>
      </c>
      <c r="AC316" s="25"/>
      <c r="AD316" s="51" t="s">
        <v>77</v>
      </c>
      <c r="AE316" s="37" t="s">
        <v>78</v>
      </c>
      <c r="AF316" s="37" t="s">
        <v>78</v>
      </c>
      <c r="AG316" s="37"/>
      <c r="AH316" s="37"/>
      <c r="AI316" s="37" t="s">
        <v>1866</v>
      </c>
      <c r="AJ316" s="37" t="s">
        <v>76</v>
      </c>
      <c r="AK316" s="37"/>
      <c r="AL316" s="146" t="s">
        <v>2007</v>
      </c>
      <c r="AM316" s="83" t="s">
        <v>77</v>
      </c>
      <c r="AN316" s="37" t="s">
        <v>286</v>
      </c>
      <c r="AO316" s="37"/>
      <c r="AP316" s="37" t="s">
        <v>1746</v>
      </c>
      <c r="AQ316" s="50" t="s">
        <v>2008</v>
      </c>
      <c r="AR316" s="37" t="s">
        <v>85</v>
      </c>
      <c r="AS316" s="20" t="s">
        <v>2009</v>
      </c>
      <c r="AT316" s="18" t="s">
        <v>233</v>
      </c>
      <c r="AU316" s="45"/>
      <c r="AV316" s="18"/>
      <c r="AW316" s="17"/>
      <c r="AX316" s="17"/>
      <c r="AY316" s="34">
        <v>7580201</v>
      </c>
      <c r="AZ316" s="33">
        <v>308</v>
      </c>
      <c r="BB316" s="17"/>
      <c r="BC316" s="50" t="s">
        <v>2321</v>
      </c>
      <c r="BD316" s="17"/>
      <c r="BM316" s="46"/>
      <c r="BN316" s="46"/>
      <c r="BO316" s="47"/>
    </row>
    <row r="317" spans="1:67" ht="24.95" customHeight="1" x14ac:dyDescent="0.25">
      <c r="B317" s="36">
        <f>SUBTOTAL(103,$M$2:M317)</f>
        <v>316</v>
      </c>
      <c r="C317" s="130">
        <v>11</v>
      </c>
      <c r="D317" s="33" t="s">
        <v>79</v>
      </c>
      <c r="E317" s="36" t="s">
        <v>3</v>
      </c>
      <c r="F317" s="33" t="s">
        <v>557</v>
      </c>
      <c r="G317" s="33" t="s">
        <v>2675</v>
      </c>
      <c r="H317" s="33" t="s">
        <v>2677</v>
      </c>
      <c r="I317" s="36" t="s">
        <v>2622</v>
      </c>
      <c r="J317" s="33" t="s">
        <v>2621</v>
      </c>
      <c r="K317" s="25" t="s">
        <v>1295</v>
      </c>
      <c r="L317" s="25" t="s">
        <v>742</v>
      </c>
      <c r="M317" s="38" t="s">
        <v>2322</v>
      </c>
      <c r="N317" s="33" t="s">
        <v>70</v>
      </c>
      <c r="O317" s="33">
        <v>0</v>
      </c>
      <c r="P317" s="33">
        <v>1</v>
      </c>
      <c r="Q317" s="36" t="s">
        <v>71</v>
      </c>
      <c r="R317" s="37" t="s">
        <v>2653</v>
      </c>
      <c r="S317" s="37" t="s">
        <v>2055</v>
      </c>
      <c r="T317" s="25"/>
      <c r="U317" s="33">
        <v>2017</v>
      </c>
      <c r="V317" s="36"/>
      <c r="W317" s="33"/>
      <c r="X317" s="33"/>
      <c r="Y317" s="33" t="s">
        <v>183</v>
      </c>
      <c r="Z317" s="37" t="s">
        <v>169</v>
      </c>
      <c r="AA317" s="37" t="s">
        <v>610</v>
      </c>
      <c r="AB317" s="33" t="s">
        <v>2010</v>
      </c>
      <c r="AC317" s="25"/>
      <c r="AD317" s="51" t="s">
        <v>77</v>
      </c>
      <c r="AE317" s="33" t="s">
        <v>78</v>
      </c>
      <c r="AF317" s="33" t="s">
        <v>78</v>
      </c>
      <c r="AG317" s="25"/>
      <c r="AH317" s="80"/>
      <c r="AI317" s="37" t="s">
        <v>2011</v>
      </c>
      <c r="AJ317" s="33"/>
      <c r="AK317" s="25"/>
      <c r="AL317" s="78" t="s">
        <v>2012</v>
      </c>
      <c r="AM317" s="83" t="s">
        <v>77</v>
      </c>
      <c r="AN317" s="33" t="s">
        <v>354</v>
      </c>
      <c r="AO317" s="25"/>
      <c r="AP317" s="33" t="s">
        <v>2013</v>
      </c>
      <c r="AQ317" s="43" t="s">
        <v>2014</v>
      </c>
      <c r="AR317" s="33" t="s">
        <v>85</v>
      </c>
      <c r="AS317" s="20"/>
      <c r="AT317" s="18" t="s">
        <v>816</v>
      </c>
      <c r="AU317" s="45"/>
      <c r="AV317" s="18"/>
      <c r="AW317" s="17"/>
      <c r="AX317" s="17"/>
      <c r="AY317" s="34">
        <v>7580201</v>
      </c>
      <c r="AZ317" s="33">
        <v>309</v>
      </c>
      <c r="BB317" s="17"/>
      <c r="BC317" s="43" t="s">
        <v>2322</v>
      </c>
      <c r="BD317" s="17"/>
      <c r="BM317" s="46"/>
      <c r="BN317" s="46"/>
      <c r="BO317" s="47"/>
    </row>
    <row r="318" spans="1:67" ht="24.95" customHeight="1" x14ac:dyDescent="0.25">
      <c r="B318" s="36">
        <f>SUBTOTAL(103,$M$2:M318)</f>
        <v>317</v>
      </c>
      <c r="C318" s="37" t="s">
        <v>67</v>
      </c>
      <c r="D318" s="33" t="s">
        <v>79</v>
      </c>
      <c r="E318" s="36" t="s">
        <v>76</v>
      </c>
      <c r="F318" s="33" t="s">
        <v>33</v>
      </c>
      <c r="G318" s="33" t="s">
        <v>2675</v>
      </c>
      <c r="H318" s="33" t="s">
        <v>2677</v>
      </c>
      <c r="I318" s="33" t="s">
        <v>2639</v>
      </c>
      <c r="J318" s="33" t="s">
        <v>2623</v>
      </c>
      <c r="K318" s="25" t="s">
        <v>103</v>
      </c>
      <c r="L318" s="25" t="s">
        <v>211</v>
      </c>
      <c r="M318" s="38" t="s">
        <v>2323</v>
      </c>
      <c r="N318" s="33" t="s">
        <v>91</v>
      </c>
      <c r="O318" s="36">
        <v>1</v>
      </c>
      <c r="P318" s="36"/>
      <c r="Q318" s="36" t="s">
        <v>71</v>
      </c>
      <c r="R318" s="33" t="s">
        <v>2654</v>
      </c>
      <c r="S318" s="33" t="s">
        <v>2056</v>
      </c>
      <c r="T318" s="25" t="s">
        <v>212</v>
      </c>
      <c r="U318" s="33">
        <v>2019</v>
      </c>
      <c r="V318" s="36" t="s">
        <v>169</v>
      </c>
      <c r="W318" s="33"/>
      <c r="X318" s="33" t="s">
        <v>213</v>
      </c>
      <c r="Y318" s="33"/>
      <c r="Z318" s="33"/>
      <c r="AA318" s="37"/>
      <c r="AB318" s="33"/>
      <c r="AC318" s="25"/>
      <c r="AD318" s="51" t="s">
        <v>214</v>
      </c>
      <c r="AE318" s="33"/>
      <c r="AF318" s="33"/>
      <c r="AG318" s="25"/>
      <c r="AH318" s="80"/>
      <c r="AI318" s="37" t="s">
        <v>215</v>
      </c>
      <c r="AJ318" s="33" t="s">
        <v>76</v>
      </c>
      <c r="AK318" s="25"/>
      <c r="AL318" s="78" t="s">
        <v>216</v>
      </c>
      <c r="AM318" s="83" t="s">
        <v>77</v>
      </c>
      <c r="AN318" s="33" t="s">
        <v>217</v>
      </c>
      <c r="AO318" s="25"/>
      <c r="AP318" s="33" t="s">
        <v>218</v>
      </c>
      <c r="AQ318" s="43" t="s">
        <v>219</v>
      </c>
      <c r="AR318" s="33" t="s">
        <v>220</v>
      </c>
      <c r="AS318" s="20" t="s">
        <v>221</v>
      </c>
      <c r="AT318" s="18" t="s">
        <v>222</v>
      </c>
      <c r="AU318" s="45"/>
      <c r="AV318" s="18"/>
      <c r="AW318" s="17"/>
      <c r="AX318" s="17"/>
      <c r="AY318" s="34">
        <v>7620106</v>
      </c>
      <c r="AZ318" s="33">
        <v>22</v>
      </c>
      <c r="BB318" s="17"/>
      <c r="BC318" s="43" t="s">
        <v>2323</v>
      </c>
      <c r="BD318" s="17"/>
      <c r="BM318" s="46"/>
      <c r="BN318" s="46"/>
      <c r="BO318" s="47"/>
    </row>
    <row r="319" spans="1:67" ht="24.95" customHeight="1" x14ac:dyDescent="0.25">
      <c r="B319" s="36">
        <f>SUBTOTAL(103,$M$2:M319)</f>
        <v>318</v>
      </c>
      <c r="C319" s="37" t="s">
        <v>88</v>
      </c>
      <c r="D319" s="33" t="s">
        <v>79</v>
      </c>
      <c r="E319" s="36" t="s">
        <v>76</v>
      </c>
      <c r="F319" s="37" t="s">
        <v>33</v>
      </c>
      <c r="G319" s="33" t="s">
        <v>2675</v>
      </c>
      <c r="H319" s="33" t="s">
        <v>2677</v>
      </c>
      <c r="I319" s="33" t="s">
        <v>2639</v>
      </c>
      <c r="J319" s="33" t="s">
        <v>2624</v>
      </c>
      <c r="K319" s="48" t="s">
        <v>223</v>
      </c>
      <c r="L319" s="49" t="s">
        <v>224</v>
      </c>
      <c r="M319" s="50" t="s">
        <v>2324</v>
      </c>
      <c r="N319" s="37" t="s">
        <v>70</v>
      </c>
      <c r="O319" s="33">
        <v>0</v>
      </c>
      <c r="P319" s="33">
        <v>1</v>
      </c>
      <c r="Q319" s="37" t="s">
        <v>71</v>
      </c>
      <c r="R319" s="33" t="s">
        <v>2654</v>
      </c>
      <c r="S319" s="33" t="s">
        <v>2056</v>
      </c>
      <c r="T319" s="48" t="s">
        <v>225</v>
      </c>
      <c r="U319" s="37" t="s">
        <v>226</v>
      </c>
      <c r="V319" s="37" t="s">
        <v>169</v>
      </c>
      <c r="W319" s="37" t="s">
        <v>204</v>
      </c>
      <c r="X319" s="37"/>
      <c r="Y319" s="37"/>
      <c r="Z319" s="37"/>
      <c r="AA319" s="37"/>
      <c r="AB319" s="37"/>
      <c r="AC319" s="25"/>
      <c r="AD319" s="51" t="s">
        <v>77</v>
      </c>
      <c r="AE319" s="37"/>
      <c r="AF319" s="37"/>
      <c r="AG319" s="37"/>
      <c r="AH319" s="37"/>
      <c r="AI319" s="37" t="s">
        <v>227</v>
      </c>
      <c r="AJ319" s="37" t="s">
        <v>76</v>
      </c>
      <c r="AK319" s="37"/>
      <c r="AL319" s="146" t="s">
        <v>228</v>
      </c>
      <c r="AM319" s="83" t="s">
        <v>77</v>
      </c>
      <c r="AN319" s="37" t="s">
        <v>229</v>
      </c>
      <c r="AO319" s="37"/>
      <c r="AP319" s="37" t="s">
        <v>230</v>
      </c>
      <c r="AQ319" s="50" t="s">
        <v>231</v>
      </c>
      <c r="AR319" s="37" t="s">
        <v>85</v>
      </c>
      <c r="AS319" s="20" t="s">
        <v>232</v>
      </c>
      <c r="AT319" s="18" t="s">
        <v>233</v>
      </c>
      <c r="AU319" s="45"/>
      <c r="AV319" s="18"/>
      <c r="AW319" s="17"/>
      <c r="AX319" s="17"/>
      <c r="AY319" s="34">
        <v>7620106</v>
      </c>
      <c r="AZ319" s="33">
        <v>23</v>
      </c>
      <c r="BB319" s="17"/>
      <c r="BC319" s="50" t="s">
        <v>2324</v>
      </c>
      <c r="BD319" s="17"/>
      <c r="BM319" s="46"/>
      <c r="BN319" s="46"/>
      <c r="BO319" s="47"/>
    </row>
    <row r="320" spans="1:67" ht="24.95" customHeight="1" x14ac:dyDescent="0.25">
      <c r="B320" s="36">
        <f>SUBTOTAL(103,$M$2:M320)</f>
        <v>319</v>
      </c>
      <c r="C320" s="37" t="s">
        <v>102</v>
      </c>
      <c r="D320" s="33" t="s">
        <v>79</v>
      </c>
      <c r="E320" s="36" t="s">
        <v>76</v>
      </c>
      <c r="F320" s="37" t="s">
        <v>33</v>
      </c>
      <c r="G320" s="33" t="s">
        <v>2675</v>
      </c>
      <c r="H320" s="33" t="s">
        <v>2677</v>
      </c>
      <c r="I320" s="33" t="s">
        <v>2639</v>
      </c>
      <c r="J320" s="33" t="s">
        <v>2625</v>
      </c>
      <c r="K320" s="48" t="s">
        <v>234</v>
      </c>
      <c r="L320" s="49" t="s">
        <v>190</v>
      </c>
      <c r="M320" s="50" t="s">
        <v>2325</v>
      </c>
      <c r="N320" s="37" t="s">
        <v>91</v>
      </c>
      <c r="O320" s="36">
        <v>1</v>
      </c>
      <c r="P320" s="36"/>
      <c r="Q320" s="37" t="s">
        <v>71</v>
      </c>
      <c r="R320" s="33" t="s">
        <v>2654</v>
      </c>
      <c r="S320" s="33" t="s">
        <v>2056</v>
      </c>
      <c r="T320" s="48" t="s">
        <v>235</v>
      </c>
      <c r="U320" s="37" t="s">
        <v>236</v>
      </c>
      <c r="V320" s="37" t="s">
        <v>74</v>
      </c>
      <c r="W320" s="37" t="s">
        <v>237</v>
      </c>
      <c r="X320" s="37"/>
      <c r="Y320" s="37"/>
      <c r="Z320" s="37"/>
      <c r="AA320" s="37"/>
      <c r="AB320" s="37"/>
      <c r="AC320" s="25"/>
      <c r="AD320" s="51" t="s">
        <v>77</v>
      </c>
      <c r="AE320" s="37"/>
      <c r="AF320" s="37"/>
      <c r="AG320" s="37"/>
      <c r="AH320" s="37"/>
      <c r="AI320" s="37" t="s">
        <v>238</v>
      </c>
      <c r="AJ320" s="37" t="s">
        <v>76</v>
      </c>
      <c r="AK320" s="37"/>
      <c r="AL320" s="146" t="s">
        <v>239</v>
      </c>
      <c r="AM320" s="83" t="s">
        <v>77</v>
      </c>
      <c r="AN320" s="37" t="s">
        <v>110</v>
      </c>
      <c r="AO320" s="37"/>
      <c r="AP320" s="37" t="s">
        <v>240</v>
      </c>
      <c r="AQ320" s="50" t="s">
        <v>231</v>
      </c>
      <c r="AR320" s="37" t="s">
        <v>85</v>
      </c>
      <c r="AS320" s="20" t="s">
        <v>232</v>
      </c>
      <c r="AT320" s="18" t="s">
        <v>233</v>
      </c>
      <c r="AU320" s="45"/>
      <c r="AV320" s="18"/>
      <c r="AW320" s="17"/>
      <c r="AX320" s="17"/>
      <c r="AY320" s="34">
        <v>7620106</v>
      </c>
      <c r="AZ320" s="33">
        <v>24</v>
      </c>
      <c r="BB320" s="17"/>
      <c r="BC320" s="50" t="s">
        <v>2325</v>
      </c>
      <c r="BD320" s="17"/>
      <c r="BM320" s="46"/>
      <c r="BN320" s="46"/>
      <c r="BO320" s="47"/>
    </row>
    <row r="321" spans="1:67" ht="24.95" customHeight="1" x14ac:dyDescent="0.25">
      <c r="B321" s="36">
        <f>SUBTOTAL(103,$M$2:M321)</f>
        <v>320</v>
      </c>
      <c r="C321" s="37" t="s">
        <v>115</v>
      </c>
      <c r="D321" s="33" t="s">
        <v>79</v>
      </c>
      <c r="E321" s="36" t="s">
        <v>76</v>
      </c>
      <c r="F321" s="33" t="s">
        <v>34</v>
      </c>
      <c r="G321" s="33" t="s">
        <v>2675</v>
      </c>
      <c r="H321" s="33" t="s">
        <v>2677</v>
      </c>
      <c r="I321" s="33" t="s">
        <v>2639</v>
      </c>
      <c r="J321" s="33" t="s">
        <v>2626</v>
      </c>
      <c r="K321" s="25" t="s">
        <v>103</v>
      </c>
      <c r="L321" s="25" t="s">
        <v>241</v>
      </c>
      <c r="M321" s="38" t="s">
        <v>2326</v>
      </c>
      <c r="N321" s="33" t="s">
        <v>91</v>
      </c>
      <c r="O321" s="36">
        <v>1</v>
      </c>
      <c r="P321" s="36">
        <v>1</v>
      </c>
      <c r="Q321" s="36" t="s">
        <v>71</v>
      </c>
      <c r="R321" s="33" t="s">
        <v>2654</v>
      </c>
      <c r="S321" s="33" t="s">
        <v>2056</v>
      </c>
      <c r="T321" s="25" t="s">
        <v>28</v>
      </c>
      <c r="U321" s="33">
        <v>2024</v>
      </c>
      <c r="V321" s="36" t="s">
        <v>169</v>
      </c>
      <c r="W321" s="33"/>
      <c r="X321" s="33"/>
      <c r="Y321" s="33" t="s">
        <v>75</v>
      </c>
      <c r="Z321" s="37" t="s">
        <v>74</v>
      </c>
      <c r="AA321" s="37"/>
      <c r="AB321" s="33"/>
      <c r="AC321" s="25"/>
      <c r="AD321" s="51" t="s">
        <v>242</v>
      </c>
      <c r="AE321" s="33" t="s">
        <v>78</v>
      </c>
      <c r="AF321" s="33" t="s">
        <v>78</v>
      </c>
      <c r="AG321" s="25"/>
      <c r="AH321" s="80"/>
      <c r="AI321" s="37" t="s">
        <v>215</v>
      </c>
      <c r="AJ321" s="33" t="s">
        <v>76</v>
      </c>
      <c r="AK321" s="25"/>
      <c r="AL321" s="78" t="s">
        <v>243</v>
      </c>
      <c r="AM321" s="83" t="s">
        <v>77</v>
      </c>
      <c r="AN321" s="37" t="s">
        <v>150</v>
      </c>
      <c r="AO321" s="37"/>
      <c r="AP321" s="33" t="s">
        <v>244</v>
      </c>
      <c r="AQ321" s="43" t="s">
        <v>231</v>
      </c>
      <c r="AR321" s="33" t="s">
        <v>85</v>
      </c>
      <c r="AS321" s="20"/>
      <c r="AT321" s="18" t="s">
        <v>245</v>
      </c>
      <c r="AU321" s="45"/>
      <c r="AV321" s="18"/>
      <c r="AW321" s="17"/>
      <c r="AX321" s="17"/>
      <c r="AY321" s="34">
        <v>7620106</v>
      </c>
      <c r="AZ321" s="33">
        <v>25</v>
      </c>
      <c r="BB321" s="17"/>
      <c r="BC321" s="43" t="s">
        <v>2326</v>
      </c>
      <c r="BD321" s="17"/>
      <c r="BM321" s="46"/>
      <c r="BN321" s="46"/>
      <c r="BO321" s="47"/>
    </row>
    <row r="322" spans="1:67" ht="24.95" customHeight="1" x14ac:dyDescent="0.25">
      <c r="B322" s="36">
        <f>SUBTOTAL(103,$M$2:M322)</f>
        <v>321</v>
      </c>
      <c r="C322" s="37" t="s">
        <v>124</v>
      </c>
      <c r="D322" s="33" t="s">
        <v>79</v>
      </c>
      <c r="E322" s="36" t="s">
        <v>76</v>
      </c>
      <c r="F322" s="33" t="s">
        <v>34</v>
      </c>
      <c r="G322" s="33" t="s">
        <v>2675</v>
      </c>
      <c r="H322" s="33" t="s">
        <v>2677</v>
      </c>
      <c r="I322" s="33" t="s">
        <v>2639</v>
      </c>
      <c r="J322" s="33" t="s">
        <v>2627</v>
      </c>
      <c r="K322" s="25" t="s">
        <v>103</v>
      </c>
      <c r="L322" s="25" t="s">
        <v>246</v>
      </c>
      <c r="M322" s="38" t="s">
        <v>2327</v>
      </c>
      <c r="N322" s="33" t="s">
        <v>91</v>
      </c>
      <c r="O322" s="36">
        <v>1</v>
      </c>
      <c r="P322" s="36">
        <v>1</v>
      </c>
      <c r="Q322" s="33" t="s">
        <v>71</v>
      </c>
      <c r="R322" s="33" t="s">
        <v>2654</v>
      </c>
      <c r="S322" s="33" t="s">
        <v>2056</v>
      </c>
      <c r="T322" s="25" t="s">
        <v>28</v>
      </c>
      <c r="U322" s="33">
        <v>2024</v>
      </c>
      <c r="V322" s="33" t="s">
        <v>74</v>
      </c>
      <c r="W322" s="33" t="s">
        <v>247</v>
      </c>
      <c r="X322" s="33"/>
      <c r="Y322" s="33" t="s">
        <v>248</v>
      </c>
      <c r="Z322" s="33" t="s">
        <v>157</v>
      </c>
      <c r="AA322" s="33"/>
      <c r="AB322" s="33"/>
      <c r="AC322" s="25"/>
      <c r="AD322" s="51" t="s">
        <v>77</v>
      </c>
      <c r="AE322" s="25"/>
      <c r="AF322" s="25" t="s">
        <v>78</v>
      </c>
      <c r="AG322" s="25" t="s">
        <v>78</v>
      </c>
      <c r="AH322" s="25"/>
      <c r="AI322" s="33" t="s">
        <v>149</v>
      </c>
      <c r="AJ322" s="33" t="s">
        <v>76</v>
      </c>
      <c r="AK322" s="25"/>
      <c r="AL322" s="78" t="s">
        <v>249</v>
      </c>
      <c r="AM322" s="83" t="s">
        <v>77</v>
      </c>
      <c r="AN322" s="37" t="s">
        <v>250</v>
      </c>
      <c r="AO322" s="37"/>
      <c r="AP322" s="37" t="s">
        <v>251</v>
      </c>
      <c r="AQ322" s="43" t="s">
        <v>252</v>
      </c>
      <c r="AR322" s="33" t="s">
        <v>85</v>
      </c>
      <c r="AS322" s="20" t="s">
        <v>253</v>
      </c>
      <c r="AT322" s="18" t="s">
        <v>254</v>
      </c>
      <c r="AU322" s="45"/>
      <c r="AV322" s="18"/>
      <c r="AW322" s="17"/>
      <c r="AX322" s="17"/>
      <c r="AY322" s="34">
        <v>7620106</v>
      </c>
      <c r="AZ322" s="33">
        <v>26</v>
      </c>
      <c r="BB322" s="17"/>
      <c r="BC322" s="43" t="s">
        <v>2327</v>
      </c>
      <c r="BD322" s="17"/>
      <c r="BM322" s="46"/>
      <c r="BN322" s="46"/>
      <c r="BO322" s="47"/>
    </row>
    <row r="323" spans="1:67" ht="24.95" customHeight="1" x14ac:dyDescent="0.25">
      <c r="B323" s="36">
        <f>SUBTOTAL(103,$M$2:M323)</f>
        <v>322</v>
      </c>
      <c r="C323" s="37" t="s">
        <v>133</v>
      </c>
      <c r="D323" s="33" t="s">
        <v>79</v>
      </c>
      <c r="E323" s="36" t="s">
        <v>76</v>
      </c>
      <c r="F323" s="37" t="s">
        <v>34</v>
      </c>
      <c r="G323" s="33" t="s">
        <v>2675</v>
      </c>
      <c r="H323" s="33" t="s">
        <v>2677</v>
      </c>
      <c r="I323" s="33" t="s">
        <v>2639</v>
      </c>
      <c r="J323" s="33" t="s">
        <v>2628</v>
      </c>
      <c r="K323" s="48" t="s">
        <v>255</v>
      </c>
      <c r="L323" s="49" t="s">
        <v>256</v>
      </c>
      <c r="M323" s="50" t="s">
        <v>2328</v>
      </c>
      <c r="N323" s="37" t="s">
        <v>70</v>
      </c>
      <c r="O323" s="33">
        <v>0</v>
      </c>
      <c r="P323" s="33"/>
      <c r="Q323" s="37" t="s">
        <v>71</v>
      </c>
      <c r="R323" s="33" t="s">
        <v>2654</v>
      </c>
      <c r="S323" s="33" t="s">
        <v>2056</v>
      </c>
      <c r="T323" s="48" t="s">
        <v>27</v>
      </c>
      <c r="U323" s="37" t="s">
        <v>236</v>
      </c>
      <c r="V323" s="37" t="s">
        <v>257</v>
      </c>
      <c r="W323" s="37" t="s">
        <v>258</v>
      </c>
      <c r="X323" s="37"/>
      <c r="Y323" s="37"/>
      <c r="Z323" s="37"/>
      <c r="AA323" s="37"/>
      <c r="AB323" s="37"/>
      <c r="AC323" s="25"/>
      <c r="AD323" s="51" t="s">
        <v>77</v>
      </c>
      <c r="AE323" s="37"/>
      <c r="AF323" s="37"/>
      <c r="AG323" s="37"/>
      <c r="AH323" s="37"/>
      <c r="AI323" s="37" t="s">
        <v>149</v>
      </c>
      <c r="AJ323" s="37" t="s">
        <v>76</v>
      </c>
      <c r="AK323" s="37"/>
      <c r="AL323" s="146" t="s">
        <v>259</v>
      </c>
      <c r="AM323" s="83" t="s">
        <v>77</v>
      </c>
      <c r="AN323" s="37" t="s">
        <v>260</v>
      </c>
      <c r="AO323" s="37"/>
      <c r="AP323" s="37" t="s">
        <v>261</v>
      </c>
      <c r="AQ323" s="50" t="s">
        <v>231</v>
      </c>
      <c r="AR323" s="37" t="s">
        <v>85</v>
      </c>
      <c r="AS323" s="20" t="s">
        <v>232</v>
      </c>
      <c r="AT323" s="18" t="s">
        <v>233</v>
      </c>
      <c r="AU323" s="45"/>
      <c r="AV323" s="18"/>
      <c r="AW323" s="17"/>
      <c r="AX323" s="17"/>
      <c r="AY323" s="34">
        <v>7620106</v>
      </c>
      <c r="AZ323" s="33">
        <v>27</v>
      </c>
      <c r="BB323" s="17"/>
      <c r="BC323" s="50" t="s">
        <v>2328</v>
      </c>
      <c r="BD323" s="17"/>
      <c r="BM323" s="46"/>
      <c r="BN323" s="46"/>
      <c r="BO323" s="47"/>
    </row>
    <row r="324" spans="1:67" ht="24.95" customHeight="1" x14ac:dyDescent="0.25">
      <c r="B324" s="36">
        <f>SUBTOTAL(103,$M$2:M324)</f>
        <v>323</v>
      </c>
      <c r="C324" s="37" t="s">
        <v>146</v>
      </c>
      <c r="D324" s="33" t="s">
        <v>79</v>
      </c>
      <c r="E324" s="36" t="s">
        <v>76</v>
      </c>
      <c r="F324" s="37" t="s">
        <v>34</v>
      </c>
      <c r="G324" s="33" t="s">
        <v>2675</v>
      </c>
      <c r="H324" s="33" t="s">
        <v>2677</v>
      </c>
      <c r="I324" s="33" t="s">
        <v>2639</v>
      </c>
      <c r="J324" s="33" t="s">
        <v>2629</v>
      </c>
      <c r="K324" s="48" t="s">
        <v>234</v>
      </c>
      <c r="L324" s="49" t="s">
        <v>262</v>
      </c>
      <c r="M324" s="50" t="s">
        <v>2129</v>
      </c>
      <c r="N324" s="37" t="s">
        <v>91</v>
      </c>
      <c r="O324" s="36">
        <v>1</v>
      </c>
      <c r="P324" s="36"/>
      <c r="Q324" s="37" t="s">
        <v>71</v>
      </c>
      <c r="R324" s="33" t="s">
        <v>2654</v>
      </c>
      <c r="S324" s="33" t="s">
        <v>2056</v>
      </c>
      <c r="T324" s="48" t="s">
        <v>28</v>
      </c>
      <c r="U324" s="37" t="s">
        <v>263</v>
      </c>
      <c r="V324" s="37" t="s">
        <v>74</v>
      </c>
      <c r="W324" s="37" t="s">
        <v>264</v>
      </c>
      <c r="X324" s="37" t="s">
        <v>265</v>
      </c>
      <c r="Y324" s="37"/>
      <c r="Z324" s="37"/>
      <c r="AA324" s="37"/>
      <c r="AB324" s="37"/>
      <c r="AC324" s="25"/>
      <c r="AD324" s="51" t="s">
        <v>77</v>
      </c>
      <c r="AE324" s="37"/>
      <c r="AF324" s="37"/>
      <c r="AG324" s="37"/>
      <c r="AH324" s="37"/>
      <c r="AI324" s="37" t="s">
        <v>149</v>
      </c>
      <c r="AJ324" s="37" t="s">
        <v>76</v>
      </c>
      <c r="AK324" s="37"/>
      <c r="AL324" s="146" t="s">
        <v>266</v>
      </c>
      <c r="AM324" s="36" t="s">
        <v>77</v>
      </c>
      <c r="AN324" s="37" t="s">
        <v>267</v>
      </c>
      <c r="AO324" s="37"/>
      <c r="AP324" s="37" t="s">
        <v>268</v>
      </c>
      <c r="AQ324" s="50" t="s">
        <v>269</v>
      </c>
      <c r="AR324" s="41" t="s">
        <v>85</v>
      </c>
      <c r="AS324" s="42" t="s">
        <v>270</v>
      </c>
      <c r="AT324" s="25" t="s">
        <v>233</v>
      </c>
      <c r="AU324" s="45"/>
      <c r="AV324" s="18"/>
      <c r="AW324" s="17"/>
      <c r="AX324" s="17"/>
      <c r="AY324" s="34">
        <v>7620106</v>
      </c>
      <c r="AZ324" s="33">
        <v>28</v>
      </c>
      <c r="BB324" s="17"/>
      <c r="BC324" s="50" t="s">
        <v>2129</v>
      </c>
      <c r="BD324" s="17"/>
      <c r="BM324" s="46"/>
      <c r="BN324" s="46"/>
      <c r="BO324" s="47"/>
    </row>
    <row r="325" spans="1:67" ht="24.95" customHeight="1" x14ac:dyDescent="0.25">
      <c r="B325" s="36">
        <f>SUBTOTAL(103,$M$2:M325)</f>
        <v>324</v>
      </c>
      <c r="C325" s="37" t="s">
        <v>154</v>
      </c>
      <c r="D325" s="33" t="s">
        <v>79</v>
      </c>
      <c r="E325" s="33" t="s">
        <v>76</v>
      </c>
      <c r="F325" s="33" t="s">
        <v>34</v>
      </c>
      <c r="G325" s="33" t="s">
        <v>2675</v>
      </c>
      <c r="H325" s="33" t="s">
        <v>2677</v>
      </c>
      <c r="I325" s="33" t="s">
        <v>2639</v>
      </c>
      <c r="J325" s="33" t="s">
        <v>2630</v>
      </c>
      <c r="K325" s="25" t="s">
        <v>271</v>
      </c>
      <c r="L325" s="25" t="s">
        <v>272</v>
      </c>
      <c r="M325" s="38" t="s">
        <v>2329</v>
      </c>
      <c r="N325" s="33" t="s">
        <v>70</v>
      </c>
      <c r="O325" s="33">
        <v>0</v>
      </c>
      <c r="P325" s="33"/>
      <c r="Q325" s="33" t="s">
        <v>71</v>
      </c>
      <c r="R325" s="33" t="s">
        <v>2654</v>
      </c>
      <c r="S325" s="33" t="s">
        <v>2056</v>
      </c>
      <c r="T325" s="42" t="s">
        <v>273</v>
      </c>
      <c r="U325" s="33">
        <v>2010</v>
      </c>
      <c r="V325" s="33" t="s">
        <v>257</v>
      </c>
      <c r="W325" s="33" t="s">
        <v>274</v>
      </c>
      <c r="X325" s="33"/>
      <c r="Y325" s="33"/>
      <c r="Z325" s="33"/>
      <c r="AA325" s="33"/>
      <c r="AB325" s="33"/>
      <c r="AC325" s="25"/>
      <c r="AD325" s="56" t="s">
        <v>77</v>
      </c>
      <c r="AE325" s="25"/>
      <c r="AF325" s="25"/>
      <c r="AG325" s="25"/>
      <c r="AH325" s="25"/>
      <c r="AI325" s="112" t="s">
        <v>275</v>
      </c>
      <c r="AJ325" s="40" t="s">
        <v>76</v>
      </c>
      <c r="AK325" s="25"/>
      <c r="AL325" s="78" t="s">
        <v>276</v>
      </c>
      <c r="AM325" s="83" t="s">
        <v>77</v>
      </c>
      <c r="AN325" s="33" t="s">
        <v>277</v>
      </c>
      <c r="AO325" s="25"/>
      <c r="AP325" s="33" t="s">
        <v>278</v>
      </c>
      <c r="AQ325" s="43" t="s">
        <v>279</v>
      </c>
      <c r="AR325" s="33" t="s">
        <v>85</v>
      </c>
      <c r="AS325" s="20" t="s">
        <v>144</v>
      </c>
      <c r="AT325" s="20" t="s">
        <v>280</v>
      </c>
      <c r="AU325" s="63"/>
      <c r="AV325" s="18"/>
      <c r="AX325" s="17"/>
      <c r="AY325" s="34">
        <v>7620106</v>
      </c>
      <c r="AZ325" s="33">
        <v>29</v>
      </c>
      <c r="BC325" s="43" t="s">
        <v>2329</v>
      </c>
    </row>
    <row r="326" spans="1:67" ht="24.95" customHeight="1" x14ac:dyDescent="0.25">
      <c r="B326" s="36">
        <f>SUBTOTAL(103,$M$2:M326)</f>
        <v>325</v>
      </c>
      <c r="C326" s="37" t="s">
        <v>165</v>
      </c>
      <c r="D326" s="33" t="s">
        <v>79</v>
      </c>
      <c r="E326" s="33" t="s">
        <v>76</v>
      </c>
      <c r="F326" s="33" t="s">
        <v>34</v>
      </c>
      <c r="G326" s="33" t="s">
        <v>2675</v>
      </c>
      <c r="H326" s="33" t="s">
        <v>2677</v>
      </c>
      <c r="I326" s="33" t="s">
        <v>2639</v>
      </c>
      <c r="J326" s="33" t="s">
        <v>2631</v>
      </c>
      <c r="K326" s="25" t="s">
        <v>281</v>
      </c>
      <c r="L326" s="25" t="s">
        <v>180</v>
      </c>
      <c r="M326" s="38" t="s">
        <v>2330</v>
      </c>
      <c r="N326" s="33" t="s">
        <v>70</v>
      </c>
      <c r="O326" s="33">
        <v>0</v>
      </c>
      <c r="P326" s="33"/>
      <c r="Q326" s="33" t="s">
        <v>71</v>
      </c>
      <c r="R326" s="33" t="s">
        <v>2654</v>
      </c>
      <c r="S326" s="33" t="s">
        <v>2056</v>
      </c>
      <c r="T326" s="25" t="s">
        <v>18</v>
      </c>
      <c r="U326" s="33">
        <v>2011</v>
      </c>
      <c r="V326" s="36" t="s">
        <v>257</v>
      </c>
      <c r="W326" s="33" t="s">
        <v>282</v>
      </c>
      <c r="X326" s="33"/>
      <c r="Y326" s="33"/>
      <c r="Z326" s="33"/>
      <c r="AA326" s="37"/>
      <c r="AB326" s="33"/>
      <c r="AC326" s="25"/>
      <c r="AD326" s="51" t="s">
        <v>77</v>
      </c>
      <c r="AE326" s="25" t="s">
        <v>78</v>
      </c>
      <c r="AF326" s="25"/>
      <c r="AG326" s="25"/>
      <c r="AH326" s="80"/>
      <c r="AI326" s="37" t="s">
        <v>283</v>
      </c>
      <c r="AJ326" s="33" t="s">
        <v>76</v>
      </c>
      <c r="AK326" s="42" t="s">
        <v>284</v>
      </c>
      <c r="AL326" s="78" t="s">
        <v>285</v>
      </c>
      <c r="AM326" s="83" t="s">
        <v>77</v>
      </c>
      <c r="AN326" s="33" t="s">
        <v>286</v>
      </c>
      <c r="AO326" s="25"/>
      <c r="AP326" s="33" t="s">
        <v>287</v>
      </c>
      <c r="AQ326" s="43" t="s">
        <v>231</v>
      </c>
      <c r="AR326" s="33">
        <v>200</v>
      </c>
      <c r="AS326" s="18" t="s">
        <v>55</v>
      </c>
      <c r="AT326" s="53" t="s">
        <v>288</v>
      </c>
      <c r="AU326" s="45"/>
      <c r="AV326" s="18"/>
      <c r="AW326" s="17"/>
      <c r="AX326" s="17"/>
      <c r="AY326" s="34">
        <v>7620106</v>
      </c>
      <c r="AZ326" s="33">
        <v>30</v>
      </c>
      <c r="BB326" s="17"/>
      <c r="BC326" s="43" t="s">
        <v>2330</v>
      </c>
      <c r="BD326" s="17"/>
      <c r="BM326" s="46"/>
      <c r="BN326" s="46"/>
      <c r="BO326" s="47"/>
    </row>
    <row r="327" spans="1:67" ht="24.95" customHeight="1" x14ac:dyDescent="0.25">
      <c r="B327" s="36">
        <f>SUBTOTAL(103,$M$2:M327)</f>
        <v>326</v>
      </c>
      <c r="C327" s="37" t="s">
        <v>178</v>
      </c>
      <c r="D327" s="33" t="s">
        <v>79</v>
      </c>
      <c r="E327" s="36" t="s">
        <v>76</v>
      </c>
      <c r="F327" s="37" t="s">
        <v>34</v>
      </c>
      <c r="G327" s="33" t="s">
        <v>2675</v>
      </c>
      <c r="H327" s="33" t="s">
        <v>2677</v>
      </c>
      <c r="I327" s="33" t="s">
        <v>2639</v>
      </c>
      <c r="J327" s="33" t="s">
        <v>2632</v>
      </c>
      <c r="K327" s="48" t="s">
        <v>289</v>
      </c>
      <c r="L327" s="49" t="s">
        <v>290</v>
      </c>
      <c r="M327" s="50" t="s">
        <v>2331</v>
      </c>
      <c r="N327" s="37" t="s">
        <v>91</v>
      </c>
      <c r="O327" s="36">
        <v>1</v>
      </c>
      <c r="P327" s="36"/>
      <c r="Q327" s="37" t="s">
        <v>71</v>
      </c>
      <c r="R327" s="33" t="s">
        <v>2654</v>
      </c>
      <c r="S327" s="33" t="s">
        <v>2056</v>
      </c>
      <c r="T327" s="48" t="s">
        <v>29</v>
      </c>
      <c r="U327" s="37" t="s">
        <v>291</v>
      </c>
      <c r="V327" s="37" t="s">
        <v>74</v>
      </c>
      <c r="W327" s="37" t="s">
        <v>292</v>
      </c>
      <c r="X327" s="37" t="s">
        <v>293</v>
      </c>
      <c r="Y327" s="37"/>
      <c r="Z327" s="37"/>
      <c r="AA327" s="37"/>
      <c r="AB327" s="37"/>
      <c r="AC327" s="25"/>
      <c r="AD327" s="51" t="s">
        <v>77</v>
      </c>
      <c r="AE327" s="37"/>
      <c r="AF327" s="37"/>
      <c r="AG327" s="37"/>
      <c r="AH327" s="37"/>
      <c r="AI327" s="37" t="s">
        <v>149</v>
      </c>
      <c r="AJ327" s="37" t="s">
        <v>76</v>
      </c>
      <c r="AK327" s="37"/>
      <c r="AL327" s="146" t="s">
        <v>294</v>
      </c>
      <c r="AM327" s="36" t="s">
        <v>77</v>
      </c>
      <c r="AN327" s="37" t="s">
        <v>267</v>
      </c>
      <c r="AO327" s="37"/>
      <c r="AP327" s="37" t="s">
        <v>295</v>
      </c>
      <c r="AQ327" s="50" t="s">
        <v>231</v>
      </c>
      <c r="AR327" s="37" t="s">
        <v>85</v>
      </c>
      <c r="AS327" s="20" t="s">
        <v>270</v>
      </c>
      <c r="AT327" s="25" t="s">
        <v>233</v>
      </c>
      <c r="AU327" s="45"/>
      <c r="AV327" s="18"/>
      <c r="AW327" s="17"/>
      <c r="AX327" s="17"/>
      <c r="AY327" s="34">
        <v>7620106</v>
      </c>
      <c r="AZ327" s="33">
        <v>31</v>
      </c>
      <c r="BB327" s="17"/>
      <c r="BC327" s="50" t="s">
        <v>2331</v>
      </c>
      <c r="BD327" s="17"/>
      <c r="BM327" s="46"/>
      <c r="BN327" s="46"/>
      <c r="BO327" s="47"/>
    </row>
    <row r="328" spans="1:67" ht="24.95" customHeight="1" x14ac:dyDescent="0.25">
      <c r="B328" s="36">
        <f>SUBTOTAL(103,$M$2:M328)</f>
        <v>327</v>
      </c>
      <c r="C328" s="37" t="s">
        <v>189</v>
      </c>
      <c r="D328" s="33" t="s">
        <v>79</v>
      </c>
      <c r="E328" s="33" t="s">
        <v>76</v>
      </c>
      <c r="F328" s="33" t="s">
        <v>34</v>
      </c>
      <c r="G328" s="33" t="s">
        <v>2675</v>
      </c>
      <c r="H328" s="33" t="s">
        <v>2677</v>
      </c>
      <c r="I328" s="33" t="s">
        <v>2639</v>
      </c>
      <c r="J328" s="33" t="s">
        <v>2633</v>
      </c>
      <c r="K328" s="25" t="s">
        <v>296</v>
      </c>
      <c r="L328" s="25" t="s">
        <v>297</v>
      </c>
      <c r="M328" s="38" t="s">
        <v>2332</v>
      </c>
      <c r="N328" s="33" t="s">
        <v>70</v>
      </c>
      <c r="O328" s="33">
        <v>0</v>
      </c>
      <c r="P328" s="33">
        <v>1</v>
      </c>
      <c r="Q328" s="33" t="s">
        <v>71</v>
      </c>
      <c r="R328" s="33" t="s">
        <v>2654</v>
      </c>
      <c r="S328" s="33" t="s">
        <v>2056</v>
      </c>
      <c r="T328" s="25" t="s">
        <v>28</v>
      </c>
      <c r="U328" s="33">
        <v>2024</v>
      </c>
      <c r="V328" s="33" t="s">
        <v>74</v>
      </c>
      <c r="W328" s="33" t="s">
        <v>298</v>
      </c>
      <c r="X328" s="33"/>
      <c r="Y328" s="33" t="s">
        <v>160</v>
      </c>
      <c r="Z328" s="33" t="s">
        <v>74</v>
      </c>
      <c r="AA328" s="37"/>
      <c r="AB328" s="33"/>
      <c r="AC328" s="25"/>
      <c r="AD328" s="51" t="s">
        <v>299</v>
      </c>
      <c r="AE328" s="25"/>
      <c r="AF328" s="25"/>
      <c r="AG328" s="25"/>
      <c r="AH328" s="80"/>
      <c r="AI328" s="33"/>
      <c r="AJ328" s="33"/>
      <c r="AK328" s="25"/>
      <c r="AL328" s="35"/>
      <c r="AM328" s="36"/>
      <c r="AN328" s="37"/>
      <c r="AO328" s="37"/>
      <c r="AP328" s="33"/>
      <c r="AQ328" s="43" t="s">
        <v>2681</v>
      </c>
      <c r="AR328" s="33" t="s">
        <v>85</v>
      </c>
      <c r="AS328" s="20" t="s">
        <v>300</v>
      </c>
      <c r="AT328" s="25" t="s">
        <v>145</v>
      </c>
      <c r="AU328" s="45"/>
      <c r="AV328" s="18"/>
      <c r="AW328" s="17"/>
      <c r="AX328" s="17"/>
      <c r="AY328" s="34">
        <v>7620106</v>
      </c>
      <c r="AZ328" s="33">
        <v>32</v>
      </c>
      <c r="BB328" s="17"/>
      <c r="BC328" s="43" t="s">
        <v>2332</v>
      </c>
      <c r="BD328" s="17"/>
      <c r="BM328" s="46"/>
      <c r="BN328" s="46"/>
      <c r="BO328" s="47"/>
    </row>
    <row r="329" spans="1:67" ht="24.95" customHeight="1" x14ac:dyDescent="0.25">
      <c r="B329" s="36">
        <f>SUBTOTAL(103,$M$2:M329)</f>
        <v>328</v>
      </c>
      <c r="C329" s="37" t="s">
        <v>199</v>
      </c>
      <c r="D329" s="33" t="s">
        <v>79</v>
      </c>
      <c r="E329" s="36" t="s">
        <v>76</v>
      </c>
      <c r="F329" s="37" t="s">
        <v>32</v>
      </c>
      <c r="G329" s="33" t="s">
        <v>2675</v>
      </c>
      <c r="H329" s="33" t="s">
        <v>2677</v>
      </c>
      <c r="I329" s="33" t="s">
        <v>2639</v>
      </c>
      <c r="J329" s="37" t="s">
        <v>2634</v>
      </c>
      <c r="K329" s="48" t="s">
        <v>301</v>
      </c>
      <c r="L329" s="49" t="s">
        <v>302</v>
      </c>
      <c r="M329" s="50" t="s">
        <v>2333</v>
      </c>
      <c r="N329" s="37" t="s">
        <v>70</v>
      </c>
      <c r="O329" s="33">
        <v>0</v>
      </c>
      <c r="P329" s="33"/>
      <c r="Q329" s="37" t="s">
        <v>71</v>
      </c>
      <c r="R329" s="33" t="s">
        <v>2654</v>
      </c>
      <c r="S329" s="33" t="s">
        <v>2056</v>
      </c>
      <c r="T329" s="48" t="s">
        <v>303</v>
      </c>
      <c r="U329" s="37" t="s">
        <v>105</v>
      </c>
      <c r="V329" s="37" t="s">
        <v>74</v>
      </c>
      <c r="W329" s="37" t="s">
        <v>304</v>
      </c>
      <c r="X329" s="37"/>
      <c r="Y329" s="37"/>
      <c r="Z329" s="37"/>
      <c r="AA329" s="37"/>
      <c r="AB329" s="37"/>
      <c r="AC329" s="25"/>
      <c r="AD329" s="51" t="s">
        <v>77</v>
      </c>
      <c r="AE329" s="37"/>
      <c r="AF329" s="37"/>
      <c r="AG329" s="37"/>
      <c r="AH329" s="37"/>
      <c r="AI329" s="37" t="s">
        <v>305</v>
      </c>
      <c r="AJ329" s="37" t="s">
        <v>76</v>
      </c>
      <c r="AK329" s="37"/>
      <c r="AL329" s="146" t="s">
        <v>306</v>
      </c>
      <c r="AM329" s="36" t="s">
        <v>77</v>
      </c>
      <c r="AN329" s="37" t="s">
        <v>307</v>
      </c>
      <c r="AO329" s="37"/>
      <c r="AP329" s="37" t="s">
        <v>308</v>
      </c>
      <c r="AQ329" s="57" t="s">
        <v>309</v>
      </c>
      <c r="AR329" s="37" t="s">
        <v>85</v>
      </c>
      <c r="AS329" s="20" t="s">
        <v>232</v>
      </c>
      <c r="AT329" s="25" t="s">
        <v>233</v>
      </c>
      <c r="AU329" s="45"/>
      <c r="AV329" s="18"/>
      <c r="AW329" s="17"/>
      <c r="AX329" s="17"/>
      <c r="AY329" s="34">
        <v>7620106</v>
      </c>
      <c r="AZ329" s="33">
        <v>33</v>
      </c>
      <c r="BB329" s="17"/>
      <c r="BC329" s="50" t="s">
        <v>2333</v>
      </c>
      <c r="BD329" s="17"/>
      <c r="BM329" s="46"/>
      <c r="BN329" s="46"/>
      <c r="BO329" s="47"/>
    </row>
    <row r="330" spans="1:67" ht="24.95" customHeight="1" x14ac:dyDescent="0.25">
      <c r="B330" s="36">
        <f>SUBTOTAL(103,$M$2:M330)</f>
        <v>329</v>
      </c>
      <c r="C330" s="37" t="s">
        <v>310</v>
      </c>
      <c r="D330" s="33" t="s">
        <v>79</v>
      </c>
      <c r="E330" s="36" t="s">
        <v>76</v>
      </c>
      <c r="F330" s="33" t="s">
        <v>32</v>
      </c>
      <c r="G330" s="33" t="s">
        <v>2675</v>
      </c>
      <c r="H330" s="33" t="s">
        <v>2677</v>
      </c>
      <c r="I330" s="33" t="s">
        <v>2639</v>
      </c>
      <c r="J330" s="37" t="s">
        <v>2635</v>
      </c>
      <c r="K330" s="25" t="s">
        <v>311</v>
      </c>
      <c r="L330" s="25" t="s">
        <v>312</v>
      </c>
      <c r="M330" s="38" t="s">
        <v>2334</v>
      </c>
      <c r="N330" s="33" t="s">
        <v>70</v>
      </c>
      <c r="O330" s="33">
        <v>0</v>
      </c>
      <c r="P330" s="33">
        <v>1</v>
      </c>
      <c r="Q330" s="36" t="s">
        <v>71</v>
      </c>
      <c r="R330" s="33" t="s">
        <v>2654</v>
      </c>
      <c r="S330" s="33" t="s">
        <v>2056</v>
      </c>
      <c r="T330" s="25" t="s">
        <v>26</v>
      </c>
      <c r="U330" s="33">
        <v>2024</v>
      </c>
      <c r="V330" s="33" t="s">
        <v>74</v>
      </c>
      <c r="W330" s="33">
        <v>7.8</v>
      </c>
      <c r="X330" s="33"/>
      <c r="Y330" s="33"/>
      <c r="Z330" s="33"/>
      <c r="AA330" s="37"/>
      <c r="AB330" s="33"/>
      <c r="AC330" s="25"/>
      <c r="AD330" s="51" t="s">
        <v>77</v>
      </c>
      <c r="AE330" s="33"/>
      <c r="AF330" s="33"/>
      <c r="AG330" s="25"/>
      <c r="AH330" s="80"/>
      <c r="AI330" s="37" t="s">
        <v>313</v>
      </c>
      <c r="AJ330" s="33" t="s">
        <v>76</v>
      </c>
      <c r="AK330" s="25"/>
      <c r="AL330" s="78" t="s">
        <v>314</v>
      </c>
      <c r="AM330" s="36" t="s">
        <v>77</v>
      </c>
      <c r="AN330" s="37" t="s">
        <v>286</v>
      </c>
      <c r="AO330" s="37"/>
      <c r="AP330" s="33" t="s">
        <v>315</v>
      </c>
      <c r="AQ330" s="57" t="s">
        <v>2680</v>
      </c>
      <c r="AR330" s="33" t="s">
        <v>85</v>
      </c>
      <c r="AS330" s="20" t="s">
        <v>316</v>
      </c>
      <c r="AT330" s="25" t="s">
        <v>254</v>
      </c>
      <c r="AU330" s="45"/>
      <c r="AV330" s="18"/>
      <c r="AW330" s="17"/>
      <c r="AX330" s="17"/>
      <c r="AY330" s="34">
        <v>7620106</v>
      </c>
      <c r="AZ330" s="33">
        <v>34</v>
      </c>
      <c r="BB330" s="17"/>
      <c r="BC330" s="43" t="s">
        <v>2334</v>
      </c>
      <c r="BD330" s="17"/>
      <c r="BM330" s="46"/>
      <c r="BN330" s="46"/>
      <c r="BO330" s="47"/>
    </row>
    <row r="331" spans="1:67" ht="24.95" customHeight="1" x14ac:dyDescent="0.25">
      <c r="B331" s="36">
        <f>SUBTOTAL(103,$M$2:M331)</f>
        <v>330</v>
      </c>
      <c r="C331" s="37" t="s">
        <v>317</v>
      </c>
      <c r="D331" s="33" t="s">
        <v>79</v>
      </c>
      <c r="E331" s="33" t="s">
        <v>76</v>
      </c>
      <c r="F331" s="33" t="s">
        <v>32</v>
      </c>
      <c r="G331" s="33" t="s">
        <v>2675</v>
      </c>
      <c r="H331" s="33" t="s">
        <v>2677</v>
      </c>
      <c r="I331" s="33" t="s">
        <v>2639</v>
      </c>
      <c r="J331" s="37" t="s">
        <v>2636</v>
      </c>
      <c r="K331" s="25" t="s">
        <v>318</v>
      </c>
      <c r="L331" s="25" t="s">
        <v>1365</v>
      </c>
      <c r="M331" s="38" t="s">
        <v>2335</v>
      </c>
      <c r="N331" s="33" t="s">
        <v>91</v>
      </c>
      <c r="O331" s="36">
        <v>1</v>
      </c>
      <c r="P331" s="36">
        <v>1</v>
      </c>
      <c r="Q331" s="33" t="s">
        <v>359</v>
      </c>
      <c r="R331" s="33" t="s">
        <v>2654</v>
      </c>
      <c r="S331" s="33" t="s">
        <v>2056</v>
      </c>
      <c r="T331" s="25" t="s">
        <v>303</v>
      </c>
      <c r="U331" s="33">
        <v>2024</v>
      </c>
      <c r="V331" s="33" t="s">
        <v>169</v>
      </c>
      <c r="W331" s="33" t="s">
        <v>320</v>
      </c>
      <c r="X331" s="33"/>
      <c r="Y331" s="33" t="s">
        <v>321</v>
      </c>
      <c r="Z331" s="33" t="s">
        <v>74</v>
      </c>
      <c r="AA331" s="33" t="s">
        <v>2033</v>
      </c>
      <c r="AB331" s="33">
        <v>20.3</v>
      </c>
      <c r="AC331" s="25"/>
      <c r="AD331" s="51" t="s">
        <v>77</v>
      </c>
      <c r="AE331" s="25" t="s">
        <v>78</v>
      </c>
      <c r="AF331" s="25" t="s">
        <v>78</v>
      </c>
      <c r="AG331" s="25"/>
      <c r="AH331" s="25"/>
      <c r="AI331" s="33" t="s">
        <v>305</v>
      </c>
      <c r="AJ331" s="33" t="s">
        <v>76</v>
      </c>
      <c r="AK331" s="25"/>
      <c r="AL331" s="78" t="s">
        <v>322</v>
      </c>
      <c r="AM331" s="36" t="s">
        <v>77</v>
      </c>
      <c r="AN331" s="33" t="s">
        <v>307</v>
      </c>
      <c r="AO331" s="25"/>
      <c r="AP331" s="33" t="s">
        <v>323</v>
      </c>
      <c r="AQ331" s="57" t="s">
        <v>231</v>
      </c>
      <c r="AR331" s="33" t="s">
        <v>85</v>
      </c>
      <c r="AS331" s="20" t="s">
        <v>324</v>
      </c>
      <c r="AT331" s="86" t="s">
        <v>325</v>
      </c>
      <c r="AU331" s="18"/>
      <c r="AV331" s="18"/>
      <c r="AX331" s="17"/>
      <c r="AY331" s="34">
        <v>7620106</v>
      </c>
      <c r="AZ331" s="33">
        <v>35</v>
      </c>
      <c r="BC331" s="43" t="s">
        <v>2335</v>
      </c>
    </row>
    <row r="332" spans="1:67" ht="24.95" customHeight="1" x14ac:dyDescent="0.25">
      <c r="B332" s="36">
        <f>SUBTOTAL(103,$M$2:M332)</f>
        <v>331</v>
      </c>
      <c r="C332" s="37" t="s">
        <v>326</v>
      </c>
      <c r="D332" s="33" t="s">
        <v>79</v>
      </c>
      <c r="E332" s="37" t="s">
        <v>76</v>
      </c>
      <c r="F332" s="37" t="s">
        <v>32</v>
      </c>
      <c r="G332" s="33" t="s">
        <v>2675</v>
      </c>
      <c r="H332" s="33" t="s">
        <v>2677</v>
      </c>
      <c r="I332" s="33" t="s">
        <v>2639</v>
      </c>
      <c r="J332" s="37" t="s">
        <v>2637</v>
      </c>
      <c r="K332" s="48" t="s">
        <v>327</v>
      </c>
      <c r="L332" s="49" t="s">
        <v>328</v>
      </c>
      <c r="M332" s="50" t="s">
        <v>2336</v>
      </c>
      <c r="N332" s="37" t="s">
        <v>70</v>
      </c>
      <c r="O332" s="33">
        <v>0</v>
      </c>
      <c r="P332" s="33">
        <v>1</v>
      </c>
      <c r="Q332" s="37" t="s">
        <v>71</v>
      </c>
      <c r="R332" s="33" t="s">
        <v>2654</v>
      </c>
      <c r="S332" s="33" t="s">
        <v>2056</v>
      </c>
      <c r="T332" s="25" t="s">
        <v>303</v>
      </c>
      <c r="U332" s="37" t="s">
        <v>329</v>
      </c>
      <c r="V332" s="37" t="s">
        <v>74</v>
      </c>
      <c r="W332" s="37" t="s">
        <v>330</v>
      </c>
      <c r="X332" s="37"/>
      <c r="Y332" s="37" t="s">
        <v>203</v>
      </c>
      <c r="Z332" s="37" t="s">
        <v>74</v>
      </c>
      <c r="AA332" s="37" t="s">
        <v>2034</v>
      </c>
      <c r="AB332" s="37" t="s">
        <v>2035</v>
      </c>
      <c r="AC332" s="25"/>
      <c r="AD332" s="51" t="s">
        <v>77</v>
      </c>
      <c r="AE332" s="37" t="s">
        <v>78</v>
      </c>
      <c r="AF332" s="37" t="s">
        <v>78</v>
      </c>
      <c r="AG332" s="37"/>
      <c r="AH332" s="37"/>
      <c r="AI332" s="37" t="s">
        <v>305</v>
      </c>
      <c r="AJ332" s="37" t="s">
        <v>76</v>
      </c>
      <c r="AK332" s="37"/>
      <c r="AL332" s="146" t="s">
        <v>331</v>
      </c>
      <c r="AM332" s="37" t="s">
        <v>77</v>
      </c>
      <c r="AN332" s="37" t="s">
        <v>332</v>
      </c>
      <c r="AO332" s="37"/>
      <c r="AP332" s="37" t="s">
        <v>333</v>
      </c>
      <c r="AQ332" s="57" t="s">
        <v>309</v>
      </c>
      <c r="AR332" s="37" t="s">
        <v>85</v>
      </c>
      <c r="AS332" s="20"/>
      <c r="AT332" s="25" t="s">
        <v>87</v>
      </c>
      <c r="AU332" s="45"/>
      <c r="AV332" s="18"/>
      <c r="AW332" s="17"/>
      <c r="AX332" s="17"/>
      <c r="AY332" s="34">
        <v>7620106</v>
      </c>
      <c r="AZ332" s="33">
        <v>36</v>
      </c>
      <c r="BB332" s="17"/>
      <c r="BC332" s="50" t="s">
        <v>2336</v>
      </c>
      <c r="BD332" s="17"/>
      <c r="BM332" s="46"/>
      <c r="BN332" s="46"/>
      <c r="BO332" s="47"/>
    </row>
    <row r="333" spans="1:67" ht="24.95" customHeight="1" x14ac:dyDescent="0.25">
      <c r="B333" s="36">
        <f>SUBTOTAL(103,$M$2:M333)</f>
        <v>332</v>
      </c>
      <c r="C333" s="37" t="s">
        <v>334</v>
      </c>
      <c r="D333" s="33" t="s">
        <v>79</v>
      </c>
      <c r="E333" s="36" t="s">
        <v>76</v>
      </c>
      <c r="F333" s="37" t="s">
        <v>32</v>
      </c>
      <c r="G333" s="33" t="s">
        <v>2675</v>
      </c>
      <c r="H333" s="33" t="s">
        <v>2677</v>
      </c>
      <c r="I333" s="33" t="s">
        <v>2639</v>
      </c>
      <c r="J333" s="37" t="s">
        <v>2638</v>
      </c>
      <c r="K333" s="48" t="s">
        <v>335</v>
      </c>
      <c r="L333" s="49" t="s">
        <v>167</v>
      </c>
      <c r="M333" s="50" t="s">
        <v>2337</v>
      </c>
      <c r="N333" s="37" t="s">
        <v>70</v>
      </c>
      <c r="O333" s="33">
        <v>0</v>
      </c>
      <c r="P333" s="33">
        <v>1</v>
      </c>
      <c r="Q333" s="37" t="s">
        <v>71</v>
      </c>
      <c r="R333" s="33" t="s">
        <v>2654</v>
      </c>
      <c r="S333" s="33" t="s">
        <v>2056</v>
      </c>
      <c r="T333" s="48" t="s">
        <v>303</v>
      </c>
      <c r="U333" s="37" t="s">
        <v>263</v>
      </c>
      <c r="V333" s="37" t="s">
        <v>257</v>
      </c>
      <c r="W333" s="37"/>
      <c r="X333" s="37"/>
      <c r="Y333" s="37"/>
      <c r="Z333" s="37"/>
      <c r="AA333" s="37"/>
      <c r="AB333" s="37"/>
      <c r="AC333" s="25"/>
      <c r="AD333" s="51" t="s">
        <v>77</v>
      </c>
      <c r="AE333" s="37"/>
      <c r="AF333" s="37"/>
      <c r="AG333" s="37"/>
      <c r="AH333" s="37"/>
      <c r="AI333" s="37" t="s">
        <v>305</v>
      </c>
      <c r="AJ333" s="37" t="s">
        <v>76</v>
      </c>
      <c r="AK333" s="37"/>
      <c r="AL333" s="146" t="s">
        <v>336</v>
      </c>
      <c r="AM333" s="36" t="s">
        <v>77</v>
      </c>
      <c r="AN333" s="37" t="s">
        <v>260</v>
      </c>
      <c r="AO333" s="37"/>
      <c r="AP333" s="37" t="s">
        <v>337</v>
      </c>
      <c r="AQ333" s="50" t="s">
        <v>231</v>
      </c>
      <c r="AR333" s="37" t="s">
        <v>85</v>
      </c>
      <c r="AS333" s="20" t="s">
        <v>270</v>
      </c>
      <c r="AT333" s="25" t="s">
        <v>233</v>
      </c>
      <c r="AU333" s="45"/>
      <c r="AV333" s="18"/>
      <c r="AW333" s="17"/>
      <c r="AX333" s="17"/>
      <c r="AY333" s="34">
        <v>7620106</v>
      </c>
      <c r="AZ333" s="33">
        <v>37</v>
      </c>
      <c r="BB333" s="17"/>
      <c r="BC333" s="50" t="s">
        <v>2337</v>
      </c>
      <c r="BD333" s="17"/>
      <c r="BM333" s="46"/>
      <c r="BN333" s="46"/>
      <c r="BO333" s="47"/>
    </row>
    <row r="334" spans="1:67" ht="24.95" customHeight="1" x14ac:dyDescent="0.25">
      <c r="A334" s="18" t="s">
        <v>2862</v>
      </c>
      <c r="B334" s="36">
        <f>SUBTOTAL(103,$M$2:M334)</f>
        <v>333</v>
      </c>
      <c r="C334" s="33">
        <v>1</v>
      </c>
      <c r="D334" s="33" t="s">
        <v>79</v>
      </c>
      <c r="E334" s="33" t="s">
        <v>76</v>
      </c>
      <c r="F334" s="34" t="s">
        <v>32</v>
      </c>
      <c r="G334" s="33" t="s">
        <v>2675</v>
      </c>
      <c r="H334" s="33" t="s">
        <v>2677</v>
      </c>
      <c r="I334" s="33" t="s">
        <v>2639</v>
      </c>
      <c r="J334" s="33" t="s">
        <v>2896</v>
      </c>
      <c r="K334" s="25" t="s">
        <v>1145</v>
      </c>
      <c r="L334" s="25" t="s">
        <v>2696</v>
      </c>
      <c r="M334" s="38" t="s">
        <v>2697</v>
      </c>
      <c r="N334" s="33" t="s">
        <v>70</v>
      </c>
      <c r="O334" s="135">
        <v>0</v>
      </c>
      <c r="P334" s="135"/>
      <c r="Q334" s="33" t="s">
        <v>71</v>
      </c>
      <c r="R334" s="33" t="s">
        <v>2654</v>
      </c>
      <c r="S334" s="36" t="s">
        <v>2056</v>
      </c>
      <c r="T334" s="125" t="s">
        <v>26</v>
      </c>
      <c r="U334" s="33">
        <v>2006</v>
      </c>
      <c r="V334" s="33" t="s">
        <v>169</v>
      </c>
      <c r="W334" s="33"/>
      <c r="X334" s="33"/>
      <c r="Y334" s="33"/>
      <c r="Z334" s="33"/>
      <c r="AA334" s="25"/>
      <c r="AB334" s="33"/>
      <c r="AC334" s="33" t="s">
        <v>76</v>
      </c>
      <c r="AD334" s="33" t="s">
        <v>77</v>
      </c>
      <c r="AE334" s="25"/>
      <c r="AF334" s="25"/>
      <c r="AG334" s="103"/>
      <c r="AH334" s="25"/>
      <c r="AI334" s="33" t="s">
        <v>2698</v>
      </c>
      <c r="AJ334" s="33" t="s">
        <v>3</v>
      </c>
      <c r="AK334" s="25"/>
      <c r="AL334" s="43" t="s">
        <v>2699</v>
      </c>
      <c r="AM334" s="36" t="s">
        <v>77</v>
      </c>
      <c r="AN334" s="33" t="s">
        <v>641</v>
      </c>
      <c r="AP334" s="33" t="s">
        <v>2700</v>
      </c>
      <c r="AQ334" s="43" t="s">
        <v>2701</v>
      </c>
      <c r="AR334" s="25"/>
      <c r="AS334" s="25"/>
      <c r="AT334" s="25"/>
      <c r="AU334" s="18"/>
      <c r="AV334" s="84" t="s">
        <v>26</v>
      </c>
      <c r="AW334" s="17"/>
      <c r="BC334" s="18"/>
      <c r="BN334" s="18"/>
      <c r="BO334" s="18"/>
    </row>
  </sheetData>
  <autoFilter ref="A1:BS334"/>
  <conditionalFormatting sqref="J1:J19 J22:J1048576">
    <cfRule type="duplicateValues" dxfId="6" priority="25"/>
    <cfRule type="duplicateValues" dxfId="5" priority="26"/>
    <cfRule type="duplicateValues" dxfId="4" priority="27"/>
  </conditionalFormatting>
  <conditionalFormatting sqref="J20:J21">
    <cfRule type="duplicateValues" dxfId="3" priority="18"/>
    <cfRule type="duplicateValues" dxfId="2" priority="19"/>
    <cfRule type="duplicateValues" dxfId="1" priority="20"/>
  </conditionalFormatting>
  <conditionalFormatting sqref="J1:J1048576">
    <cfRule type="duplicateValues" dxfId="0" priority="17"/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>
      <selection activeCell="D11" sqref="D11"/>
    </sheetView>
  </sheetViews>
  <sheetFormatPr defaultRowHeight="18.75" x14ac:dyDescent="0.3"/>
  <cols>
    <col min="1" max="1" width="4.85546875" style="1" customWidth="1"/>
    <col min="2" max="2" width="5.28515625" style="1" customWidth="1"/>
    <col min="3" max="3" width="20.42578125" style="1" customWidth="1"/>
    <col min="4" max="4" width="18.7109375" style="1" customWidth="1"/>
    <col min="5" max="5" width="16" style="1" customWidth="1"/>
    <col min="6" max="7" width="12.28515625" style="1" customWidth="1"/>
    <col min="8" max="8" width="15.42578125" style="1" customWidth="1"/>
    <col min="9" max="9" width="10.140625" style="1" customWidth="1"/>
    <col min="10" max="10" width="9.140625" style="1" customWidth="1"/>
    <col min="11" max="16384" width="9.140625" style="1"/>
  </cols>
  <sheetData>
    <row r="1" spans="2:10" s="16" customFormat="1" ht="17.25" x14ac:dyDescent="0.25">
      <c r="B1" s="158" t="s">
        <v>2656</v>
      </c>
      <c r="C1" s="158"/>
      <c r="D1" s="158"/>
      <c r="E1" s="159" t="s">
        <v>2655</v>
      </c>
      <c r="F1" s="159"/>
      <c r="G1" s="159"/>
      <c r="H1" s="159"/>
    </row>
    <row r="2" spans="2:10" s="16" customFormat="1" ht="17.25" x14ac:dyDescent="0.25">
      <c r="B2" s="159" t="s">
        <v>0</v>
      </c>
      <c r="C2" s="159"/>
      <c r="D2" s="159"/>
      <c r="E2" s="159" t="s">
        <v>2664</v>
      </c>
      <c r="F2" s="159"/>
      <c r="G2" s="159"/>
      <c r="H2" s="159"/>
    </row>
    <row r="3" spans="2:10" s="16" customFormat="1" ht="17.25" x14ac:dyDescent="0.25">
      <c r="B3" s="12"/>
      <c r="C3" s="12"/>
      <c r="D3" s="12"/>
      <c r="E3" s="12"/>
      <c r="F3" s="12"/>
      <c r="G3" s="12"/>
      <c r="H3" s="12"/>
    </row>
    <row r="4" spans="2:10" x14ac:dyDescent="0.3">
      <c r="B4" s="160" t="s">
        <v>2665</v>
      </c>
      <c r="C4" s="160"/>
      <c r="D4" s="160"/>
      <c r="E4" s="160"/>
      <c r="F4" s="160"/>
      <c r="G4" s="160"/>
      <c r="H4" s="160"/>
    </row>
    <row r="6" spans="2:10" ht="56.25" x14ac:dyDescent="0.3">
      <c r="B6" s="14" t="s">
        <v>1</v>
      </c>
      <c r="C6" s="14" t="s">
        <v>2641</v>
      </c>
      <c r="D6" s="14" t="s">
        <v>2048</v>
      </c>
      <c r="E6" s="15" t="s">
        <v>2659</v>
      </c>
      <c r="F6" s="15" t="s">
        <v>2662</v>
      </c>
      <c r="G6" s="15" t="s">
        <v>2663</v>
      </c>
      <c r="H6" s="15" t="s">
        <v>2</v>
      </c>
      <c r="I6" s="14" t="s">
        <v>2657</v>
      </c>
      <c r="J6" s="15" t="s">
        <v>2658</v>
      </c>
    </row>
    <row r="7" spans="2:10" ht="21.95" customHeight="1" x14ac:dyDescent="0.3">
      <c r="B7" s="3">
        <v>1</v>
      </c>
      <c r="C7" s="4" t="s">
        <v>4</v>
      </c>
      <c r="D7" s="2" t="s">
        <v>2049</v>
      </c>
      <c r="E7" s="2" t="s">
        <v>850</v>
      </c>
      <c r="F7" s="13">
        <f>I7+J7</f>
        <v>78</v>
      </c>
      <c r="G7" s="155">
        <v>83</v>
      </c>
      <c r="H7" s="13"/>
      <c r="I7" s="3">
        <v>49</v>
      </c>
      <c r="J7" s="3">
        <v>29</v>
      </c>
    </row>
    <row r="8" spans="2:10" ht="21.95" customHeight="1" x14ac:dyDescent="0.3">
      <c r="B8" s="3">
        <v>8</v>
      </c>
      <c r="C8" s="6" t="s">
        <v>17</v>
      </c>
      <c r="D8" s="2" t="s">
        <v>2049</v>
      </c>
      <c r="E8" s="2" t="s">
        <v>850</v>
      </c>
      <c r="F8" s="13">
        <f>I8+J8</f>
        <v>4</v>
      </c>
      <c r="G8" s="157"/>
      <c r="H8" s="13"/>
      <c r="I8" s="3"/>
      <c r="J8" s="3">
        <v>4</v>
      </c>
    </row>
    <row r="9" spans="2:10" ht="21.95" customHeight="1" x14ac:dyDescent="0.3">
      <c r="B9" s="3">
        <v>2</v>
      </c>
      <c r="C9" s="4" t="s">
        <v>5</v>
      </c>
      <c r="D9" s="2" t="s">
        <v>2049</v>
      </c>
      <c r="E9" s="2" t="s">
        <v>2660</v>
      </c>
      <c r="F9" s="13">
        <f t="shared" ref="F9:F21" si="0">I9+J9</f>
        <v>172</v>
      </c>
      <c r="G9" s="13"/>
      <c r="H9" s="13"/>
      <c r="I9" s="3">
        <v>127</v>
      </c>
      <c r="J9" s="3">
        <v>45</v>
      </c>
    </row>
    <row r="10" spans="2:10" ht="21.95" customHeight="1" x14ac:dyDescent="0.3">
      <c r="B10" s="3">
        <v>4</v>
      </c>
      <c r="C10" s="5" t="s">
        <v>7</v>
      </c>
      <c r="D10" s="2" t="s">
        <v>2050</v>
      </c>
      <c r="E10" s="2" t="s">
        <v>1539</v>
      </c>
      <c r="F10" s="13">
        <f t="shared" si="0"/>
        <v>73</v>
      </c>
      <c r="G10" s="155">
        <v>85</v>
      </c>
      <c r="H10" s="13"/>
      <c r="I10" s="3">
        <v>52</v>
      </c>
      <c r="J10" s="3">
        <v>21</v>
      </c>
    </row>
    <row r="11" spans="2:10" ht="21.95" customHeight="1" x14ac:dyDescent="0.3">
      <c r="B11" s="3">
        <v>5</v>
      </c>
      <c r="C11" s="4" t="s">
        <v>11</v>
      </c>
      <c r="D11" s="2" t="s">
        <v>2051</v>
      </c>
      <c r="E11" s="2" t="s">
        <v>1539</v>
      </c>
      <c r="F11" s="13">
        <f t="shared" si="0"/>
        <v>12</v>
      </c>
      <c r="G11" s="157"/>
      <c r="H11" s="13"/>
      <c r="I11" s="3">
        <v>12</v>
      </c>
      <c r="J11" s="3">
        <v>0</v>
      </c>
    </row>
    <row r="12" spans="2:10" ht="21.95" customHeight="1" x14ac:dyDescent="0.3">
      <c r="B12" s="3">
        <v>6</v>
      </c>
      <c r="C12" s="6" t="s">
        <v>14</v>
      </c>
      <c r="D12" s="2" t="s">
        <v>2052</v>
      </c>
      <c r="E12" s="2" t="s">
        <v>2661</v>
      </c>
      <c r="F12" s="13">
        <f t="shared" si="0"/>
        <v>35</v>
      </c>
      <c r="G12" s="155">
        <v>100</v>
      </c>
      <c r="H12" s="13"/>
      <c r="I12" s="3">
        <v>27</v>
      </c>
      <c r="J12" s="3">
        <v>8</v>
      </c>
    </row>
    <row r="13" spans="2:10" ht="21.95" customHeight="1" x14ac:dyDescent="0.3">
      <c r="B13" s="3">
        <v>7</v>
      </c>
      <c r="C13" s="6" t="s">
        <v>15</v>
      </c>
      <c r="D13" s="2" t="s">
        <v>2052</v>
      </c>
      <c r="E13" s="2" t="s">
        <v>2661</v>
      </c>
      <c r="F13" s="13">
        <f t="shared" si="0"/>
        <v>65</v>
      </c>
      <c r="G13" s="157"/>
      <c r="H13" s="13"/>
      <c r="I13" s="7"/>
      <c r="J13" s="3">
        <v>65</v>
      </c>
    </row>
    <row r="14" spans="2:10" ht="21.95" customHeight="1" x14ac:dyDescent="0.3">
      <c r="B14" s="3">
        <v>9</v>
      </c>
      <c r="C14" s="6" t="s">
        <v>18</v>
      </c>
      <c r="D14" s="2" t="s">
        <v>2053</v>
      </c>
      <c r="E14" s="2" t="s">
        <v>1365</v>
      </c>
      <c r="F14" s="13">
        <f t="shared" si="0"/>
        <v>12</v>
      </c>
      <c r="G14" s="155">
        <v>60</v>
      </c>
      <c r="H14" s="13"/>
      <c r="I14" s="7"/>
      <c r="J14" s="3">
        <v>12</v>
      </c>
    </row>
    <row r="15" spans="2:10" ht="21.95" customHeight="1" x14ac:dyDescent="0.3">
      <c r="B15" s="3">
        <v>10</v>
      </c>
      <c r="C15" s="6" t="s">
        <v>19</v>
      </c>
      <c r="D15" s="2" t="s">
        <v>2053</v>
      </c>
      <c r="E15" s="2" t="s">
        <v>1365</v>
      </c>
      <c r="F15" s="13">
        <f t="shared" si="0"/>
        <v>23</v>
      </c>
      <c r="G15" s="156"/>
      <c r="H15" s="13"/>
      <c r="I15" s="7"/>
      <c r="J15" s="3">
        <v>23</v>
      </c>
    </row>
    <row r="16" spans="2:10" ht="21.95" customHeight="1" x14ac:dyDescent="0.3">
      <c r="B16" s="3">
        <v>11</v>
      </c>
      <c r="C16" s="6" t="s">
        <v>20</v>
      </c>
      <c r="D16" s="2" t="s">
        <v>2054</v>
      </c>
      <c r="E16" s="2" t="s">
        <v>1365</v>
      </c>
      <c r="F16" s="13">
        <f t="shared" si="0"/>
        <v>25</v>
      </c>
      <c r="G16" s="157"/>
      <c r="H16" s="13"/>
      <c r="I16" s="7"/>
      <c r="J16" s="3">
        <v>25</v>
      </c>
    </row>
    <row r="17" spans="2:10" ht="21.95" customHeight="1" x14ac:dyDescent="0.3">
      <c r="B17" s="3">
        <v>3</v>
      </c>
      <c r="C17" s="4" t="s">
        <v>6</v>
      </c>
      <c r="D17" s="2" t="s">
        <v>2032</v>
      </c>
      <c r="E17" s="2" t="s">
        <v>450</v>
      </c>
      <c r="F17" s="13">
        <f>I17+J17</f>
        <v>12</v>
      </c>
      <c r="G17" s="155">
        <v>64</v>
      </c>
      <c r="H17" s="13"/>
      <c r="I17" s="3">
        <v>8</v>
      </c>
      <c r="J17" s="3">
        <v>4</v>
      </c>
    </row>
    <row r="18" spans="2:10" ht="21.95" customHeight="1" x14ac:dyDescent="0.3">
      <c r="B18" s="3">
        <v>12</v>
      </c>
      <c r="C18" s="6" t="s">
        <v>23</v>
      </c>
      <c r="D18" s="2" t="s">
        <v>2055</v>
      </c>
      <c r="E18" s="2" t="s">
        <v>450</v>
      </c>
      <c r="F18" s="13">
        <f t="shared" si="0"/>
        <v>18</v>
      </c>
      <c r="G18" s="156"/>
      <c r="H18" s="13"/>
      <c r="I18" s="7"/>
      <c r="J18" s="3">
        <v>18</v>
      </c>
    </row>
    <row r="19" spans="2:10" ht="21.95" customHeight="1" x14ac:dyDescent="0.3">
      <c r="B19" s="3">
        <v>13</v>
      </c>
      <c r="C19" s="7" t="s">
        <v>24</v>
      </c>
      <c r="D19" s="2" t="s">
        <v>2055</v>
      </c>
      <c r="E19" s="2" t="s">
        <v>450</v>
      </c>
      <c r="F19" s="13">
        <f t="shared" si="0"/>
        <v>7</v>
      </c>
      <c r="G19" s="156"/>
      <c r="H19" s="13"/>
      <c r="I19" s="7"/>
      <c r="J19" s="3">
        <v>7</v>
      </c>
    </row>
    <row r="20" spans="2:10" ht="21.95" customHeight="1" x14ac:dyDescent="0.3">
      <c r="B20" s="3">
        <v>14</v>
      </c>
      <c r="C20" s="7" t="s">
        <v>25</v>
      </c>
      <c r="D20" s="2" t="s">
        <v>2055</v>
      </c>
      <c r="E20" s="2" t="s">
        <v>450</v>
      </c>
      <c r="F20" s="13">
        <f t="shared" si="0"/>
        <v>11</v>
      </c>
      <c r="G20" s="156"/>
      <c r="H20" s="13"/>
      <c r="I20" s="7"/>
      <c r="J20" s="3">
        <v>11</v>
      </c>
    </row>
    <row r="21" spans="2:10" ht="21.95" customHeight="1" x14ac:dyDescent="0.3">
      <c r="B21" s="3">
        <v>15</v>
      </c>
      <c r="C21" s="7" t="s">
        <v>26</v>
      </c>
      <c r="D21" s="2" t="s">
        <v>2056</v>
      </c>
      <c r="E21" s="2" t="s">
        <v>450</v>
      </c>
      <c r="F21" s="13">
        <f t="shared" si="0"/>
        <v>16</v>
      </c>
      <c r="G21" s="157"/>
      <c r="H21" s="13"/>
      <c r="I21" s="7"/>
      <c r="J21" s="3">
        <v>16</v>
      </c>
    </row>
    <row r="22" spans="2:10" ht="21.95" customHeight="1" x14ac:dyDescent="0.3">
      <c r="B22" s="7"/>
      <c r="C22" s="8" t="s">
        <v>31</v>
      </c>
      <c r="D22" s="9"/>
      <c r="E22" s="9"/>
      <c r="F22" s="13">
        <f>SUM(F7:F21)</f>
        <v>563</v>
      </c>
      <c r="G22" s="13"/>
      <c r="H22" s="13"/>
      <c r="I22" s="13">
        <f>SUM(I7:I21)</f>
        <v>275</v>
      </c>
      <c r="J22" s="13">
        <f>SUM(J7:J21)</f>
        <v>288</v>
      </c>
    </row>
    <row r="23" spans="2:10" ht="7.5" customHeight="1" x14ac:dyDescent="0.3"/>
    <row r="24" spans="2:10" x14ac:dyDescent="0.3">
      <c r="D24" s="153" t="s">
        <v>2666</v>
      </c>
      <c r="E24" s="153"/>
      <c r="F24" s="153"/>
      <c r="G24" s="153"/>
      <c r="H24" s="153"/>
      <c r="I24" s="10"/>
      <c r="J24" s="10"/>
    </row>
    <row r="25" spans="2:10" x14ac:dyDescent="0.3">
      <c r="D25" s="154" t="s">
        <v>2667</v>
      </c>
      <c r="E25" s="154"/>
      <c r="F25" s="154"/>
      <c r="G25" s="154"/>
      <c r="H25" s="154"/>
      <c r="I25" s="11"/>
      <c r="J25" s="11"/>
    </row>
    <row r="30" spans="2:10" x14ac:dyDescent="0.3">
      <c r="D30" s="154" t="s">
        <v>2668</v>
      </c>
      <c r="E30" s="154"/>
      <c r="F30" s="154"/>
      <c r="G30" s="154"/>
      <c r="H30" s="154"/>
    </row>
  </sheetData>
  <autoFilter ref="B6:J22"/>
  <mergeCells count="13">
    <mergeCell ref="G7:G8"/>
    <mergeCell ref="G10:G11"/>
    <mergeCell ref="G12:G13"/>
    <mergeCell ref="B1:D1"/>
    <mergeCell ref="E1:H1"/>
    <mergeCell ref="B2:D2"/>
    <mergeCell ref="E2:H2"/>
    <mergeCell ref="B4:H4"/>
    <mergeCell ref="D24:H24"/>
    <mergeCell ref="D25:H25"/>
    <mergeCell ref="D30:H30"/>
    <mergeCell ref="G14:G16"/>
    <mergeCell ref="G17:G21"/>
  </mergeCells>
  <pageMargins left="0" right="0" top="0.5" bottom="0.75" header="0.3" footer="0.3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K28B</vt:lpstr>
      <vt:lpstr>DS phân công duyệt tuyển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2025-09-06T09:25:05Z</dcterms:modified>
</cp:coreProperties>
</file>